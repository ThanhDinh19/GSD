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D:\Tools\excel-demo-app\frontend\public\templates\"/>
    </mc:Choice>
  </mc:AlternateContent>
  <xr:revisionPtr revIDLastSave="0" documentId="13_ncr:1_{45F3D505-4F3E-4E7A-A319-835783B30CC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-Quy trình" sheetId="7" r:id="rId1"/>
    <sheet name="CodeMMTB" sheetId="17" state="hidden" r:id="rId2"/>
    <sheet name="Taynghe" sheetId="16" state="hidden" r:id="rId3"/>
  </sheets>
  <definedNames>
    <definedName name="_xlnm._FilterDatabase" localSheetId="0" hidden="1">'1-Quy trình'!$B$12:$O$406</definedName>
    <definedName name="_xlnm._FilterDatabase" localSheetId="2" hidden="1">Taynghe!$A$7:$CL$1049</definedName>
    <definedName name="Bactho">'1-Quy trình'!$D$13:$D$407</definedName>
    <definedName name="BacthoPC">#REF!</definedName>
    <definedName name="BuocCD">'1-Quy trình'!$C$13:$C$406</definedName>
    <definedName name="Buoccongviec">'1-Quy trình'!$C$13:$C$407</definedName>
    <definedName name="BuocCVPCLD">#REF!</definedName>
    <definedName name="Codechan">#REF!</definedName>
    <definedName name="CodeLe">#REF!</definedName>
    <definedName name="CodeMMTB">CodeMMTB!$B$5:$B$67</definedName>
    <definedName name="Cugaculy">'1-Quy trình'!$E$13:$E$407</definedName>
    <definedName name="DemCDNS">'1-Quy trình'!$A$13:$A$407</definedName>
    <definedName name="Dongia">'1-Quy trình'!$J$13:$J$407</definedName>
    <definedName name="HesoBactho">'1-Quy trình'!$H$13:$H$407</definedName>
    <definedName name="HieusuatKH">'1-Quy trình'!$K$13:$K$407</definedName>
    <definedName name="HSuatPCLD">#REF!</definedName>
    <definedName name="InPCLD">#REF!</definedName>
    <definedName name="Insodomay">#REF!</definedName>
    <definedName name="Macongdoan">'1-Quy trình'!$B$13:$B$407</definedName>
    <definedName name="Masomay">'1-Quy trình'!$A$13:$A$407</definedName>
    <definedName name="MMTBchan">#REF!</definedName>
    <definedName name="MMTBLe">#REF!</definedName>
    <definedName name="MMTBPCLD">#REF!</definedName>
    <definedName name="Nhansu">'1-Quy trình'!$I$13:$I$407</definedName>
    <definedName name="NhipSX">'1-Quy trình'!$I$5</definedName>
    <definedName name="NhucauMMTB">'1-Quy trình'!$F$13:$F$407</definedName>
    <definedName name="PhancongLD">#REF!</definedName>
    <definedName name="_xlnm.Print_Area" localSheetId="0">'1-Quy trình'!$A$1:$V$413</definedName>
    <definedName name="SAMCBC">'1-Quy trình'!$N$13:$N$407</definedName>
    <definedName name="SAMHSYC">'1-Quy trình'!$L$13:$L$407</definedName>
    <definedName name="SAMPCLD">#REF!</definedName>
    <definedName name="SlgCDMay">#REF!</definedName>
    <definedName name="Somaychan">#REF!</definedName>
    <definedName name="Somayle">#REF!</definedName>
    <definedName name="SttCD">'1-Quy trình'!$B$13:$B$407</definedName>
    <definedName name="SttPCLD">#REF!</definedName>
    <definedName name="SttQuitrinh">#REF!</definedName>
    <definedName name="TenCN">#REF!</definedName>
    <definedName name="TenCNQuitrinh">'1-Quy trình'!$M$13:$M$407</definedName>
    <definedName name="TenMMTB">CodeMMTB!$C$5:$C$67</definedName>
    <definedName name="TenPCLD">#REF!</definedName>
    <definedName name="TenSDCchan">#REF!</definedName>
    <definedName name="TenSDCLe">#REF!</definedName>
    <definedName name="Thoigianchuan">'1-Quy trình'!$G$13:$G$407</definedName>
    <definedName name="Xóa">'1-Quy trình'!$B$13:$G$407</definedName>
    <definedName name="XoaPCLD">#REF!</definedName>
    <definedName name="Xoasodochuyenphai">#REF!</definedName>
    <definedName name="Xoasodochuyentrai">#REF!</definedName>
    <definedName name="Xoaten">'1-Quy trình'!$M$13:$M$406</definedName>
  </definedNames>
  <calcPr calcId="191029"/>
</workbook>
</file>

<file path=xl/calcChain.xml><?xml version="1.0" encoding="utf-8"?>
<calcChain xmlns="http://schemas.openxmlformats.org/spreadsheetml/2006/main">
  <c r="B406" i="7" l="1"/>
  <c r="B405" i="7"/>
  <c r="B404" i="7"/>
  <c r="B403" i="7"/>
  <c r="B402" i="7"/>
  <c r="B401" i="7"/>
  <c r="B400" i="7"/>
  <c r="B399" i="7"/>
  <c r="B398" i="7"/>
  <c r="B397" i="7"/>
  <c r="B396" i="7"/>
  <c r="B395" i="7"/>
  <c r="B394" i="7"/>
  <c r="B393" i="7"/>
  <c r="B392" i="7"/>
  <c r="B391" i="7"/>
  <c r="B390" i="7"/>
  <c r="B389" i="7"/>
  <c r="B388" i="7"/>
  <c r="B387" i="7"/>
  <c r="B386" i="7"/>
  <c r="B385" i="7"/>
  <c r="B384" i="7"/>
  <c r="B383" i="7"/>
  <c r="B382" i="7"/>
  <c r="B381" i="7"/>
  <c r="B380" i="7"/>
  <c r="B379" i="7"/>
  <c r="B378" i="7"/>
  <c r="B377" i="7"/>
  <c r="B376" i="7"/>
  <c r="B375" i="7"/>
  <c r="B374" i="7"/>
  <c r="B373" i="7"/>
  <c r="B372" i="7"/>
  <c r="B371" i="7"/>
  <c r="B370" i="7"/>
  <c r="B369" i="7"/>
  <c r="B368" i="7"/>
  <c r="B367" i="7"/>
  <c r="B366" i="7"/>
  <c r="B365" i="7"/>
  <c r="B364" i="7"/>
  <c r="B363" i="7"/>
  <c r="B362" i="7"/>
  <c r="B361" i="7"/>
  <c r="B360" i="7"/>
  <c r="B359" i="7"/>
  <c r="B358" i="7"/>
  <c r="B357" i="7"/>
  <c r="B356" i="7"/>
  <c r="B355" i="7"/>
  <c r="B354" i="7"/>
  <c r="B353" i="7"/>
  <c r="B352" i="7"/>
  <c r="B351" i="7"/>
  <c r="B350" i="7"/>
  <c r="B349" i="7"/>
  <c r="B348" i="7"/>
  <c r="B347" i="7"/>
  <c r="B346" i="7"/>
  <c r="B345" i="7"/>
  <c r="B344" i="7"/>
  <c r="B343" i="7"/>
  <c r="B342" i="7"/>
  <c r="B341" i="7"/>
  <c r="B340" i="7"/>
  <c r="B339" i="7"/>
  <c r="B338" i="7"/>
  <c r="B337" i="7"/>
  <c r="B336" i="7"/>
  <c r="B335" i="7"/>
  <c r="B334" i="7"/>
  <c r="B333" i="7"/>
  <c r="B332" i="7"/>
  <c r="B331" i="7"/>
  <c r="B330" i="7"/>
  <c r="B329" i="7"/>
  <c r="B328" i="7"/>
  <c r="B327" i="7"/>
  <c r="B326" i="7"/>
  <c r="B325" i="7"/>
  <c r="B324" i="7"/>
  <c r="B323" i="7"/>
  <c r="B322" i="7"/>
  <c r="B321" i="7"/>
  <c r="B320" i="7"/>
  <c r="B319" i="7"/>
  <c r="B318" i="7"/>
  <c r="B317" i="7"/>
  <c r="B316" i="7"/>
  <c r="B315" i="7"/>
  <c r="B314" i="7"/>
  <c r="B313" i="7"/>
  <c r="B312" i="7"/>
  <c r="B311" i="7"/>
  <c r="B310" i="7"/>
  <c r="B309" i="7"/>
  <c r="B308" i="7"/>
  <c r="B307" i="7"/>
  <c r="B306" i="7"/>
  <c r="B305" i="7"/>
  <c r="B304" i="7"/>
  <c r="B303" i="7"/>
  <c r="B302" i="7"/>
  <c r="B301" i="7"/>
  <c r="B300" i="7"/>
  <c r="B299" i="7"/>
  <c r="B298" i="7"/>
  <c r="B297" i="7"/>
  <c r="B296" i="7"/>
  <c r="B295" i="7"/>
  <c r="B294" i="7"/>
  <c r="B293" i="7"/>
  <c r="B292" i="7"/>
  <c r="B291" i="7"/>
  <c r="B290" i="7"/>
  <c r="B289" i="7"/>
  <c r="B288" i="7"/>
  <c r="B287" i="7"/>
  <c r="B286" i="7"/>
  <c r="B285" i="7"/>
  <c r="B284" i="7"/>
  <c r="B283" i="7"/>
  <c r="B282" i="7"/>
  <c r="B281" i="7"/>
  <c r="B280" i="7"/>
  <c r="B279" i="7"/>
  <c r="B278" i="7"/>
  <c r="B277" i="7"/>
  <c r="B276" i="7"/>
  <c r="B275" i="7"/>
  <c r="B274" i="7"/>
  <c r="B273" i="7"/>
  <c r="B272" i="7"/>
  <c r="B271" i="7"/>
  <c r="B270" i="7"/>
  <c r="B269" i="7"/>
  <c r="B268" i="7"/>
  <c r="B267" i="7"/>
  <c r="B266" i="7"/>
  <c r="B265" i="7"/>
  <c r="B264" i="7"/>
  <c r="B263" i="7"/>
  <c r="B262" i="7"/>
  <c r="B261" i="7"/>
  <c r="B260" i="7"/>
  <c r="B259" i="7"/>
  <c r="B258" i="7"/>
  <c r="B257" i="7"/>
  <c r="B256" i="7"/>
  <c r="B255" i="7"/>
  <c r="B254" i="7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P131" i="7" l="1"/>
  <c r="P165" i="7"/>
  <c r="P166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13" i="7"/>
  <c r="K4" i="7"/>
  <c r="T26" i="7"/>
  <c r="X26" i="7" s="1"/>
  <c r="T27" i="7"/>
  <c r="X27" i="7" s="1"/>
  <c r="T28" i="7"/>
  <c r="X28" i="7" s="1"/>
  <c r="S13" i="7" a="1"/>
  <c r="T25" i="7" s="1"/>
  <c r="X25" i="7" s="1"/>
  <c r="T24" i="7" l="1"/>
  <c r="X24" i="7" s="1"/>
  <c r="T21" i="7"/>
  <c r="X21" i="7" s="1"/>
  <c r="T14" i="7"/>
  <c r="X14" i="7" s="1"/>
  <c r="T22" i="7"/>
  <c r="X22" i="7" s="1"/>
  <c r="T19" i="7"/>
  <c r="X19" i="7" s="1"/>
  <c r="T16" i="7"/>
  <c r="X16" i="7" s="1"/>
  <c r="T20" i="7"/>
  <c r="X20" i="7" s="1"/>
  <c r="T18" i="7"/>
  <c r="X18" i="7" s="1"/>
  <c r="T17" i="7"/>
  <c r="X17" i="7" s="1"/>
  <c r="T23" i="7"/>
  <c r="X23" i="7" s="1"/>
  <c r="T15" i="7"/>
  <c r="X15" i="7" s="1"/>
  <c r="S13" i="7"/>
  <c r="J31" i="7"/>
  <c r="H31" i="7"/>
  <c r="J33" i="7"/>
  <c r="H33" i="7"/>
  <c r="J39" i="7"/>
  <c r="H39" i="7"/>
  <c r="J36" i="7"/>
  <c r="H36" i="7"/>
  <c r="J41" i="7"/>
  <c r="H41" i="7"/>
  <c r="J46" i="7"/>
  <c r="H46" i="7"/>
  <c r="J29" i="7"/>
  <c r="H29" i="7"/>
  <c r="T13" i="7" l="1"/>
  <c r="X13" i="7" s="1"/>
  <c r="W13" i="7"/>
  <c r="L31" i="7"/>
  <c r="L33" i="7"/>
  <c r="L39" i="7"/>
  <c r="L36" i="7"/>
  <c r="L41" i="7"/>
  <c r="L46" i="7"/>
  <c r="L29" i="7"/>
  <c r="I13" i="7" l="1"/>
  <c r="H13" i="7" l="1"/>
  <c r="H14" i="7"/>
  <c r="H15" i="7"/>
  <c r="H16" i="7"/>
  <c r="H17" i="7"/>
  <c r="H18" i="7"/>
  <c r="H19" i="7"/>
  <c r="H20" i="7"/>
  <c r="H22" i="7"/>
  <c r="H23" i="7"/>
  <c r="H24" i="7"/>
  <c r="H25" i="7"/>
  <c r="H26" i="7"/>
  <c r="H27" i="7"/>
  <c r="H28" i="7"/>
  <c r="H30" i="7"/>
  <c r="H32" i="7"/>
  <c r="H34" i="7"/>
  <c r="H35" i="7"/>
  <c r="H37" i="7"/>
  <c r="H38" i="7"/>
  <c r="H42" i="7"/>
  <c r="H43" i="7"/>
  <c r="H44" i="7"/>
  <c r="H45" i="7"/>
  <c r="H47" i="7"/>
  <c r="H48" i="7"/>
  <c r="H49" i="7"/>
  <c r="H50" i="7"/>
  <c r="H52" i="7"/>
  <c r="H53" i="7"/>
  <c r="H54" i="7"/>
  <c r="H55" i="7"/>
  <c r="H56" i="7"/>
  <c r="H57" i="7"/>
  <c r="H58" i="7"/>
  <c r="H59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5" i="7"/>
  <c r="H76" i="7"/>
  <c r="H77" i="7"/>
  <c r="H78" i="7"/>
  <c r="H79" i="7"/>
  <c r="H80" i="7"/>
  <c r="H81" i="7"/>
  <c r="H82" i="7"/>
  <c r="H84" i="7"/>
  <c r="H85" i="7"/>
  <c r="H86" i="7"/>
  <c r="H87" i="7"/>
  <c r="H88" i="7"/>
  <c r="H89" i="7"/>
  <c r="H90" i="7"/>
  <c r="H91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7" i="7"/>
  <c r="H108" i="7"/>
  <c r="H109" i="7"/>
  <c r="H110" i="7"/>
  <c r="H111" i="7"/>
  <c r="H112" i="7"/>
  <c r="H113" i="7"/>
  <c r="H114" i="7"/>
  <c r="H116" i="7"/>
  <c r="H117" i="7"/>
  <c r="H118" i="7"/>
  <c r="H119" i="7"/>
  <c r="H120" i="7"/>
  <c r="H121" i="7"/>
  <c r="H122" i="7"/>
  <c r="H123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9" i="7"/>
  <c r="H140" i="7"/>
  <c r="H141" i="7"/>
  <c r="H142" i="7"/>
  <c r="H143" i="7"/>
  <c r="H144" i="7"/>
  <c r="H145" i="7"/>
  <c r="H146" i="7"/>
  <c r="H148" i="7"/>
  <c r="H149" i="7"/>
  <c r="H150" i="7"/>
  <c r="H151" i="7"/>
  <c r="H152" i="7"/>
  <c r="H153" i="7"/>
  <c r="H154" i="7"/>
  <c r="H155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1" i="7"/>
  <c r="H172" i="7"/>
  <c r="H173" i="7"/>
  <c r="H174" i="7"/>
  <c r="H175" i="7"/>
  <c r="H176" i="7"/>
  <c r="H177" i="7"/>
  <c r="H178" i="7"/>
  <c r="H180" i="7"/>
  <c r="H181" i="7"/>
  <c r="H182" i="7"/>
  <c r="H183" i="7"/>
  <c r="H184" i="7"/>
  <c r="H185" i="7"/>
  <c r="H186" i="7"/>
  <c r="H187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3" i="7"/>
  <c r="H204" i="7"/>
  <c r="H205" i="7"/>
  <c r="H206" i="7"/>
  <c r="H207" i="7"/>
  <c r="H208" i="7"/>
  <c r="H209" i="7"/>
  <c r="H210" i="7"/>
  <c r="H212" i="7"/>
  <c r="H213" i="7"/>
  <c r="H214" i="7"/>
  <c r="H215" i="7"/>
  <c r="H216" i="7"/>
  <c r="H217" i="7"/>
  <c r="H218" i="7"/>
  <c r="H219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5" i="7"/>
  <c r="H236" i="7"/>
  <c r="H234" i="7" l="1"/>
  <c r="H220" i="7"/>
  <c r="H211" i="7"/>
  <c r="H202" i="7"/>
  <c r="H188" i="7"/>
  <c r="H179" i="7"/>
  <c r="H170" i="7"/>
  <c r="H156" i="7"/>
  <c r="H147" i="7"/>
  <c r="H138" i="7"/>
  <c r="H124" i="7"/>
  <c r="H115" i="7"/>
  <c r="H106" i="7"/>
  <c r="H92" i="7"/>
  <c r="H83" i="7"/>
  <c r="H74" i="7"/>
  <c r="H60" i="7"/>
  <c r="H51" i="7"/>
  <c r="H40" i="7"/>
  <c r="H21" i="7"/>
  <c r="F408" i="7" l="1" a="1"/>
  <c r="F408" i="7" s="1"/>
  <c r="E408" i="7" a="1"/>
  <c r="E408" i="7" s="1"/>
  <c r="H408" i="7" a="1"/>
  <c r="H408" i="7" s="1"/>
  <c r="D408" i="7" a="1"/>
  <c r="D408" i="7" s="1"/>
  <c r="N408" i="7"/>
  <c r="A59" i="17"/>
  <c r="A60" i="17"/>
  <c r="A61" i="17"/>
  <c r="A62" i="17"/>
  <c r="A63" i="17"/>
  <c r="A64" i="17"/>
  <c r="A65" i="17"/>
  <c r="A66" i="17"/>
  <c r="A67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" i="1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30" i="7"/>
  <c r="J32" i="7"/>
  <c r="J34" i="7"/>
  <c r="J35" i="7"/>
  <c r="J37" i="7"/>
  <c r="J38" i="7"/>
  <c r="J40" i="7"/>
  <c r="J42" i="7"/>
  <c r="J43" i="7"/>
  <c r="J44" i="7"/>
  <c r="J45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13" i="7"/>
  <c r="R13" i="7" l="1"/>
  <c r="I198" i="7" l="1"/>
  <c r="I219" i="7"/>
  <c r="I224" i="7"/>
  <c r="I228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L19" i="7"/>
  <c r="L78" i="7"/>
  <c r="L88" i="7"/>
  <c r="L94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24" i="7"/>
  <c r="L25" i="7"/>
  <c r="L35" i="7"/>
  <c r="L37" i="7"/>
  <c r="L47" i="7"/>
  <c r="L48" i="7"/>
  <c r="L55" i="7"/>
  <c r="L56" i="7"/>
  <c r="L63" i="7"/>
  <c r="L64" i="7"/>
  <c r="L71" i="7"/>
  <c r="L72" i="7"/>
  <c r="L126" i="7" l="1"/>
  <c r="L118" i="7"/>
  <c r="L110" i="7"/>
  <c r="L102" i="7"/>
  <c r="L86" i="7"/>
  <c r="L125" i="7"/>
  <c r="L117" i="7"/>
  <c r="L109" i="7"/>
  <c r="L101" i="7"/>
  <c r="L93" i="7"/>
  <c r="L85" i="7"/>
  <c r="L77" i="7"/>
  <c r="L124" i="7"/>
  <c r="L116" i="7"/>
  <c r="L108" i="7"/>
  <c r="L100" i="7"/>
  <c r="L92" i="7"/>
  <c r="L84" i="7"/>
  <c r="L76" i="7"/>
  <c r="L123" i="7"/>
  <c r="L115" i="7"/>
  <c r="L107" i="7"/>
  <c r="L99" i="7"/>
  <c r="L91" i="7"/>
  <c r="L83" i="7"/>
  <c r="L75" i="7"/>
  <c r="L122" i="7"/>
  <c r="L114" i="7"/>
  <c r="L106" i="7"/>
  <c r="L98" i="7"/>
  <c r="L90" i="7"/>
  <c r="L82" i="7"/>
  <c r="L74" i="7"/>
  <c r="L129" i="7"/>
  <c r="L121" i="7"/>
  <c r="L113" i="7"/>
  <c r="L105" i="7"/>
  <c r="L97" i="7"/>
  <c r="L89" i="7"/>
  <c r="L81" i="7"/>
  <c r="L26" i="7"/>
  <c r="L128" i="7"/>
  <c r="L120" i="7"/>
  <c r="L112" i="7"/>
  <c r="L104" i="7"/>
  <c r="L96" i="7"/>
  <c r="L80" i="7"/>
  <c r="L22" i="7"/>
  <c r="L127" i="7"/>
  <c r="L119" i="7"/>
  <c r="L111" i="7"/>
  <c r="L103" i="7"/>
  <c r="L95" i="7"/>
  <c r="L87" i="7"/>
  <c r="L79" i="7"/>
  <c r="L70" i="7"/>
  <c r="L62" i="7"/>
  <c r="L54" i="7"/>
  <c r="L45" i="7"/>
  <c r="L34" i="7"/>
  <c r="L23" i="7"/>
  <c r="L69" i="7"/>
  <c r="L61" i="7"/>
  <c r="L53" i="7"/>
  <c r="L44" i="7"/>
  <c r="L32" i="7"/>
  <c r="L68" i="7"/>
  <c r="L60" i="7"/>
  <c r="L52" i="7"/>
  <c r="L43" i="7"/>
  <c r="L30" i="7"/>
  <c r="L21" i="7"/>
  <c r="L67" i="7"/>
  <c r="L59" i="7"/>
  <c r="L51" i="7"/>
  <c r="L42" i="7"/>
  <c r="L28" i="7"/>
  <c r="L20" i="7"/>
  <c r="L66" i="7"/>
  <c r="L58" i="7"/>
  <c r="L50" i="7"/>
  <c r="L40" i="7"/>
  <c r="L27" i="7"/>
  <c r="L73" i="7"/>
  <c r="L65" i="7"/>
  <c r="L57" i="7"/>
  <c r="L49" i="7"/>
  <c r="L38" i="7"/>
  <c r="Z1048" i="16" l="1"/>
  <c r="J1047" i="16"/>
  <c r="I1047" i="16"/>
  <c r="H1047" i="16"/>
  <c r="B1047" i="16"/>
  <c r="F1047" i="16" s="1"/>
  <c r="A1047" i="16"/>
  <c r="J1046" i="16"/>
  <c r="I1046" i="16"/>
  <c r="H1046" i="16"/>
  <c r="B1046" i="16"/>
  <c r="F1046" i="16" s="1"/>
  <c r="A1046" i="16"/>
  <c r="J1045" i="16"/>
  <c r="I1045" i="16"/>
  <c r="H1045" i="16"/>
  <c r="B1045" i="16"/>
  <c r="F1045" i="16" s="1"/>
  <c r="A1045" i="16"/>
  <c r="J1044" i="16"/>
  <c r="I1044" i="16"/>
  <c r="H1044" i="16"/>
  <c r="B1044" i="16"/>
  <c r="F1044" i="16" s="1"/>
  <c r="A1044" i="16"/>
  <c r="J1043" i="16"/>
  <c r="I1043" i="16"/>
  <c r="H1043" i="16"/>
  <c r="B1043" i="16"/>
  <c r="F1043" i="16" s="1"/>
  <c r="A1043" i="16"/>
  <c r="J1042" i="16"/>
  <c r="I1042" i="16"/>
  <c r="H1042" i="16"/>
  <c r="B1042" i="16"/>
  <c r="F1042" i="16" s="1"/>
  <c r="A1042" i="16"/>
  <c r="J1041" i="16"/>
  <c r="I1041" i="16"/>
  <c r="H1041" i="16"/>
  <c r="B1041" i="16"/>
  <c r="F1041" i="16" s="1"/>
  <c r="A1041" i="16"/>
  <c r="J1040" i="16"/>
  <c r="I1040" i="16"/>
  <c r="H1040" i="16"/>
  <c r="B1040" i="16"/>
  <c r="F1040" i="16" s="1"/>
  <c r="A1040" i="16"/>
  <c r="J1039" i="16"/>
  <c r="I1039" i="16"/>
  <c r="H1039" i="16"/>
  <c r="B1039" i="16"/>
  <c r="F1039" i="16" s="1"/>
  <c r="A1039" i="16"/>
  <c r="J1038" i="16"/>
  <c r="I1038" i="16"/>
  <c r="H1038" i="16"/>
  <c r="B1038" i="16"/>
  <c r="F1038" i="16" s="1"/>
  <c r="A1038" i="16"/>
  <c r="J1037" i="16"/>
  <c r="I1037" i="16"/>
  <c r="H1037" i="16"/>
  <c r="B1037" i="16"/>
  <c r="F1037" i="16" s="1"/>
  <c r="A1037" i="16"/>
  <c r="J1036" i="16"/>
  <c r="I1036" i="16"/>
  <c r="H1036" i="16"/>
  <c r="B1036" i="16"/>
  <c r="F1036" i="16" s="1"/>
  <c r="A1036" i="16"/>
  <c r="J1035" i="16"/>
  <c r="I1035" i="16"/>
  <c r="H1035" i="16"/>
  <c r="B1035" i="16"/>
  <c r="F1035" i="16" s="1"/>
  <c r="A1035" i="16"/>
  <c r="J1034" i="16"/>
  <c r="I1034" i="16"/>
  <c r="H1034" i="16"/>
  <c r="B1034" i="16"/>
  <c r="F1034" i="16" s="1"/>
  <c r="A1034" i="16"/>
  <c r="J1033" i="16"/>
  <c r="I1033" i="16"/>
  <c r="H1033" i="16"/>
  <c r="B1033" i="16"/>
  <c r="F1033" i="16" s="1"/>
  <c r="A1033" i="16"/>
  <c r="J1032" i="16"/>
  <c r="I1032" i="16"/>
  <c r="H1032" i="16"/>
  <c r="B1032" i="16"/>
  <c r="F1032" i="16" s="1"/>
  <c r="A1032" i="16"/>
  <c r="J1031" i="16"/>
  <c r="I1031" i="16"/>
  <c r="H1031" i="16"/>
  <c r="B1031" i="16"/>
  <c r="F1031" i="16" s="1"/>
  <c r="A1031" i="16"/>
  <c r="J1030" i="16"/>
  <c r="I1030" i="16"/>
  <c r="H1030" i="16"/>
  <c r="B1030" i="16"/>
  <c r="F1030" i="16" s="1"/>
  <c r="A1030" i="16"/>
  <c r="J1029" i="16"/>
  <c r="I1029" i="16"/>
  <c r="H1029" i="16"/>
  <c r="B1029" i="16"/>
  <c r="F1029" i="16" s="1"/>
  <c r="A1029" i="16"/>
  <c r="J1028" i="16"/>
  <c r="I1028" i="16"/>
  <c r="H1028" i="16"/>
  <c r="B1028" i="16"/>
  <c r="F1028" i="16" s="1"/>
  <c r="A1028" i="16"/>
  <c r="J1027" i="16"/>
  <c r="I1027" i="16"/>
  <c r="H1027" i="16"/>
  <c r="B1027" i="16"/>
  <c r="F1027" i="16" s="1"/>
  <c r="A1027" i="16"/>
  <c r="J1026" i="16"/>
  <c r="I1026" i="16"/>
  <c r="H1026" i="16"/>
  <c r="B1026" i="16"/>
  <c r="F1026" i="16" s="1"/>
  <c r="A1026" i="16"/>
  <c r="J1025" i="16"/>
  <c r="I1025" i="16"/>
  <c r="H1025" i="16"/>
  <c r="B1025" i="16"/>
  <c r="F1025" i="16" s="1"/>
  <c r="A1025" i="16"/>
  <c r="J1024" i="16"/>
  <c r="I1024" i="16"/>
  <c r="H1024" i="16"/>
  <c r="B1024" i="16"/>
  <c r="F1024" i="16" s="1"/>
  <c r="A1024" i="16"/>
  <c r="J1023" i="16"/>
  <c r="I1023" i="16"/>
  <c r="H1023" i="16"/>
  <c r="B1023" i="16"/>
  <c r="F1023" i="16" s="1"/>
  <c r="A1023" i="16"/>
  <c r="J1022" i="16"/>
  <c r="I1022" i="16"/>
  <c r="H1022" i="16"/>
  <c r="B1022" i="16"/>
  <c r="F1022" i="16" s="1"/>
  <c r="A1022" i="16"/>
  <c r="J1021" i="16"/>
  <c r="I1021" i="16"/>
  <c r="H1021" i="16"/>
  <c r="B1021" i="16"/>
  <c r="F1021" i="16" s="1"/>
  <c r="A1021" i="16"/>
  <c r="J1020" i="16"/>
  <c r="I1020" i="16"/>
  <c r="H1020" i="16"/>
  <c r="B1020" i="16"/>
  <c r="F1020" i="16" s="1"/>
  <c r="A1020" i="16"/>
  <c r="J1019" i="16"/>
  <c r="I1019" i="16"/>
  <c r="H1019" i="16"/>
  <c r="B1019" i="16"/>
  <c r="F1019" i="16" s="1"/>
  <c r="A1019" i="16"/>
  <c r="J1018" i="16"/>
  <c r="I1018" i="16"/>
  <c r="H1018" i="16"/>
  <c r="B1018" i="16"/>
  <c r="F1018" i="16" s="1"/>
  <c r="A1018" i="16"/>
  <c r="J1017" i="16"/>
  <c r="I1017" i="16"/>
  <c r="H1017" i="16"/>
  <c r="B1017" i="16"/>
  <c r="F1017" i="16" s="1"/>
  <c r="A1017" i="16"/>
  <c r="J1016" i="16"/>
  <c r="I1016" i="16"/>
  <c r="H1016" i="16"/>
  <c r="B1016" i="16"/>
  <c r="F1016" i="16" s="1"/>
  <c r="A1016" i="16"/>
  <c r="J1015" i="16"/>
  <c r="I1015" i="16"/>
  <c r="H1015" i="16"/>
  <c r="B1015" i="16"/>
  <c r="F1015" i="16" s="1"/>
  <c r="A1015" i="16"/>
  <c r="J1014" i="16"/>
  <c r="I1014" i="16"/>
  <c r="H1014" i="16"/>
  <c r="B1014" i="16"/>
  <c r="F1014" i="16" s="1"/>
  <c r="A1014" i="16"/>
  <c r="J1013" i="16"/>
  <c r="I1013" i="16"/>
  <c r="H1013" i="16"/>
  <c r="B1013" i="16"/>
  <c r="F1013" i="16" s="1"/>
  <c r="A1013" i="16"/>
  <c r="J1012" i="16"/>
  <c r="I1012" i="16"/>
  <c r="H1012" i="16"/>
  <c r="B1012" i="16"/>
  <c r="F1012" i="16" s="1"/>
  <c r="A1012" i="16"/>
  <c r="J1011" i="16"/>
  <c r="I1011" i="16"/>
  <c r="H1011" i="16"/>
  <c r="B1011" i="16"/>
  <c r="F1011" i="16" s="1"/>
  <c r="A1011" i="16"/>
  <c r="J1010" i="16"/>
  <c r="I1010" i="16"/>
  <c r="H1010" i="16"/>
  <c r="B1010" i="16"/>
  <c r="F1010" i="16" s="1"/>
  <c r="A1010" i="16"/>
  <c r="J1009" i="16"/>
  <c r="I1009" i="16"/>
  <c r="H1009" i="16"/>
  <c r="B1009" i="16"/>
  <c r="F1009" i="16" s="1"/>
  <c r="A1009" i="16"/>
  <c r="J1008" i="16"/>
  <c r="I1008" i="16"/>
  <c r="H1008" i="16"/>
  <c r="B1008" i="16"/>
  <c r="F1008" i="16" s="1"/>
  <c r="A1008" i="16"/>
  <c r="J1007" i="16"/>
  <c r="I1007" i="16"/>
  <c r="H1007" i="16"/>
  <c r="B1007" i="16"/>
  <c r="F1007" i="16" s="1"/>
  <c r="A1007" i="16"/>
  <c r="J1006" i="16"/>
  <c r="I1006" i="16"/>
  <c r="H1006" i="16"/>
  <c r="B1006" i="16"/>
  <c r="F1006" i="16" s="1"/>
  <c r="A1006" i="16"/>
  <c r="J1005" i="16"/>
  <c r="I1005" i="16"/>
  <c r="H1005" i="16"/>
  <c r="B1005" i="16"/>
  <c r="F1005" i="16" s="1"/>
  <c r="A1005" i="16"/>
  <c r="J1004" i="16"/>
  <c r="I1004" i="16"/>
  <c r="H1004" i="16"/>
  <c r="B1004" i="16"/>
  <c r="F1004" i="16" s="1"/>
  <c r="A1004" i="16"/>
  <c r="J1003" i="16"/>
  <c r="I1003" i="16"/>
  <c r="H1003" i="16"/>
  <c r="B1003" i="16"/>
  <c r="F1003" i="16" s="1"/>
  <c r="A1003" i="16"/>
  <c r="J1002" i="16"/>
  <c r="I1002" i="16"/>
  <c r="H1002" i="16"/>
  <c r="B1002" i="16"/>
  <c r="F1002" i="16" s="1"/>
  <c r="A1002" i="16"/>
  <c r="J1001" i="16"/>
  <c r="I1001" i="16"/>
  <c r="H1001" i="16"/>
  <c r="B1001" i="16"/>
  <c r="F1001" i="16" s="1"/>
  <c r="A1001" i="16"/>
  <c r="J1000" i="16"/>
  <c r="I1000" i="16"/>
  <c r="H1000" i="16"/>
  <c r="B1000" i="16"/>
  <c r="F1000" i="16" s="1"/>
  <c r="A1000" i="16"/>
  <c r="J999" i="16"/>
  <c r="I999" i="16"/>
  <c r="H999" i="16"/>
  <c r="B999" i="16"/>
  <c r="F999" i="16" s="1"/>
  <c r="A999" i="16"/>
  <c r="J998" i="16"/>
  <c r="I998" i="16"/>
  <c r="H998" i="16"/>
  <c r="B998" i="16"/>
  <c r="F998" i="16" s="1"/>
  <c r="A998" i="16"/>
  <c r="J997" i="16"/>
  <c r="I997" i="16"/>
  <c r="H997" i="16"/>
  <c r="B997" i="16"/>
  <c r="F997" i="16" s="1"/>
  <c r="A997" i="16"/>
  <c r="J996" i="16"/>
  <c r="I996" i="16"/>
  <c r="H996" i="16"/>
  <c r="B996" i="16"/>
  <c r="F996" i="16" s="1"/>
  <c r="A996" i="16"/>
  <c r="J995" i="16"/>
  <c r="I995" i="16"/>
  <c r="H995" i="16"/>
  <c r="B995" i="16"/>
  <c r="F995" i="16" s="1"/>
  <c r="A995" i="16"/>
  <c r="J994" i="16"/>
  <c r="I994" i="16"/>
  <c r="H994" i="16"/>
  <c r="B994" i="16"/>
  <c r="F994" i="16" s="1"/>
  <c r="A994" i="16"/>
  <c r="J993" i="16"/>
  <c r="I993" i="16"/>
  <c r="H993" i="16"/>
  <c r="B993" i="16"/>
  <c r="F993" i="16" s="1"/>
  <c r="A993" i="16"/>
  <c r="J992" i="16"/>
  <c r="I992" i="16"/>
  <c r="H992" i="16"/>
  <c r="B992" i="16"/>
  <c r="F992" i="16" s="1"/>
  <c r="A992" i="16"/>
  <c r="J991" i="16"/>
  <c r="I991" i="16"/>
  <c r="H991" i="16"/>
  <c r="B991" i="16"/>
  <c r="F991" i="16" s="1"/>
  <c r="A991" i="16"/>
  <c r="J990" i="16"/>
  <c r="I990" i="16"/>
  <c r="H990" i="16"/>
  <c r="B990" i="16"/>
  <c r="F990" i="16" s="1"/>
  <c r="A990" i="16"/>
  <c r="J989" i="16"/>
  <c r="I989" i="16"/>
  <c r="H989" i="16"/>
  <c r="B989" i="16"/>
  <c r="F989" i="16" s="1"/>
  <c r="A989" i="16"/>
  <c r="J988" i="16"/>
  <c r="I988" i="16"/>
  <c r="H988" i="16"/>
  <c r="B988" i="16"/>
  <c r="F988" i="16" s="1"/>
  <c r="A988" i="16"/>
  <c r="J987" i="16"/>
  <c r="I987" i="16"/>
  <c r="H987" i="16"/>
  <c r="B987" i="16"/>
  <c r="F987" i="16" s="1"/>
  <c r="A987" i="16"/>
  <c r="J986" i="16"/>
  <c r="I986" i="16"/>
  <c r="H986" i="16"/>
  <c r="B986" i="16"/>
  <c r="F986" i="16" s="1"/>
  <c r="A986" i="16"/>
  <c r="J985" i="16"/>
  <c r="I985" i="16"/>
  <c r="H985" i="16"/>
  <c r="B985" i="16"/>
  <c r="F985" i="16" s="1"/>
  <c r="A985" i="16"/>
  <c r="J984" i="16"/>
  <c r="I984" i="16"/>
  <c r="H984" i="16"/>
  <c r="B984" i="16"/>
  <c r="F984" i="16" s="1"/>
  <c r="A984" i="16"/>
  <c r="J983" i="16"/>
  <c r="I983" i="16"/>
  <c r="H983" i="16"/>
  <c r="B983" i="16"/>
  <c r="F983" i="16" s="1"/>
  <c r="A983" i="16"/>
  <c r="J982" i="16"/>
  <c r="I982" i="16"/>
  <c r="H982" i="16"/>
  <c r="B982" i="16"/>
  <c r="F982" i="16" s="1"/>
  <c r="A982" i="16"/>
  <c r="J981" i="16"/>
  <c r="I981" i="16"/>
  <c r="H981" i="16"/>
  <c r="B981" i="16"/>
  <c r="F981" i="16" s="1"/>
  <c r="A981" i="16"/>
  <c r="J980" i="16"/>
  <c r="I980" i="16"/>
  <c r="H980" i="16"/>
  <c r="B980" i="16"/>
  <c r="F980" i="16" s="1"/>
  <c r="A980" i="16"/>
  <c r="J979" i="16"/>
  <c r="I979" i="16"/>
  <c r="H979" i="16"/>
  <c r="B979" i="16"/>
  <c r="F979" i="16" s="1"/>
  <c r="A979" i="16"/>
  <c r="J978" i="16"/>
  <c r="I978" i="16"/>
  <c r="H978" i="16"/>
  <c r="B978" i="16"/>
  <c r="F978" i="16" s="1"/>
  <c r="A978" i="16"/>
  <c r="J977" i="16"/>
  <c r="I977" i="16"/>
  <c r="H977" i="16"/>
  <c r="B977" i="16"/>
  <c r="F977" i="16" s="1"/>
  <c r="A977" i="16"/>
  <c r="J976" i="16"/>
  <c r="I976" i="16"/>
  <c r="H976" i="16"/>
  <c r="B976" i="16"/>
  <c r="F976" i="16" s="1"/>
  <c r="A976" i="16"/>
  <c r="J975" i="16"/>
  <c r="I975" i="16"/>
  <c r="H975" i="16"/>
  <c r="B975" i="16"/>
  <c r="F975" i="16" s="1"/>
  <c r="A975" i="16"/>
  <c r="J974" i="16"/>
  <c r="I974" i="16"/>
  <c r="H974" i="16"/>
  <c r="B974" i="16"/>
  <c r="F974" i="16" s="1"/>
  <c r="A974" i="16"/>
  <c r="J973" i="16"/>
  <c r="I973" i="16"/>
  <c r="H973" i="16"/>
  <c r="B973" i="16"/>
  <c r="F973" i="16" s="1"/>
  <c r="A973" i="16"/>
  <c r="J972" i="16"/>
  <c r="I972" i="16"/>
  <c r="H972" i="16"/>
  <c r="B972" i="16"/>
  <c r="F972" i="16" s="1"/>
  <c r="A972" i="16"/>
  <c r="J971" i="16"/>
  <c r="I971" i="16"/>
  <c r="H971" i="16"/>
  <c r="B971" i="16"/>
  <c r="F971" i="16" s="1"/>
  <c r="A971" i="16"/>
  <c r="J970" i="16"/>
  <c r="I970" i="16"/>
  <c r="H970" i="16"/>
  <c r="B970" i="16"/>
  <c r="F970" i="16" s="1"/>
  <c r="A970" i="16"/>
  <c r="J969" i="16"/>
  <c r="I969" i="16"/>
  <c r="H969" i="16"/>
  <c r="B969" i="16"/>
  <c r="F969" i="16" s="1"/>
  <c r="A969" i="16"/>
  <c r="J968" i="16"/>
  <c r="I968" i="16"/>
  <c r="H968" i="16"/>
  <c r="B968" i="16"/>
  <c r="F968" i="16" s="1"/>
  <c r="A968" i="16"/>
  <c r="J967" i="16"/>
  <c r="I967" i="16"/>
  <c r="H967" i="16"/>
  <c r="B967" i="16"/>
  <c r="F967" i="16" s="1"/>
  <c r="A967" i="16"/>
  <c r="J966" i="16"/>
  <c r="I966" i="16"/>
  <c r="H966" i="16"/>
  <c r="B966" i="16"/>
  <c r="F966" i="16" s="1"/>
  <c r="A966" i="16"/>
  <c r="J965" i="16"/>
  <c r="I965" i="16"/>
  <c r="H965" i="16"/>
  <c r="B965" i="16"/>
  <c r="F965" i="16" s="1"/>
  <c r="A965" i="16"/>
  <c r="J964" i="16"/>
  <c r="I964" i="16"/>
  <c r="H964" i="16"/>
  <c r="B964" i="16"/>
  <c r="F964" i="16" s="1"/>
  <c r="A964" i="16"/>
  <c r="J963" i="16"/>
  <c r="I963" i="16"/>
  <c r="H963" i="16"/>
  <c r="B963" i="16"/>
  <c r="F963" i="16" s="1"/>
  <c r="A963" i="16"/>
  <c r="J962" i="16"/>
  <c r="I962" i="16"/>
  <c r="H962" i="16"/>
  <c r="B962" i="16"/>
  <c r="F962" i="16" s="1"/>
  <c r="A962" i="16"/>
  <c r="J961" i="16"/>
  <c r="I961" i="16"/>
  <c r="H961" i="16"/>
  <c r="B961" i="16"/>
  <c r="F961" i="16" s="1"/>
  <c r="A961" i="16"/>
  <c r="J960" i="16"/>
  <c r="I960" i="16"/>
  <c r="H960" i="16"/>
  <c r="B960" i="16"/>
  <c r="F960" i="16" s="1"/>
  <c r="A960" i="16"/>
  <c r="J959" i="16"/>
  <c r="I959" i="16"/>
  <c r="H959" i="16"/>
  <c r="B959" i="16"/>
  <c r="F959" i="16" s="1"/>
  <c r="A959" i="16"/>
  <c r="J958" i="16"/>
  <c r="I958" i="16"/>
  <c r="H958" i="16"/>
  <c r="B958" i="16"/>
  <c r="F958" i="16" s="1"/>
  <c r="A958" i="16"/>
  <c r="J957" i="16"/>
  <c r="I957" i="16"/>
  <c r="H957" i="16"/>
  <c r="B957" i="16"/>
  <c r="F957" i="16" s="1"/>
  <c r="A957" i="16"/>
  <c r="J956" i="16"/>
  <c r="I956" i="16"/>
  <c r="H956" i="16"/>
  <c r="B956" i="16"/>
  <c r="F956" i="16" s="1"/>
  <c r="A956" i="16"/>
  <c r="J955" i="16"/>
  <c r="I955" i="16"/>
  <c r="H955" i="16"/>
  <c r="B955" i="16"/>
  <c r="F955" i="16" s="1"/>
  <c r="A955" i="16"/>
  <c r="J954" i="16"/>
  <c r="I954" i="16"/>
  <c r="H954" i="16"/>
  <c r="B954" i="16"/>
  <c r="F954" i="16" s="1"/>
  <c r="A954" i="16"/>
  <c r="J953" i="16"/>
  <c r="I953" i="16"/>
  <c r="H953" i="16"/>
  <c r="B953" i="16"/>
  <c r="F953" i="16" s="1"/>
  <c r="A953" i="16"/>
  <c r="J952" i="16"/>
  <c r="I952" i="16"/>
  <c r="H952" i="16"/>
  <c r="B952" i="16"/>
  <c r="F952" i="16" s="1"/>
  <c r="A952" i="16"/>
  <c r="J951" i="16"/>
  <c r="I951" i="16"/>
  <c r="H951" i="16"/>
  <c r="B951" i="16"/>
  <c r="F951" i="16" s="1"/>
  <c r="A951" i="16"/>
  <c r="J950" i="16"/>
  <c r="I950" i="16"/>
  <c r="H950" i="16"/>
  <c r="B950" i="16"/>
  <c r="F950" i="16" s="1"/>
  <c r="A950" i="16"/>
  <c r="J949" i="16"/>
  <c r="I949" i="16"/>
  <c r="H949" i="16"/>
  <c r="B949" i="16"/>
  <c r="F949" i="16" s="1"/>
  <c r="A949" i="16"/>
  <c r="J948" i="16"/>
  <c r="I948" i="16"/>
  <c r="H948" i="16"/>
  <c r="B948" i="16"/>
  <c r="F948" i="16" s="1"/>
  <c r="A948" i="16"/>
  <c r="J947" i="16"/>
  <c r="I947" i="16"/>
  <c r="H947" i="16"/>
  <c r="B947" i="16"/>
  <c r="F947" i="16" s="1"/>
  <c r="A947" i="16"/>
  <c r="J946" i="16"/>
  <c r="I946" i="16"/>
  <c r="H946" i="16"/>
  <c r="B946" i="16"/>
  <c r="F946" i="16" s="1"/>
  <c r="A946" i="16"/>
  <c r="J945" i="16"/>
  <c r="I945" i="16"/>
  <c r="H945" i="16"/>
  <c r="B945" i="16"/>
  <c r="F945" i="16" s="1"/>
  <c r="A945" i="16"/>
  <c r="J944" i="16"/>
  <c r="I944" i="16"/>
  <c r="H944" i="16"/>
  <c r="B944" i="16"/>
  <c r="F944" i="16" s="1"/>
  <c r="A944" i="16"/>
  <c r="J943" i="16"/>
  <c r="I943" i="16"/>
  <c r="H943" i="16"/>
  <c r="B943" i="16"/>
  <c r="F943" i="16" s="1"/>
  <c r="A943" i="16"/>
  <c r="J942" i="16"/>
  <c r="I942" i="16"/>
  <c r="H942" i="16"/>
  <c r="B942" i="16"/>
  <c r="F942" i="16" s="1"/>
  <c r="A942" i="16"/>
  <c r="J941" i="16"/>
  <c r="I941" i="16"/>
  <c r="H941" i="16"/>
  <c r="B941" i="16"/>
  <c r="F941" i="16" s="1"/>
  <c r="A941" i="16"/>
  <c r="J940" i="16"/>
  <c r="I940" i="16"/>
  <c r="H940" i="16"/>
  <c r="B940" i="16"/>
  <c r="F940" i="16" s="1"/>
  <c r="A940" i="16"/>
  <c r="J939" i="16"/>
  <c r="I939" i="16"/>
  <c r="H939" i="16"/>
  <c r="B939" i="16"/>
  <c r="F939" i="16" s="1"/>
  <c r="A939" i="16"/>
  <c r="J938" i="16"/>
  <c r="I938" i="16"/>
  <c r="H938" i="16"/>
  <c r="B938" i="16"/>
  <c r="F938" i="16" s="1"/>
  <c r="A938" i="16"/>
  <c r="J937" i="16"/>
  <c r="I937" i="16"/>
  <c r="H937" i="16"/>
  <c r="B937" i="16"/>
  <c r="F937" i="16" s="1"/>
  <c r="A937" i="16"/>
  <c r="J936" i="16"/>
  <c r="I936" i="16"/>
  <c r="H936" i="16"/>
  <c r="B936" i="16"/>
  <c r="F936" i="16" s="1"/>
  <c r="A936" i="16"/>
  <c r="J935" i="16"/>
  <c r="I935" i="16"/>
  <c r="H935" i="16"/>
  <c r="B935" i="16"/>
  <c r="F935" i="16" s="1"/>
  <c r="A935" i="16"/>
  <c r="J934" i="16"/>
  <c r="I934" i="16"/>
  <c r="H934" i="16"/>
  <c r="B934" i="16"/>
  <c r="F934" i="16" s="1"/>
  <c r="A934" i="16"/>
  <c r="J933" i="16"/>
  <c r="I933" i="16"/>
  <c r="H933" i="16"/>
  <c r="B933" i="16"/>
  <c r="F933" i="16" s="1"/>
  <c r="A933" i="16"/>
  <c r="J932" i="16"/>
  <c r="I932" i="16"/>
  <c r="H932" i="16"/>
  <c r="B932" i="16"/>
  <c r="F932" i="16" s="1"/>
  <c r="A932" i="16"/>
  <c r="J931" i="16"/>
  <c r="I931" i="16"/>
  <c r="H931" i="16"/>
  <c r="B931" i="16"/>
  <c r="F931" i="16" s="1"/>
  <c r="A931" i="16"/>
  <c r="J930" i="16"/>
  <c r="I930" i="16"/>
  <c r="H930" i="16"/>
  <c r="B930" i="16"/>
  <c r="F930" i="16" s="1"/>
  <c r="A930" i="16"/>
  <c r="J929" i="16"/>
  <c r="I929" i="16"/>
  <c r="H929" i="16"/>
  <c r="B929" i="16"/>
  <c r="F929" i="16" s="1"/>
  <c r="A929" i="16"/>
  <c r="J928" i="16"/>
  <c r="I928" i="16"/>
  <c r="H928" i="16"/>
  <c r="B928" i="16"/>
  <c r="F928" i="16" s="1"/>
  <c r="A928" i="16"/>
  <c r="J927" i="16"/>
  <c r="I927" i="16"/>
  <c r="H927" i="16"/>
  <c r="B927" i="16"/>
  <c r="F927" i="16" s="1"/>
  <c r="A927" i="16"/>
  <c r="J926" i="16"/>
  <c r="I926" i="16"/>
  <c r="H926" i="16"/>
  <c r="B926" i="16"/>
  <c r="F926" i="16" s="1"/>
  <c r="A926" i="16"/>
  <c r="J925" i="16"/>
  <c r="I925" i="16"/>
  <c r="H925" i="16"/>
  <c r="B925" i="16"/>
  <c r="F925" i="16" s="1"/>
  <c r="A925" i="16"/>
  <c r="J924" i="16"/>
  <c r="I924" i="16"/>
  <c r="H924" i="16"/>
  <c r="B924" i="16"/>
  <c r="F924" i="16" s="1"/>
  <c r="A924" i="16"/>
  <c r="J923" i="16"/>
  <c r="I923" i="16"/>
  <c r="H923" i="16"/>
  <c r="B923" i="16"/>
  <c r="F923" i="16" s="1"/>
  <c r="A923" i="16"/>
  <c r="J922" i="16"/>
  <c r="I922" i="16"/>
  <c r="H922" i="16"/>
  <c r="B922" i="16"/>
  <c r="F922" i="16" s="1"/>
  <c r="A922" i="16"/>
  <c r="J921" i="16"/>
  <c r="I921" i="16"/>
  <c r="H921" i="16"/>
  <c r="B921" i="16"/>
  <c r="F921" i="16" s="1"/>
  <c r="A921" i="16"/>
  <c r="J920" i="16"/>
  <c r="I920" i="16"/>
  <c r="H920" i="16"/>
  <c r="B920" i="16"/>
  <c r="F920" i="16" s="1"/>
  <c r="A920" i="16"/>
  <c r="J919" i="16"/>
  <c r="I919" i="16"/>
  <c r="H919" i="16"/>
  <c r="B919" i="16"/>
  <c r="F919" i="16" s="1"/>
  <c r="A919" i="16"/>
  <c r="J918" i="16"/>
  <c r="I918" i="16"/>
  <c r="H918" i="16"/>
  <c r="B918" i="16"/>
  <c r="F918" i="16" s="1"/>
  <c r="A918" i="16"/>
  <c r="J917" i="16"/>
  <c r="I917" i="16"/>
  <c r="H917" i="16"/>
  <c r="B917" i="16"/>
  <c r="F917" i="16" s="1"/>
  <c r="A917" i="16"/>
  <c r="J916" i="16"/>
  <c r="I916" i="16"/>
  <c r="H916" i="16"/>
  <c r="B916" i="16"/>
  <c r="F916" i="16" s="1"/>
  <c r="A916" i="16"/>
  <c r="J915" i="16"/>
  <c r="I915" i="16"/>
  <c r="H915" i="16"/>
  <c r="B915" i="16"/>
  <c r="F915" i="16" s="1"/>
  <c r="A915" i="16"/>
  <c r="J914" i="16"/>
  <c r="I914" i="16"/>
  <c r="H914" i="16"/>
  <c r="B914" i="16"/>
  <c r="F914" i="16" s="1"/>
  <c r="A914" i="16"/>
  <c r="J913" i="16"/>
  <c r="I913" i="16"/>
  <c r="H913" i="16"/>
  <c r="B913" i="16"/>
  <c r="F913" i="16" s="1"/>
  <c r="A913" i="16"/>
  <c r="J912" i="16"/>
  <c r="I912" i="16"/>
  <c r="H912" i="16"/>
  <c r="B912" i="16"/>
  <c r="F912" i="16" s="1"/>
  <c r="A912" i="16"/>
  <c r="J911" i="16"/>
  <c r="I911" i="16"/>
  <c r="H911" i="16"/>
  <c r="B911" i="16"/>
  <c r="F911" i="16" s="1"/>
  <c r="A911" i="16"/>
  <c r="J910" i="16"/>
  <c r="I910" i="16"/>
  <c r="H910" i="16"/>
  <c r="B910" i="16"/>
  <c r="F910" i="16" s="1"/>
  <c r="A910" i="16"/>
  <c r="J909" i="16"/>
  <c r="I909" i="16"/>
  <c r="H909" i="16"/>
  <c r="B909" i="16"/>
  <c r="F909" i="16" s="1"/>
  <c r="A909" i="16"/>
  <c r="J908" i="16"/>
  <c r="I908" i="16"/>
  <c r="H908" i="16"/>
  <c r="B908" i="16"/>
  <c r="F908" i="16" s="1"/>
  <c r="A908" i="16"/>
  <c r="J907" i="16"/>
  <c r="I907" i="16"/>
  <c r="H907" i="16"/>
  <c r="B907" i="16"/>
  <c r="F907" i="16" s="1"/>
  <c r="A907" i="16"/>
  <c r="J906" i="16"/>
  <c r="I906" i="16"/>
  <c r="H906" i="16"/>
  <c r="B906" i="16"/>
  <c r="F906" i="16" s="1"/>
  <c r="A906" i="16"/>
  <c r="J905" i="16"/>
  <c r="I905" i="16"/>
  <c r="H905" i="16"/>
  <c r="B905" i="16"/>
  <c r="F905" i="16" s="1"/>
  <c r="A905" i="16"/>
  <c r="J904" i="16"/>
  <c r="I904" i="16"/>
  <c r="H904" i="16"/>
  <c r="B904" i="16"/>
  <c r="F904" i="16" s="1"/>
  <c r="A904" i="16"/>
  <c r="J903" i="16"/>
  <c r="I903" i="16"/>
  <c r="H903" i="16"/>
  <c r="B903" i="16"/>
  <c r="F903" i="16" s="1"/>
  <c r="A903" i="16"/>
  <c r="J902" i="16"/>
  <c r="I902" i="16"/>
  <c r="H902" i="16"/>
  <c r="B902" i="16"/>
  <c r="F902" i="16" s="1"/>
  <c r="A902" i="16"/>
  <c r="J901" i="16"/>
  <c r="I901" i="16"/>
  <c r="H901" i="16"/>
  <c r="B901" i="16"/>
  <c r="F901" i="16" s="1"/>
  <c r="A901" i="16"/>
  <c r="J900" i="16"/>
  <c r="I900" i="16"/>
  <c r="H900" i="16"/>
  <c r="B900" i="16"/>
  <c r="F900" i="16" s="1"/>
  <c r="A900" i="16"/>
  <c r="J899" i="16"/>
  <c r="I899" i="16"/>
  <c r="H899" i="16"/>
  <c r="B899" i="16"/>
  <c r="F899" i="16" s="1"/>
  <c r="A899" i="16"/>
  <c r="J898" i="16"/>
  <c r="I898" i="16"/>
  <c r="H898" i="16"/>
  <c r="B898" i="16"/>
  <c r="F898" i="16" s="1"/>
  <c r="A898" i="16"/>
  <c r="J897" i="16"/>
  <c r="I897" i="16"/>
  <c r="H897" i="16"/>
  <c r="B897" i="16"/>
  <c r="F897" i="16" s="1"/>
  <c r="A897" i="16"/>
  <c r="J896" i="16"/>
  <c r="I896" i="16"/>
  <c r="H896" i="16"/>
  <c r="B896" i="16"/>
  <c r="F896" i="16" s="1"/>
  <c r="A896" i="16"/>
  <c r="J895" i="16"/>
  <c r="I895" i="16"/>
  <c r="H895" i="16"/>
  <c r="B895" i="16"/>
  <c r="F895" i="16" s="1"/>
  <c r="A895" i="16"/>
  <c r="J894" i="16"/>
  <c r="I894" i="16"/>
  <c r="H894" i="16"/>
  <c r="B894" i="16"/>
  <c r="F894" i="16" s="1"/>
  <c r="A894" i="16"/>
  <c r="J893" i="16"/>
  <c r="I893" i="16"/>
  <c r="H893" i="16"/>
  <c r="B893" i="16"/>
  <c r="F893" i="16" s="1"/>
  <c r="A893" i="16"/>
  <c r="J892" i="16"/>
  <c r="I892" i="16"/>
  <c r="H892" i="16"/>
  <c r="B892" i="16"/>
  <c r="F892" i="16" s="1"/>
  <c r="A892" i="16"/>
  <c r="J891" i="16"/>
  <c r="I891" i="16"/>
  <c r="H891" i="16"/>
  <c r="B891" i="16"/>
  <c r="F891" i="16" s="1"/>
  <c r="A891" i="16"/>
  <c r="J890" i="16"/>
  <c r="I890" i="16"/>
  <c r="H890" i="16"/>
  <c r="B890" i="16"/>
  <c r="F890" i="16" s="1"/>
  <c r="A890" i="16"/>
  <c r="J889" i="16"/>
  <c r="I889" i="16"/>
  <c r="H889" i="16"/>
  <c r="B889" i="16"/>
  <c r="F889" i="16" s="1"/>
  <c r="A889" i="16"/>
  <c r="J888" i="16"/>
  <c r="I888" i="16"/>
  <c r="H888" i="16"/>
  <c r="B888" i="16"/>
  <c r="F888" i="16" s="1"/>
  <c r="A888" i="16"/>
  <c r="J887" i="16"/>
  <c r="I887" i="16"/>
  <c r="H887" i="16"/>
  <c r="B887" i="16"/>
  <c r="F887" i="16" s="1"/>
  <c r="A887" i="16"/>
  <c r="J886" i="16"/>
  <c r="I886" i="16"/>
  <c r="H886" i="16"/>
  <c r="B886" i="16"/>
  <c r="F886" i="16" s="1"/>
  <c r="A886" i="16"/>
  <c r="J885" i="16"/>
  <c r="I885" i="16"/>
  <c r="H885" i="16"/>
  <c r="B885" i="16"/>
  <c r="F885" i="16" s="1"/>
  <c r="A885" i="16"/>
  <c r="J884" i="16"/>
  <c r="I884" i="16"/>
  <c r="H884" i="16"/>
  <c r="B884" i="16"/>
  <c r="F884" i="16" s="1"/>
  <c r="A884" i="16"/>
  <c r="J883" i="16"/>
  <c r="I883" i="16"/>
  <c r="H883" i="16"/>
  <c r="B883" i="16"/>
  <c r="F883" i="16" s="1"/>
  <c r="A883" i="16"/>
  <c r="J882" i="16"/>
  <c r="I882" i="16"/>
  <c r="H882" i="16"/>
  <c r="B882" i="16"/>
  <c r="F882" i="16" s="1"/>
  <c r="A882" i="16"/>
  <c r="J881" i="16"/>
  <c r="I881" i="16"/>
  <c r="H881" i="16"/>
  <c r="B881" i="16"/>
  <c r="F881" i="16" s="1"/>
  <c r="A881" i="16"/>
  <c r="J880" i="16"/>
  <c r="I880" i="16"/>
  <c r="H880" i="16"/>
  <c r="B880" i="16"/>
  <c r="F880" i="16" s="1"/>
  <c r="A880" i="16"/>
  <c r="J879" i="16"/>
  <c r="I879" i="16"/>
  <c r="H879" i="16"/>
  <c r="B879" i="16"/>
  <c r="F879" i="16" s="1"/>
  <c r="A879" i="16"/>
  <c r="J878" i="16"/>
  <c r="I878" i="16"/>
  <c r="H878" i="16"/>
  <c r="B878" i="16"/>
  <c r="F878" i="16" s="1"/>
  <c r="A878" i="16"/>
  <c r="J877" i="16"/>
  <c r="I877" i="16"/>
  <c r="H877" i="16"/>
  <c r="B877" i="16"/>
  <c r="F877" i="16" s="1"/>
  <c r="A877" i="16"/>
  <c r="J876" i="16"/>
  <c r="I876" i="16"/>
  <c r="H876" i="16"/>
  <c r="B876" i="16"/>
  <c r="F876" i="16" s="1"/>
  <c r="A876" i="16"/>
  <c r="J875" i="16"/>
  <c r="I875" i="16"/>
  <c r="H875" i="16"/>
  <c r="B875" i="16"/>
  <c r="F875" i="16" s="1"/>
  <c r="A875" i="16"/>
  <c r="J874" i="16"/>
  <c r="I874" i="16"/>
  <c r="H874" i="16"/>
  <c r="B874" i="16"/>
  <c r="F874" i="16" s="1"/>
  <c r="A874" i="16"/>
  <c r="J873" i="16"/>
  <c r="I873" i="16"/>
  <c r="H873" i="16"/>
  <c r="B873" i="16"/>
  <c r="F873" i="16" s="1"/>
  <c r="A873" i="16"/>
  <c r="J872" i="16"/>
  <c r="I872" i="16"/>
  <c r="H872" i="16"/>
  <c r="B872" i="16"/>
  <c r="F872" i="16" s="1"/>
  <c r="A872" i="16"/>
  <c r="J871" i="16"/>
  <c r="I871" i="16"/>
  <c r="H871" i="16"/>
  <c r="B871" i="16"/>
  <c r="F871" i="16" s="1"/>
  <c r="A871" i="16"/>
  <c r="J870" i="16"/>
  <c r="I870" i="16"/>
  <c r="H870" i="16"/>
  <c r="B870" i="16"/>
  <c r="F870" i="16" s="1"/>
  <c r="A870" i="16"/>
  <c r="J869" i="16"/>
  <c r="I869" i="16"/>
  <c r="H869" i="16"/>
  <c r="B869" i="16"/>
  <c r="F869" i="16" s="1"/>
  <c r="A869" i="16"/>
  <c r="J868" i="16"/>
  <c r="I868" i="16"/>
  <c r="H868" i="16"/>
  <c r="B868" i="16"/>
  <c r="F868" i="16" s="1"/>
  <c r="A868" i="16"/>
  <c r="J867" i="16"/>
  <c r="I867" i="16"/>
  <c r="H867" i="16"/>
  <c r="B867" i="16"/>
  <c r="F867" i="16" s="1"/>
  <c r="A867" i="16"/>
  <c r="J866" i="16"/>
  <c r="I866" i="16"/>
  <c r="H866" i="16"/>
  <c r="B866" i="16"/>
  <c r="F866" i="16" s="1"/>
  <c r="A866" i="16"/>
  <c r="J865" i="16"/>
  <c r="I865" i="16"/>
  <c r="H865" i="16"/>
  <c r="B865" i="16"/>
  <c r="F865" i="16" s="1"/>
  <c r="A865" i="16"/>
  <c r="J864" i="16"/>
  <c r="I864" i="16"/>
  <c r="H864" i="16"/>
  <c r="B864" i="16"/>
  <c r="F864" i="16" s="1"/>
  <c r="A864" i="16"/>
  <c r="J863" i="16"/>
  <c r="I863" i="16"/>
  <c r="H863" i="16"/>
  <c r="B863" i="16"/>
  <c r="F863" i="16" s="1"/>
  <c r="A863" i="16"/>
  <c r="J862" i="16"/>
  <c r="I862" i="16"/>
  <c r="H862" i="16"/>
  <c r="B862" i="16"/>
  <c r="F862" i="16" s="1"/>
  <c r="A862" i="16"/>
  <c r="J861" i="16"/>
  <c r="I861" i="16"/>
  <c r="H861" i="16"/>
  <c r="B861" i="16"/>
  <c r="F861" i="16" s="1"/>
  <c r="A861" i="16"/>
  <c r="J860" i="16"/>
  <c r="I860" i="16"/>
  <c r="H860" i="16"/>
  <c r="B860" i="16"/>
  <c r="F860" i="16" s="1"/>
  <c r="A860" i="16"/>
  <c r="J859" i="16"/>
  <c r="I859" i="16"/>
  <c r="H859" i="16"/>
  <c r="B859" i="16"/>
  <c r="F859" i="16" s="1"/>
  <c r="A859" i="16"/>
  <c r="J858" i="16"/>
  <c r="I858" i="16"/>
  <c r="H858" i="16"/>
  <c r="B858" i="16"/>
  <c r="F858" i="16" s="1"/>
  <c r="A858" i="16"/>
  <c r="J857" i="16"/>
  <c r="I857" i="16"/>
  <c r="H857" i="16"/>
  <c r="B857" i="16"/>
  <c r="F857" i="16" s="1"/>
  <c r="A857" i="16"/>
  <c r="J856" i="16"/>
  <c r="I856" i="16"/>
  <c r="H856" i="16"/>
  <c r="B856" i="16"/>
  <c r="F856" i="16" s="1"/>
  <c r="A856" i="16"/>
  <c r="J855" i="16"/>
  <c r="I855" i="16"/>
  <c r="H855" i="16"/>
  <c r="B855" i="16"/>
  <c r="F855" i="16" s="1"/>
  <c r="A855" i="16"/>
  <c r="J854" i="16"/>
  <c r="I854" i="16"/>
  <c r="H854" i="16"/>
  <c r="B854" i="16"/>
  <c r="F854" i="16" s="1"/>
  <c r="A854" i="16"/>
  <c r="J853" i="16"/>
  <c r="I853" i="16"/>
  <c r="H853" i="16"/>
  <c r="B853" i="16"/>
  <c r="F853" i="16" s="1"/>
  <c r="A853" i="16"/>
  <c r="J852" i="16"/>
  <c r="I852" i="16"/>
  <c r="H852" i="16"/>
  <c r="B852" i="16"/>
  <c r="F852" i="16" s="1"/>
  <c r="A852" i="16"/>
  <c r="J851" i="16"/>
  <c r="I851" i="16"/>
  <c r="H851" i="16"/>
  <c r="B851" i="16"/>
  <c r="F851" i="16" s="1"/>
  <c r="A851" i="16"/>
  <c r="J850" i="16"/>
  <c r="I850" i="16"/>
  <c r="H850" i="16"/>
  <c r="B850" i="16"/>
  <c r="F850" i="16" s="1"/>
  <c r="A850" i="16"/>
  <c r="J849" i="16"/>
  <c r="I849" i="16"/>
  <c r="H849" i="16"/>
  <c r="B849" i="16"/>
  <c r="F849" i="16" s="1"/>
  <c r="A849" i="16"/>
  <c r="J848" i="16"/>
  <c r="I848" i="16"/>
  <c r="H848" i="16"/>
  <c r="B848" i="16"/>
  <c r="F848" i="16" s="1"/>
  <c r="A848" i="16"/>
  <c r="BE847" i="16"/>
  <c r="J847" i="16"/>
  <c r="I847" i="16"/>
  <c r="H847" i="16"/>
  <c r="B847" i="16"/>
  <c r="F847" i="16" s="1"/>
  <c r="A847" i="16"/>
  <c r="BE846" i="16"/>
  <c r="J846" i="16"/>
  <c r="I846" i="16"/>
  <c r="H846" i="16"/>
  <c r="B846" i="16"/>
  <c r="F846" i="16" s="1"/>
  <c r="A846" i="16"/>
  <c r="BE845" i="16"/>
  <c r="J845" i="16"/>
  <c r="I845" i="16"/>
  <c r="H845" i="16"/>
  <c r="B845" i="16"/>
  <c r="F845" i="16" s="1"/>
  <c r="A845" i="16"/>
  <c r="BE844" i="16"/>
  <c r="J844" i="16"/>
  <c r="I844" i="16"/>
  <c r="H844" i="16"/>
  <c r="B844" i="16"/>
  <c r="F844" i="16" s="1"/>
  <c r="A844" i="16"/>
  <c r="BE843" i="16"/>
  <c r="J843" i="16"/>
  <c r="I843" i="16"/>
  <c r="H843" i="16"/>
  <c r="B843" i="16"/>
  <c r="F843" i="16" s="1"/>
  <c r="A843" i="16"/>
  <c r="BE842" i="16"/>
  <c r="J842" i="16"/>
  <c r="I842" i="16"/>
  <c r="H842" i="16"/>
  <c r="B842" i="16"/>
  <c r="F842" i="16" s="1"/>
  <c r="A842" i="16"/>
  <c r="BE841" i="16"/>
  <c r="J841" i="16"/>
  <c r="I841" i="16"/>
  <c r="H841" i="16"/>
  <c r="B841" i="16"/>
  <c r="F841" i="16" s="1"/>
  <c r="A841" i="16"/>
  <c r="BE840" i="16"/>
  <c r="J840" i="16"/>
  <c r="I840" i="16"/>
  <c r="H840" i="16"/>
  <c r="B840" i="16"/>
  <c r="F840" i="16" s="1"/>
  <c r="A840" i="16"/>
  <c r="BE839" i="16"/>
  <c r="J839" i="16"/>
  <c r="I839" i="16"/>
  <c r="H839" i="16"/>
  <c r="B839" i="16"/>
  <c r="F839" i="16" s="1"/>
  <c r="A839" i="16"/>
  <c r="BE838" i="16"/>
  <c r="J838" i="16"/>
  <c r="I838" i="16"/>
  <c r="H838" i="16"/>
  <c r="B838" i="16"/>
  <c r="F838" i="16" s="1"/>
  <c r="A838" i="16"/>
  <c r="BE837" i="16"/>
  <c r="J837" i="16"/>
  <c r="I837" i="16"/>
  <c r="H837" i="16"/>
  <c r="B837" i="16"/>
  <c r="F837" i="16" s="1"/>
  <c r="A837" i="16"/>
  <c r="BE836" i="16"/>
  <c r="J836" i="16"/>
  <c r="I836" i="16"/>
  <c r="H836" i="16"/>
  <c r="B836" i="16"/>
  <c r="F836" i="16" s="1"/>
  <c r="A836" i="16"/>
  <c r="BE835" i="16"/>
  <c r="J835" i="16"/>
  <c r="I835" i="16"/>
  <c r="H835" i="16"/>
  <c r="B835" i="16"/>
  <c r="F835" i="16" s="1"/>
  <c r="A835" i="16"/>
  <c r="BE834" i="16"/>
  <c r="J834" i="16"/>
  <c r="I834" i="16"/>
  <c r="H834" i="16"/>
  <c r="B834" i="16"/>
  <c r="F834" i="16" s="1"/>
  <c r="A834" i="16"/>
  <c r="BE833" i="16"/>
  <c r="J833" i="16"/>
  <c r="I833" i="16"/>
  <c r="H833" i="16"/>
  <c r="B833" i="16"/>
  <c r="F833" i="16" s="1"/>
  <c r="A833" i="16"/>
  <c r="BE832" i="16"/>
  <c r="J832" i="16"/>
  <c r="I832" i="16"/>
  <c r="H832" i="16"/>
  <c r="B832" i="16"/>
  <c r="F832" i="16" s="1"/>
  <c r="A832" i="16"/>
  <c r="BE831" i="16"/>
  <c r="J831" i="16"/>
  <c r="I831" i="16"/>
  <c r="H831" i="16"/>
  <c r="B831" i="16"/>
  <c r="F831" i="16" s="1"/>
  <c r="A831" i="16"/>
  <c r="BE830" i="16"/>
  <c r="J830" i="16"/>
  <c r="I830" i="16"/>
  <c r="H830" i="16"/>
  <c r="B830" i="16"/>
  <c r="F830" i="16" s="1"/>
  <c r="BE829" i="16"/>
  <c r="J829" i="16"/>
  <c r="I829" i="16"/>
  <c r="H829" i="16"/>
  <c r="B829" i="16"/>
  <c r="F829" i="16" s="1"/>
  <c r="A829" i="16"/>
  <c r="BE828" i="16"/>
  <c r="J828" i="16"/>
  <c r="I828" i="16"/>
  <c r="H828" i="16"/>
  <c r="B828" i="16"/>
  <c r="F828" i="16" s="1"/>
  <c r="A828" i="16"/>
  <c r="BE827" i="16"/>
  <c r="J827" i="16"/>
  <c r="I827" i="16"/>
  <c r="H827" i="16"/>
  <c r="B827" i="16"/>
  <c r="F827" i="16" s="1"/>
  <c r="A827" i="16"/>
  <c r="BE826" i="16"/>
  <c r="J826" i="16"/>
  <c r="I826" i="16"/>
  <c r="H826" i="16"/>
  <c r="B826" i="16"/>
  <c r="F826" i="16" s="1"/>
  <c r="A826" i="16"/>
  <c r="BE825" i="16"/>
  <c r="J825" i="16"/>
  <c r="I825" i="16"/>
  <c r="H825" i="16"/>
  <c r="B825" i="16"/>
  <c r="F825" i="16" s="1"/>
  <c r="A825" i="16"/>
  <c r="BE824" i="16"/>
  <c r="J824" i="16"/>
  <c r="I824" i="16"/>
  <c r="H824" i="16"/>
  <c r="B824" i="16"/>
  <c r="F824" i="16" s="1"/>
  <c r="A824" i="16"/>
  <c r="BE823" i="16"/>
  <c r="J823" i="16"/>
  <c r="I823" i="16"/>
  <c r="H823" i="16"/>
  <c r="B823" i="16"/>
  <c r="F823" i="16" s="1"/>
  <c r="A823" i="16"/>
  <c r="BE822" i="16"/>
  <c r="J822" i="16"/>
  <c r="I822" i="16"/>
  <c r="H822" i="16"/>
  <c r="B822" i="16"/>
  <c r="F822" i="16" s="1"/>
  <c r="A822" i="16"/>
  <c r="BE821" i="16"/>
  <c r="J821" i="16"/>
  <c r="I821" i="16"/>
  <c r="H821" i="16"/>
  <c r="B821" i="16"/>
  <c r="F821" i="16" s="1"/>
  <c r="A821" i="16"/>
  <c r="BE820" i="16"/>
  <c r="J820" i="16"/>
  <c r="I820" i="16"/>
  <c r="H820" i="16"/>
  <c r="B820" i="16"/>
  <c r="F820" i="16" s="1"/>
  <c r="A820" i="16"/>
  <c r="BE819" i="16"/>
  <c r="J819" i="16"/>
  <c r="I819" i="16"/>
  <c r="H819" i="16"/>
  <c r="B819" i="16"/>
  <c r="F819" i="16" s="1"/>
  <c r="A819" i="16"/>
  <c r="BE818" i="16"/>
  <c r="J818" i="16"/>
  <c r="I818" i="16"/>
  <c r="H818" i="16"/>
  <c r="B818" i="16"/>
  <c r="F818" i="16" s="1"/>
  <c r="A818" i="16"/>
  <c r="BE817" i="16"/>
  <c r="J817" i="16"/>
  <c r="I817" i="16"/>
  <c r="H817" i="16"/>
  <c r="B817" i="16"/>
  <c r="F817" i="16" s="1"/>
  <c r="A817" i="16"/>
  <c r="BE816" i="16"/>
  <c r="J816" i="16"/>
  <c r="I816" i="16"/>
  <c r="H816" i="16"/>
  <c r="B816" i="16"/>
  <c r="F816" i="16" s="1"/>
  <c r="BE815" i="16"/>
  <c r="J815" i="16"/>
  <c r="I815" i="16"/>
  <c r="H815" i="16"/>
  <c r="B815" i="16"/>
  <c r="F815" i="16" s="1"/>
  <c r="A815" i="16"/>
  <c r="BE814" i="16"/>
  <c r="J814" i="16"/>
  <c r="I814" i="16"/>
  <c r="H814" i="16"/>
  <c r="B814" i="16"/>
  <c r="F814" i="16" s="1"/>
  <c r="A814" i="16"/>
  <c r="BE813" i="16"/>
  <c r="J813" i="16"/>
  <c r="I813" i="16"/>
  <c r="H813" i="16"/>
  <c r="B813" i="16"/>
  <c r="F813" i="16" s="1"/>
  <c r="A813" i="16"/>
  <c r="BE812" i="16"/>
  <c r="J812" i="16"/>
  <c r="I812" i="16"/>
  <c r="H812" i="16"/>
  <c r="B812" i="16"/>
  <c r="F812" i="16" s="1"/>
  <c r="A812" i="16"/>
  <c r="BE811" i="16"/>
  <c r="J811" i="16"/>
  <c r="I811" i="16"/>
  <c r="H811" i="16"/>
  <c r="B811" i="16"/>
  <c r="F811" i="16" s="1"/>
  <c r="A811" i="16"/>
  <c r="BE810" i="16"/>
  <c r="J810" i="16"/>
  <c r="I810" i="16"/>
  <c r="H810" i="16"/>
  <c r="B810" i="16"/>
  <c r="F810" i="16" s="1"/>
  <c r="A810" i="16"/>
  <c r="BE809" i="16"/>
  <c r="J809" i="16"/>
  <c r="I809" i="16"/>
  <c r="H809" i="16"/>
  <c r="B809" i="16"/>
  <c r="F809" i="16" s="1"/>
  <c r="A809" i="16"/>
  <c r="BE808" i="16"/>
  <c r="J808" i="16"/>
  <c r="I808" i="16"/>
  <c r="H808" i="16"/>
  <c r="B808" i="16"/>
  <c r="F808" i="16" s="1"/>
  <c r="BE807" i="16"/>
  <c r="J807" i="16"/>
  <c r="I807" i="16"/>
  <c r="H807" i="16"/>
  <c r="B807" i="16"/>
  <c r="F807" i="16" s="1"/>
  <c r="A807" i="16"/>
  <c r="BE806" i="16"/>
  <c r="J806" i="16"/>
  <c r="I806" i="16"/>
  <c r="H806" i="16"/>
  <c r="B806" i="16"/>
  <c r="F806" i="16" s="1"/>
  <c r="A806" i="16"/>
  <c r="BE805" i="16"/>
  <c r="J805" i="16"/>
  <c r="I805" i="16"/>
  <c r="H805" i="16"/>
  <c r="B805" i="16"/>
  <c r="F805" i="16" s="1"/>
  <c r="A805" i="16"/>
  <c r="BE804" i="16"/>
  <c r="J804" i="16"/>
  <c r="I804" i="16"/>
  <c r="H804" i="16"/>
  <c r="B804" i="16"/>
  <c r="F804" i="16" s="1"/>
  <c r="A804" i="16"/>
  <c r="BE803" i="16"/>
  <c r="J803" i="16"/>
  <c r="I803" i="16"/>
  <c r="H803" i="16"/>
  <c r="B803" i="16"/>
  <c r="F803" i="16" s="1"/>
  <c r="A803" i="16"/>
  <c r="BE802" i="16"/>
  <c r="J802" i="16"/>
  <c r="I802" i="16"/>
  <c r="H802" i="16"/>
  <c r="B802" i="16"/>
  <c r="F802" i="16" s="1"/>
  <c r="A802" i="16"/>
  <c r="BE801" i="16"/>
  <c r="J801" i="16"/>
  <c r="I801" i="16"/>
  <c r="H801" i="16"/>
  <c r="B801" i="16"/>
  <c r="F801" i="16" s="1"/>
  <c r="A801" i="16"/>
  <c r="BE800" i="16"/>
  <c r="J800" i="16"/>
  <c r="I800" i="16"/>
  <c r="H800" i="16"/>
  <c r="B800" i="16"/>
  <c r="F800" i="16" s="1"/>
  <c r="A800" i="16"/>
  <c r="BE799" i="16"/>
  <c r="J799" i="16"/>
  <c r="I799" i="16"/>
  <c r="H799" i="16"/>
  <c r="B799" i="16"/>
  <c r="F799" i="16" s="1"/>
  <c r="A799" i="16"/>
  <c r="BE798" i="16"/>
  <c r="J798" i="16"/>
  <c r="I798" i="16"/>
  <c r="H798" i="16"/>
  <c r="B798" i="16"/>
  <c r="F798" i="16" s="1"/>
  <c r="A798" i="16"/>
  <c r="BE797" i="16"/>
  <c r="J797" i="16"/>
  <c r="I797" i="16"/>
  <c r="H797" i="16"/>
  <c r="B797" i="16"/>
  <c r="F797" i="16" s="1"/>
  <c r="A797" i="16"/>
  <c r="BE796" i="16"/>
  <c r="J796" i="16"/>
  <c r="I796" i="16"/>
  <c r="H796" i="16"/>
  <c r="B796" i="16"/>
  <c r="F796" i="16" s="1"/>
  <c r="A796" i="16"/>
  <c r="BE795" i="16"/>
  <c r="J795" i="16"/>
  <c r="I795" i="16"/>
  <c r="H795" i="16"/>
  <c r="B795" i="16"/>
  <c r="F795" i="16" s="1"/>
  <c r="A795" i="16"/>
  <c r="BE794" i="16"/>
  <c r="J794" i="16"/>
  <c r="I794" i="16"/>
  <c r="H794" i="16"/>
  <c r="B794" i="16"/>
  <c r="F794" i="16" s="1"/>
  <c r="A794" i="16"/>
  <c r="BE793" i="16"/>
  <c r="J793" i="16"/>
  <c r="I793" i="16"/>
  <c r="H793" i="16"/>
  <c r="B793" i="16"/>
  <c r="F793" i="16" s="1"/>
  <c r="A793" i="16"/>
  <c r="BE792" i="16"/>
  <c r="J792" i="16"/>
  <c r="I792" i="16"/>
  <c r="H792" i="16"/>
  <c r="B792" i="16"/>
  <c r="F792" i="16" s="1"/>
  <c r="A792" i="16"/>
  <c r="BE791" i="16"/>
  <c r="J791" i="16"/>
  <c r="I791" i="16"/>
  <c r="H791" i="16"/>
  <c r="B791" i="16"/>
  <c r="F791" i="16" s="1"/>
  <c r="A791" i="16"/>
  <c r="BE790" i="16"/>
  <c r="J790" i="16"/>
  <c r="I790" i="16"/>
  <c r="H790" i="16"/>
  <c r="B790" i="16"/>
  <c r="F790" i="16" s="1"/>
  <c r="A790" i="16"/>
  <c r="BE789" i="16"/>
  <c r="J789" i="16"/>
  <c r="I789" i="16"/>
  <c r="H789" i="16"/>
  <c r="B789" i="16"/>
  <c r="F789" i="16" s="1"/>
  <c r="A789" i="16"/>
  <c r="BE788" i="16"/>
  <c r="J788" i="16"/>
  <c r="I788" i="16"/>
  <c r="H788" i="16"/>
  <c r="B788" i="16"/>
  <c r="F788" i="16" s="1"/>
  <c r="A788" i="16"/>
  <c r="BE787" i="16"/>
  <c r="J787" i="16"/>
  <c r="I787" i="16"/>
  <c r="H787" i="16"/>
  <c r="B787" i="16"/>
  <c r="F787" i="16" s="1"/>
  <c r="A787" i="16"/>
  <c r="BE786" i="16"/>
  <c r="J786" i="16"/>
  <c r="I786" i="16"/>
  <c r="H786" i="16"/>
  <c r="B786" i="16"/>
  <c r="F786" i="16" s="1"/>
  <c r="BE785" i="16"/>
  <c r="J785" i="16"/>
  <c r="I785" i="16"/>
  <c r="H785" i="16"/>
  <c r="B785" i="16"/>
  <c r="F785" i="16" s="1"/>
  <c r="A785" i="16"/>
  <c r="BE784" i="16"/>
  <c r="J784" i="16"/>
  <c r="I784" i="16"/>
  <c r="H784" i="16"/>
  <c r="B784" i="16"/>
  <c r="F784" i="16" s="1"/>
  <c r="A784" i="16"/>
  <c r="BE783" i="16"/>
  <c r="J783" i="16"/>
  <c r="I783" i="16"/>
  <c r="H783" i="16"/>
  <c r="B783" i="16"/>
  <c r="F783" i="16" s="1"/>
  <c r="A783" i="16"/>
  <c r="BE782" i="16"/>
  <c r="J782" i="16"/>
  <c r="I782" i="16"/>
  <c r="H782" i="16"/>
  <c r="B782" i="16"/>
  <c r="F782" i="16" s="1"/>
  <c r="A782" i="16"/>
  <c r="BE781" i="16"/>
  <c r="J781" i="16"/>
  <c r="I781" i="16"/>
  <c r="H781" i="16"/>
  <c r="B781" i="16"/>
  <c r="F781" i="16" s="1"/>
  <c r="A781" i="16"/>
  <c r="BE780" i="16"/>
  <c r="J780" i="16"/>
  <c r="I780" i="16"/>
  <c r="H780" i="16"/>
  <c r="B780" i="16"/>
  <c r="F780" i="16" s="1"/>
  <c r="A780" i="16"/>
  <c r="BE779" i="16"/>
  <c r="J779" i="16"/>
  <c r="I779" i="16"/>
  <c r="H779" i="16"/>
  <c r="B779" i="16"/>
  <c r="F779" i="16" s="1"/>
  <c r="A779" i="16"/>
  <c r="BE778" i="16"/>
  <c r="J778" i="16"/>
  <c r="I778" i="16"/>
  <c r="H778" i="16"/>
  <c r="B778" i="16"/>
  <c r="F778" i="16" s="1"/>
  <c r="A778" i="16"/>
  <c r="BE777" i="16"/>
  <c r="J777" i="16"/>
  <c r="I777" i="16"/>
  <c r="H777" i="16"/>
  <c r="B777" i="16"/>
  <c r="F777" i="16" s="1"/>
  <c r="A777" i="16"/>
  <c r="BE776" i="16"/>
  <c r="J776" i="16"/>
  <c r="I776" i="16"/>
  <c r="H776" i="16"/>
  <c r="B776" i="16"/>
  <c r="F776" i="16" s="1"/>
  <c r="A776" i="16"/>
  <c r="BE775" i="16"/>
  <c r="J775" i="16"/>
  <c r="I775" i="16"/>
  <c r="H775" i="16"/>
  <c r="B775" i="16"/>
  <c r="F775" i="16" s="1"/>
  <c r="A775" i="16"/>
  <c r="BE774" i="16"/>
  <c r="J774" i="16"/>
  <c r="I774" i="16"/>
  <c r="H774" i="16"/>
  <c r="B774" i="16"/>
  <c r="F774" i="16" s="1"/>
  <c r="A774" i="16"/>
  <c r="BE773" i="16"/>
  <c r="J773" i="16"/>
  <c r="I773" i="16"/>
  <c r="H773" i="16"/>
  <c r="B773" i="16"/>
  <c r="F773" i="16" s="1"/>
  <c r="A773" i="16"/>
  <c r="BE772" i="16"/>
  <c r="J772" i="16"/>
  <c r="I772" i="16"/>
  <c r="H772" i="16"/>
  <c r="B772" i="16"/>
  <c r="F772" i="16" s="1"/>
  <c r="A772" i="16"/>
  <c r="BE771" i="16"/>
  <c r="J771" i="16"/>
  <c r="I771" i="16"/>
  <c r="H771" i="16"/>
  <c r="B771" i="16"/>
  <c r="F771" i="16" s="1"/>
  <c r="A771" i="16"/>
  <c r="BE770" i="16"/>
  <c r="J770" i="16"/>
  <c r="I770" i="16"/>
  <c r="H770" i="16"/>
  <c r="B770" i="16"/>
  <c r="F770" i="16" s="1"/>
  <c r="A770" i="16"/>
  <c r="BE769" i="16"/>
  <c r="J769" i="16"/>
  <c r="I769" i="16"/>
  <c r="H769" i="16"/>
  <c r="B769" i="16"/>
  <c r="F769" i="16" s="1"/>
  <c r="A769" i="16"/>
  <c r="BE768" i="16"/>
  <c r="J768" i="16"/>
  <c r="I768" i="16"/>
  <c r="H768" i="16"/>
  <c r="B768" i="16"/>
  <c r="F768" i="16" s="1"/>
  <c r="A768" i="16"/>
  <c r="BE767" i="16"/>
  <c r="J767" i="16"/>
  <c r="I767" i="16"/>
  <c r="H767" i="16"/>
  <c r="B767" i="16"/>
  <c r="F767" i="16" s="1"/>
  <c r="A767" i="16"/>
  <c r="BE766" i="16"/>
  <c r="J766" i="16"/>
  <c r="I766" i="16"/>
  <c r="H766" i="16"/>
  <c r="B766" i="16"/>
  <c r="F766" i="16" s="1"/>
  <c r="A766" i="16"/>
  <c r="BE765" i="16"/>
  <c r="J765" i="16"/>
  <c r="I765" i="16"/>
  <c r="H765" i="16"/>
  <c r="B765" i="16"/>
  <c r="F765" i="16" s="1"/>
  <c r="A765" i="16"/>
  <c r="BE764" i="16"/>
  <c r="J764" i="16"/>
  <c r="I764" i="16"/>
  <c r="H764" i="16"/>
  <c r="B764" i="16"/>
  <c r="F764" i="16" s="1"/>
  <c r="A764" i="16"/>
  <c r="BE763" i="16"/>
  <c r="J763" i="16"/>
  <c r="I763" i="16"/>
  <c r="H763" i="16"/>
  <c r="B763" i="16"/>
  <c r="F763" i="16" s="1"/>
  <c r="A763" i="16"/>
  <c r="BE762" i="16"/>
  <c r="J762" i="16"/>
  <c r="I762" i="16"/>
  <c r="H762" i="16"/>
  <c r="B762" i="16"/>
  <c r="F762" i="16" s="1"/>
  <c r="A762" i="16"/>
  <c r="BE761" i="16"/>
  <c r="J761" i="16"/>
  <c r="I761" i="16"/>
  <c r="H761" i="16"/>
  <c r="B761" i="16"/>
  <c r="F761" i="16" s="1"/>
  <c r="A761" i="16"/>
  <c r="BE760" i="16"/>
  <c r="J760" i="16"/>
  <c r="I760" i="16"/>
  <c r="H760" i="16"/>
  <c r="B760" i="16"/>
  <c r="F760" i="16" s="1"/>
  <c r="A760" i="16"/>
  <c r="BE759" i="16"/>
  <c r="J759" i="16"/>
  <c r="I759" i="16"/>
  <c r="H759" i="16"/>
  <c r="B759" i="16"/>
  <c r="F759" i="16" s="1"/>
  <c r="A759" i="16"/>
  <c r="BE758" i="16"/>
  <c r="J758" i="16"/>
  <c r="I758" i="16"/>
  <c r="H758" i="16"/>
  <c r="B758" i="16"/>
  <c r="F758" i="16" s="1"/>
  <c r="A758" i="16"/>
  <c r="BE757" i="16"/>
  <c r="J757" i="16"/>
  <c r="I757" i="16"/>
  <c r="H757" i="16"/>
  <c r="B757" i="16"/>
  <c r="F757" i="16" s="1"/>
  <c r="A757" i="16"/>
  <c r="BE756" i="16"/>
  <c r="J756" i="16"/>
  <c r="I756" i="16"/>
  <c r="H756" i="16"/>
  <c r="B756" i="16"/>
  <c r="F756" i="16" s="1"/>
  <c r="A756" i="16"/>
  <c r="BE755" i="16"/>
  <c r="J755" i="16"/>
  <c r="I755" i="16"/>
  <c r="H755" i="16"/>
  <c r="B755" i="16"/>
  <c r="F755" i="16" s="1"/>
  <c r="A755" i="16"/>
  <c r="BE754" i="16"/>
  <c r="J754" i="16"/>
  <c r="I754" i="16"/>
  <c r="H754" i="16"/>
  <c r="B754" i="16"/>
  <c r="F754" i="16" s="1"/>
  <c r="BE753" i="16"/>
  <c r="J753" i="16"/>
  <c r="I753" i="16"/>
  <c r="H753" i="16"/>
  <c r="B753" i="16"/>
  <c r="F753" i="16" s="1"/>
  <c r="A753" i="16"/>
  <c r="BE752" i="16"/>
  <c r="J752" i="16"/>
  <c r="I752" i="16"/>
  <c r="H752" i="16"/>
  <c r="B752" i="16"/>
  <c r="F752" i="16" s="1"/>
  <c r="A752" i="16"/>
  <c r="BE751" i="16"/>
  <c r="J751" i="16"/>
  <c r="I751" i="16"/>
  <c r="H751" i="16"/>
  <c r="B751" i="16"/>
  <c r="F751" i="16" s="1"/>
  <c r="A751" i="16"/>
  <c r="BE750" i="16"/>
  <c r="J750" i="16"/>
  <c r="I750" i="16"/>
  <c r="H750" i="16"/>
  <c r="B750" i="16"/>
  <c r="F750" i="16" s="1"/>
  <c r="A750" i="16"/>
  <c r="BE749" i="16"/>
  <c r="J749" i="16"/>
  <c r="I749" i="16"/>
  <c r="H749" i="16"/>
  <c r="B749" i="16"/>
  <c r="F749" i="16" s="1"/>
  <c r="A749" i="16"/>
  <c r="BE748" i="16"/>
  <c r="J748" i="16"/>
  <c r="I748" i="16"/>
  <c r="H748" i="16"/>
  <c r="B748" i="16"/>
  <c r="F748" i="16" s="1"/>
  <c r="A748" i="16"/>
  <c r="BE747" i="16"/>
  <c r="J747" i="16"/>
  <c r="I747" i="16"/>
  <c r="H747" i="16"/>
  <c r="B747" i="16"/>
  <c r="F747" i="16" s="1"/>
  <c r="A747" i="16"/>
  <c r="BE746" i="16"/>
  <c r="J746" i="16"/>
  <c r="I746" i="16"/>
  <c r="H746" i="16"/>
  <c r="B746" i="16"/>
  <c r="F746" i="16" s="1"/>
  <c r="A746" i="16"/>
  <c r="BE745" i="16"/>
  <c r="J745" i="16"/>
  <c r="I745" i="16"/>
  <c r="H745" i="16"/>
  <c r="B745" i="16"/>
  <c r="F745" i="16" s="1"/>
  <c r="A745" i="16"/>
  <c r="BE744" i="16"/>
  <c r="J744" i="16"/>
  <c r="I744" i="16"/>
  <c r="H744" i="16"/>
  <c r="B744" i="16"/>
  <c r="F744" i="16" s="1"/>
  <c r="A744" i="16"/>
  <c r="BE743" i="16"/>
  <c r="J743" i="16"/>
  <c r="I743" i="16"/>
  <c r="H743" i="16"/>
  <c r="B743" i="16"/>
  <c r="F743" i="16" s="1"/>
  <c r="A743" i="16"/>
  <c r="BE742" i="16"/>
  <c r="J742" i="16"/>
  <c r="I742" i="16"/>
  <c r="H742" i="16"/>
  <c r="B742" i="16"/>
  <c r="F742" i="16" s="1"/>
  <c r="A742" i="16"/>
  <c r="BE741" i="16"/>
  <c r="J741" i="16"/>
  <c r="I741" i="16"/>
  <c r="H741" i="16"/>
  <c r="B741" i="16"/>
  <c r="F741" i="16" s="1"/>
  <c r="A741" i="16"/>
  <c r="BE740" i="16"/>
  <c r="J740" i="16"/>
  <c r="I740" i="16"/>
  <c r="H740" i="16"/>
  <c r="B740" i="16"/>
  <c r="F740" i="16" s="1"/>
  <c r="A740" i="16"/>
  <c r="BE739" i="16"/>
  <c r="J739" i="16"/>
  <c r="I739" i="16"/>
  <c r="H739" i="16"/>
  <c r="B739" i="16"/>
  <c r="F739" i="16" s="1"/>
  <c r="A739" i="16"/>
  <c r="BE738" i="16"/>
  <c r="J738" i="16"/>
  <c r="I738" i="16"/>
  <c r="H738" i="16"/>
  <c r="B738" i="16"/>
  <c r="F738" i="16" s="1"/>
  <c r="A738" i="16"/>
  <c r="BE737" i="16"/>
  <c r="J737" i="16"/>
  <c r="I737" i="16"/>
  <c r="H737" i="16"/>
  <c r="B737" i="16"/>
  <c r="F737" i="16" s="1"/>
  <c r="A737" i="16"/>
  <c r="BE736" i="16"/>
  <c r="J736" i="16"/>
  <c r="I736" i="16"/>
  <c r="H736" i="16"/>
  <c r="B736" i="16"/>
  <c r="F736" i="16" s="1"/>
  <c r="A736" i="16"/>
  <c r="BE735" i="16"/>
  <c r="J735" i="16"/>
  <c r="I735" i="16"/>
  <c r="H735" i="16"/>
  <c r="B735" i="16"/>
  <c r="F735" i="16" s="1"/>
  <c r="A735" i="16"/>
  <c r="BE734" i="16"/>
  <c r="J734" i="16"/>
  <c r="I734" i="16"/>
  <c r="H734" i="16"/>
  <c r="B734" i="16"/>
  <c r="F734" i="16" s="1"/>
  <c r="A734" i="16"/>
  <c r="BE733" i="16"/>
  <c r="J733" i="16"/>
  <c r="I733" i="16"/>
  <c r="H733" i="16"/>
  <c r="B733" i="16"/>
  <c r="F733" i="16" s="1"/>
  <c r="A733" i="16"/>
  <c r="BE732" i="16"/>
  <c r="J732" i="16"/>
  <c r="I732" i="16"/>
  <c r="H732" i="16"/>
  <c r="B732" i="16"/>
  <c r="F732" i="16" s="1"/>
  <c r="A732" i="16"/>
  <c r="BE731" i="16"/>
  <c r="J731" i="16"/>
  <c r="I731" i="16"/>
  <c r="H731" i="16"/>
  <c r="B731" i="16"/>
  <c r="F731" i="16" s="1"/>
  <c r="A731" i="16"/>
  <c r="BE730" i="16"/>
  <c r="J730" i="16"/>
  <c r="I730" i="16"/>
  <c r="H730" i="16"/>
  <c r="B730" i="16"/>
  <c r="F730" i="16" s="1"/>
  <c r="A730" i="16"/>
  <c r="BE729" i="16"/>
  <c r="J729" i="16"/>
  <c r="I729" i="16"/>
  <c r="H729" i="16"/>
  <c r="B729" i="16"/>
  <c r="F729" i="16" s="1"/>
  <c r="A729" i="16"/>
  <c r="BE728" i="16"/>
  <c r="J728" i="16"/>
  <c r="I728" i="16"/>
  <c r="H728" i="16"/>
  <c r="B728" i="16"/>
  <c r="F728" i="16" s="1"/>
  <c r="A728" i="16"/>
  <c r="BE727" i="16"/>
  <c r="J727" i="16"/>
  <c r="I727" i="16"/>
  <c r="H727" i="16"/>
  <c r="B727" i="16"/>
  <c r="F727" i="16" s="1"/>
  <c r="A727" i="16"/>
  <c r="BE726" i="16"/>
  <c r="J726" i="16"/>
  <c r="I726" i="16"/>
  <c r="H726" i="16"/>
  <c r="B726" i="16"/>
  <c r="F726" i="16" s="1"/>
  <c r="A726" i="16"/>
  <c r="BE725" i="16"/>
  <c r="J725" i="16"/>
  <c r="I725" i="16"/>
  <c r="H725" i="16"/>
  <c r="B725" i="16"/>
  <c r="F725" i="16" s="1"/>
  <c r="A725" i="16"/>
  <c r="BE724" i="16"/>
  <c r="J724" i="16"/>
  <c r="I724" i="16"/>
  <c r="H724" i="16"/>
  <c r="B724" i="16"/>
  <c r="F724" i="16" s="1"/>
  <c r="BE723" i="16"/>
  <c r="J723" i="16"/>
  <c r="I723" i="16"/>
  <c r="H723" i="16"/>
  <c r="B723" i="16"/>
  <c r="F723" i="16" s="1"/>
  <c r="A723" i="16"/>
  <c r="BE722" i="16"/>
  <c r="J722" i="16"/>
  <c r="I722" i="16"/>
  <c r="H722" i="16"/>
  <c r="B722" i="16"/>
  <c r="F722" i="16" s="1"/>
  <c r="A722" i="16"/>
  <c r="BE721" i="16"/>
  <c r="J721" i="16"/>
  <c r="I721" i="16"/>
  <c r="H721" i="16"/>
  <c r="B721" i="16"/>
  <c r="F721" i="16" s="1"/>
  <c r="A721" i="16"/>
  <c r="BE720" i="16"/>
  <c r="J720" i="16"/>
  <c r="I720" i="16"/>
  <c r="H720" i="16"/>
  <c r="B720" i="16"/>
  <c r="F720" i="16" s="1"/>
  <c r="A720" i="16"/>
  <c r="BE719" i="16"/>
  <c r="J719" i="16"/>
  <c r="I719" i="16"/>
  <c r="H719" i="16"/>
  <c r="B719" i="16"/>
  <c r="F719" i="16" s="1"/>
  <c r="A719" i="16"/>
  <c r="BE718" i="16"/>
  <c r="J718" i="16"/>
  <c r="I718" i="16"/>
  <c r="H718" i="16"/>
  <c r="B718" i="16"/>
  <c r="F718" i="16" s="1"/>
  <c r="A718" i="16"/>
  <c r="BE717" i="16"/>
  <c r="J717" i="16"/>
  <c r="I717" i="16"/>
  <c r="H717" i="16"/>
  <c r="B717" i="16"/>
  <c r="F717" i="16" s="1"/>
  <c r="A717" i="16"/>
  <c r="BE716" i="16"/>
  <c r="J716" i="16"/>
  <c r="I716" i="16"/>
  <c r="H716" i="16"/>
  <c r="B716" i="16"/>
  <c r="F716" i="16" s="1"/>
  <c r="A716" i="16"/>
  <c r="BE715" i="16"/>
  <c r="J715" i="16"/>
  <c r="I715" i="16"/>
  <c r="H715" i="16"/>
  <c r="B715" i="16"/>
  <c r="F715" i="16" s="1"/>
  <c r="A715" i="16"/>
  <c r="BE714" i="16"/>
  <c r="J714" i="16"/>
  <c r="I714" i="16"/>
  <c r="H714" i="16"/>
  <c r="B714" i="16"/>
  <c r="F714" i="16" s="1"/>
  <c r="A714" i="16"/>
  <c r="BE713" i="16"/>
  <c r="J713" i="16"/>
  <c r="I713" i="16"/>
  <c r="H713" i="16"/>
  <c r="B713" i="16"/>
  <c r="F713" i="16" s="1"/>
  <c r="A713" i="16"/>
  <c r="BE712" i="16"/>
  <c r="J712" i="16"/>
  <c r="I712" i="16"/>
  <c r="H712" i="16"/>
  <c r="B712" i="16"/>
  <c r="F712" i="16" s="1"/>
  <c r="A712" i="16"/>
  <c r="BE711" i="16"/>
  <c r="J711" i="16"/>
  <c r="I711" i="16"/>
  <c r="H711" i="16"/>
  <c r="B711" i="16"/>
  <c r="F711" i="16" s="1"/>
  <c r="A711" i="16"/>
  <c r="BE710" i="16"/>
  <c r="J710" i="16"/>
  <c r="I710" i="16"/>
  <c r="H710" i="16"/>
  <c r="B710" i="16"/>
  <c r="F710" i="16" s="1"/>
  <c r="A710" i="16"/>
  <c r="BE709" i="16"/>
  <c r="J709" i="16"/>
  <c r="I709" i="16"/>
  <c r="H709" i="16"/>
  <c r="B709" i="16"/>
  <c r="F709" i="16" s="1"/>
  <c r="A709" i="16"/>
  <c r="BE708" i="16"/>
  <c r="J708" i="16"/>
  <c r="I708" i="16"/>
  <c r="H708" i="16"/>
  <c r="B708" i="16"/>
  <c r="F708" i="16" s="1"/>
  <c r="A708" i="16"/>
  <c r="BE707" i="16"/>
  <c r="J707" i="16"/>
  <c r="I707" i="16"/>
  <c r="H707" i="16"/>
  <c r="B707" i="16"/>
  <c r="F707" i="16" s="1"/>
  <c r="A707" i="16"/>
  <c r="BE706" i="16"/>
  <c r="J706" i="16"/>
  <c r="I706" i="16"/>
  <c r="H706" i="16"/>
  <c r="B706" i="16"/>
  <c r="F706" i="16" s="1"/>
  <c r="A706" i="16"/>
  <c r="BE705" i="16"/>
  <c r="J705" i="16"/>
  <c r="I705" i="16"/>
  <c r="H705" i="16"/>
  <c r="B705" i="16"/>
  <c r="F705" i="16" s="1"/>
  <c r="A705" i="16"/>
  <c r="BE704" i="16"/>
  <c r="J704" i="16"/>
  <c r="I704" i="16"/>
  <c r="H704" i="16"/>
  <c r="B704" i="16"/>
  <c r="F704" i="16" s="1"/>
  <c r="A704" i="16"/>
  <c r="BE703" i="16"/>
  <c r="J703" i="16"/>
  <c r="I703" i="16"/>
  <c r="H703" i="16"/>
  <c r="B703" i="16"/>
  <c r="F703" i="16" s="1"/>
  <c r="A703" i="16"/>
  <c r="BE702" i="16"/>
  <c r="J702" i="16"/>
  <c r="I702" i="16"/>
  <c r="H702" i="16"/>
  <c r="B702" i="16"/>
  <c r="F702" i="16" s="1"/>
  <c r="A702" i="16"/>
  <c r="BE701" i="16"/>
  <c r="J701" i="16"/>
  <c r="I701" i="16"/>
  <c r="H701" i="16"/>
  <c r="B701" i="16"/>
  <c r="F701" i="16" s="1"/>
  <c r="A701" i="16"/>
  <c r="BE700" i="16"/>
  <c r="J700" i="16"/>
  <c r="I700" i="16"/>
  <c r="H700" i="16"/>
  <c r="B700" i="16"/>
  <c r="F700" i="16" s="1"/>
  <c r="A700" i="16"/>
  <c r="BE699" i="16"/>
  <c r="J699" i="16"/>
  <c r="I699" i="16"/>
  <c r="H699" i="16"/>
  <c r="B699" i="16"/>
  <c r="F699" i="16" s="1"/>
  <c r="A699" i="16"/>
  <c r="BE698" i="16"/>
  <c r="J698" i="16"/>
  <c r="I698" i="16"/>
  <c r="H698" i="16"/>
  <c r="B698" i="16"/>
  <c r="F698" i="16" s="1"/>
  <c r="A698" i="16"/>
  <c r="BE697" i="16"/>
  <c r="J697" i="16"/>
  <c r="I697" i="16"/>
  <c r="H697" i="16"/>
  <c r="B697" i="16"/>
  <c r="F697" i="16" s="1"/>
  <c r="A697" i="16"/>
  <c r="BE696" i="16"/>
  <c r="J696" i="16"/>
  <c r="I696" i="16"/>
  <c r="H696" i="16"/>
  <c r="B696" i="16"/>
  <c r="F696" i="16" s="1"/>
  <c r="A696" i="16"/>
  <c r="BE695" i="16"/>
  <c r="J695" i="16"/>
  <c r="I695" i="16"/>
  <c r="H695" i="16"/>
  <c r="B695" i="16"/>
  <c r="F695" i="16" s="1"/>
  <c r="A695" i="16"/>
  <c r="BE694" i="16"/>
  <c r="J694" i="16"/>
  <c r="I694" i="16"/>
  <c r="H694" i="16"/>
  <c r="B694" i="16"/>
  <c r="F694" i="16" s="1"/>
  <c r="A694" i="16"/>
  <c r="BE693" i="16"/>
  <c r="J693" i="16"/>
  <c r="I693" i="16"/>
  <c r="H693" i="16"/>
  <c r="B693" i="16"/>
  <c r="F693" i="16" s="1"/>
  <c r="A693" i="16"/>
  <c r="BE692" i="16"/>
  <c r="J692" i="16"/>
  <c r="I692" i="16"/>
  <c r="H692" i="16"/>
  <c r="B692" i="16"/>
  <c r="F692" i="16" s="1"/>
  <c r="A692" i="16"/>
  <c r="BE691" i="16"/>
  <c r="J691" i="16"/>
  <c r="I691" i="16"/>
  <c r="H691" i="16"/>
  <c r="B691" i="16"/>
  <c r="F691" i="16" s="1"/>
  <c r="A691" i="16"/>
  <c r="BE690" i="16"/>
  <c r="J690" i="16"/>
  <c r="I690" i="16"/>
  <c r="H690" i="16"/>
  <c r="B690" i="16"/>
  <c r="F690" i="16" s="1"/>
  <c r="A690" i="16"/>
  <c r="BE689" i="16"/>
  <c r="J689" i="16"/>
  <c r="I689" i="16"/>
  <c r="H689" i="16"/>
  <c r="B689" i="16"/>
  <c r="F689" i="16" s="1"/>
  <c r="A689" i="16"/>
  <c r="BE688" i="16"/>
  <c r="J688" i="16"/>
  <c r="I688" i="16"/>
  <c r="H688" i="16"/>
  <c r="B688" i="16"/>
  <c r="F688" i="16" s="1"/>
  <c r="A688" i="16"/>
  <c r="BE687" i="16"/>
  <c r="J687" i="16"/>
  <c r="I687" i="16"/>
  <c r="H687" i="16"/>
  <c r="B687" i="16"/>
  <c r="F687" i="16" s="1"/>
  <c r="A687" i="16"/>
  <c r="BE686" i="16"/>
  <c r="J686" i="16"/>
  <c r="I686" i="16"/>
  <c r="H686" i="16"/>
  <c r="B686" i="16"/>
  <c r="F686" i="16" s="1"/>
  <c r="BE685" i="16"/>
  <c r="J685" i="16"/>
  <c r="I685" i="16"/>
  <c r="H685" i="16"/>
  <c r="B685" i="16"/>
  <c r="F685" i="16" s="1"/>
  <c r="A685" i="16"/>
  <c r="BE684" i="16"/>
  <c r="J684" i="16"/>
  <c r="I684" i="16"/>
  <c r="H684" i="16"/>
  <c r="B684" i="16"/>
  <c r="F684" i="16" s="1"/>
  <c r="A684" i="16"/>
  <c r="BE683" i="16"/>
  <c r="J683" i="16"/>
  <c r="I683" i="16"/>
  <c r="H683" i="16"/>
  <c r="B683" i="16"/>
  <c r="F683" i="16" s="1"/>
  <c r="A683" i="16"/>
  <c r="BE682" i="16"/>
  <c r="J682" i="16"/>
  <c r="I682" i="16"/>
  <c r="H682" i="16"/>
  <c r="B682" i="16"/>
  <c r="F682" i="16" s="1"/>
  <c r="A682" i="16"/>
  <c r="BE681" i="16"/>
  <c r="J681" i="16"/>
  <c r="I681" i="16"/>
  <c r="H681" i="16"/>
  <c r="B681" i="16"/>
  <c r="F681" i="16" s="1"/>
  <c r="A681" i="16"/>
  <c r="BE680" i="16"/>
  <c r="J680" i="16"/>
  <c r="I680" i="16"/>
  <c r="H680" i="16"/>
  <c r="B680" i="16"/>
  <c r="F680" i="16" s="1"/>
  <c r="A680" i="16"/>
  <c r="BE679" i="16"/>
  <c r="J679" i="16"/>
  <c r="I679" i="16"/>
  <c r="H679" i="16"/>
  <c r="B679" i="16"/>
  <c r="F679" i="16" s="1"/>
  <c r="A679" i="16"/>
  <c r="BE678" i="16"/>
  <c r="J678" i="16"/>
  <c r="I678" i="16"/>
  <c r="H678" i="16"/>
  <c r="B678" i="16"/>
  <c r="F678" i="16" s="1"/>
  <c r="A678" i="16"/>
  <c r="BE677" i="16"/>
  <c r="J677" i="16"/>
  <c r="I677" i="16"/>
  <c r="H677" i="16"/>
  <c r="B677" i="16"/>
  <c r="F677" i="16" s="1"/>
  <c r="A677" i="16"/>
  <c r="BE676" i="16"/>
  <c r="J676" i="16"/>
  <c r="I676" i="16"/>
  <c r="H676" i="16"/>
  <c r="B676" i="16"/>
  <c r="F676" i="16" s="1"/>
  <c r="A676" i="16"/>
  <c r="BE675" i="16"/>
  <c r="J675" i="16"/>
  <c r="I675" i="16"/>
  <c r="H675" i="16"/>
  <c r="B675" i="16"/>
  <c r="F675" i="16" s="1"/>
  <c r="A675" i="16"/>
  <c r="BE674" i="16"/>
  <c r="J674" i="16"/>
  <c r="I674" i="16"/>
  <c r="H674" i="16"/>
  <c r="B674" i="16"/>
  <c r="F674" i="16" s="1"/>
  <c r="A674" i="16"/>
  <c r="BE673" i="16"/>
  <c r="J673" i="16"/>
  <c r="I673" i="16"/>
  <c r="H673" i="16"/>
  <c r="B673" i="16"/>
  <c r="F673" i="16" s="1"/>
  <c r="A673" i="16"/>
  <c r="BE672" i="16"/>
  <c r="J672" i="16"/>
  <c r="I672" i="16"/>
  <c r="H672" i="16"/>
  <c r="B672" i="16"/>
  <c r="F672" i="16" s="1"/>
  <c r="A672" i="16"/>
  <c r="BE671" i="16"/>
  <c r="J671" i="16"/>
  <c r="I671" i="16"/>
  <c r="H671" i="16"/>
  <c r="B671" i="16"/>
  <c r="F671" i="16" s="1"/>
  <c r="A671" i="16"/>
  <c r="BE670" i="16"/>
  <c r="J670" i="16"/>
  <c r="I670" i="16"/>
  <c r="H670" i="16"/>
  <c r="B670" i="16"/>
  <c r="F670" i="16" s="1"/>
  <c r="A670" i="16"/>
  <c r="BE669" i="16"/>
  <c r="J669" i="16"/>
  <c r="I669" i="16"/>
  <c r="H669" i="16"/>
  <c r="B669" i="16"/>
  <c r="F669" i="16" s="1"/>
  <c r="A669" i="16"/>
  <c r="BE668" i="16"/>
  <c r="J668" i="16"/>
  <c r="I668" i="16"/>
  <c r="H668" i="16"/>
  <c r="B668" i="16"/>
  <c r="F668" i="16" s="1"/>
  <c r="A668" i="16"/>
  <c r="BE667" i="16"/>
  <c r="J667" i="16"/>
  <c r="I667" i="16"/>
  <c r="H667" i="16"/>
  <c r="B667" i="16"/>
  <c r="F667" i="16" s="1"/>
  <c r="A667" i="16"/>
  <c r="BE666" i="16"/>
  <c r="J666" i="16"/>
  <c r="I666" i="16"/>
  <c r="H666" i="16"/>
  <c r="B666" i="16"/>
  <c r="F666" i="16" s="1"/>
  <c r="A666" i="16"/>
  <c r="BE665" i="16"/>
  <c r="J665" i="16"/>
  <c r="I665" i="16"/>
  <c r="H665" i="16"/>
  <c r="B665" i="16"/>
  <c r="F665" i="16" s="1"/>
  <c r="A665" i="16"/>
  <c r="BE664" i="16"/>
  <c r="J664" i="16"/>
  <c r="I664" i="16"/>
  <c r="H664" i="16"/>
  <c r="B664" i="16"/>
  <c r="F664" i="16" s="1"/>
  <c r="A664" i="16"/>
  <c r="BE663" i="16"/>
  <c r="J663" i="16"/>
  <c r="I663" i="16"/>
  <c r="H663" i="16"/>
  <c r="B663" i="16"/>
  <c r="F663" i="16" s="1"/>
  <c r="A663" i="16"/>
  <c r="BE662" i="16"/>
  <c r="J662" i="16"/>
  <c r="I662" i="16"/>
  <c r="H662" i="16"/>
  <c r="B662" i="16"/>
  <c r="F662" i="16" s="1"/>
  <c r="A662" i="16"/>
  <c r="BE661" i="16"/>
  <c r="J661" i="16"/>
  <c r="I661" i="16"/>
  <c r="H661" i="16"/>
  <c r="B661" i="16"/>
  <c r="F661" i="16" s="1"/>
  <c r="A661" i="16"/>
  <c r="BE660" i="16"/>
  <c r="J660" i="16"/>
  <c r="I660" i="16"/>
  <c r="H660" i="16"/>
  <c r="B660" i="16"/>
  <c r="F660" i="16" s="1"/>
  <c r="A660" i="16"/>
  <c r="BE659" i="16"/>
  <c r="J659" i="16"/>
  <c r="I659" i="16"/>
  <c r="H659" i="16"/>
  <c r="B659" i="16"/>
  <c r="F659" i="16" s="1"/>
  <c r="A659" i="16"/>
  <c r="BE658" i="16"/>
  <c r="J658" i="16"/>
  <c r="I658" i="16"/>
  <c r="H658" i="16"/>
  <c r="B658" i="16"/>
  <c r="F658" i="16" s="1"/>
  <c r="A658" i="16"/>
  <c r="BE657" i="16"/>
  <c r="J657" i="16"/>
  <c r="I657" i="16"/>
  <c r="H657" i="16"/>
  <c r="B657" i="16"/>
  <c r="F657" i="16" s="1"/>
  <c r="A657" i="16"/>
  <c r="BE656" i="16"/>
  <c r="J656" i="16"/>
  <c r="I656" i="16"/>
  <c r="H656" i="16"/>
  <c r="B656" i="16"/>
  <c r="F656" i="16" s="1"/>
  <c r="A656" i="16"/>
  <c r="BE655" i="16"/>
  <c r="J655" i="16"/>
  <c r="I655" i="16"/>
  <c r="H655" i="16"/>
  <c r="B655" i="16"/>
  <c r="F655" i="16" s="1"/>
  <c r="A655" i="16"/>
  <c r="BE654" i="16"/>
  <c r="J654" i="16"/>
  <c r="I654" i="16"/>
  <c r="H654" i="16"/>
  <c r="B654" i="16"/>
  <c r="F654" i="16" s="1"/>
  <c r="A654" i="16"/>
  <c r="BE653" i="16"/>
  <c r="J653" i="16"/>
  <c r="I653" i="16"/>
  <c r="H653" i="16"/>
  <c r="B653" i="16"/>
  <c r="F653" i="16" s="1"/>
  <c r="A653" i="16"/>
  <c r="BE652" i="16"/>
  <c r="J652" i="16"/>
  <c r="I652" i="16"/>
  <c r="H652" i="16"/>
  <c r="B652" i="16"/>
  <c r="F652" i="16" s="1"/>
  <c r="A652" i="16"/>
  <c r="BE651" i="16"/>
  <c r="J651" i="16"/>
  <c r="I651" i="16"/>
  <c r="H651" i="16"/>
  <c r="B651" i="16"/>
  <c r="F651" i="16" s="1"/>
  <c r="A651" i="16"/>
  <c r="BE650" i="16"/>
  <c r="J650" i="16"/>
  <c r="I650" i="16"/>
  <c r="H650" i="16"/>
  <c r="B650" i="16"/>
  <c r="F650" i="16" s="1"/>
  <c r="BE649" i="16"/>
  <c r="J649" i="16"/>
  <c r="I649" i="16"/>
  <c r="H649" i="16"/>
  <c r="B649" i="16"/>
  <c r="F649" i="16" s="1"/>
  <c r="A649" i="16"/>
  <c r="BE648" i="16"/>
  <c r="J648" i="16"/>
  <c r="I648" i="16"/>
  <c r="H648" i="16"/>
  <c r="B648" i="16"/>
  <c r="F648" i="16" s="1"/>
  <c r="A648" i="16"/>
  <c r="BE647" i="16"/>
  <c r="J647" i="16"/>
  <c r="I647" i="16"/>
  <c r="H647" i="16"/>
  <c r="B647" i="16"/>
  <c r="F647" i="16" s="1"/>
  <c r="A647" i="16"/>
  <c r="BE646" i="16"/>
  <c r="J646" i="16"/>
  <c r="I646" i="16"/>
  <c r="H646" i="16"/>
  <c r="B646" i="16"/>
  <c r="F646" i="16" s="1"/>
  <c r="A646" i="16"/>
  <c r="BE645" i="16"/>
  <c r="J645" i="16"/>
  <c r="I645" i="16"/>
  <c r="H645" i="16"/>
  <c r="B645" i="16"/>
  <c r="F645" i="16" s="1"/>
  <c r="A645" i="16"/>
  <c r="BE644" i="16"/>
  <c r="J644" i="16"/>
  <c r="I644" i="16"/>
  <c r="H644" i="16"/>
  <c r="B644" i="16"/>
  <c r="F644" i="16" s="1"/>
  <c r="A644" i="16"/>
  <c r="BE643" i="16"/>
  <c r="J643" i="16"/>
  <c r="I643" i="16"/>
  <c r="H643" i="16"/>
  <c r="B643" i="16"/>
  <c r="F643" i="16" s="1"/>
  <c r="A643" i="16"/>
  <c r="BE642" i="16"/>
  <c r="J642" i="16"/>
  <c r="I642" i="16"/>
  <c r="H642" i="16"/>
  <c r="B642" i="16"/>
  <c r="F642" i="16" s="1"/>
  <c r="A642" i="16"/>
  <c r="BE641" i="16"/>
  <c r="J641" i="16"/>
  <c r="I641" i="16"/>
  <c r="H641" i="16"/>
  <c r="B641" i="16"/>
  <c r="F641" i="16" s="1"/>
  <c r="A641" i="16"/>
  <c r="BE640" i="16"/>
  <c r="J640" i="16"/>
  <c r="I640" i="16"/>
  <c r="H640" i="16"/>
  <c r="B640" i="16"/>
  <c r="F640" i="16" s="1"/>
  <c r="A640" i="16"/>
  <c r="BE639" i="16"/>
  <c r="J639" i="16"/>
  <c r="I639" i="16"/>
  <c r="H639" i="16"/>
  <c r="B639" i="16"/>
  <c r="F639" i="16" s="1"/>
  <c r="A639" i="16"/>
  <c r="BE638" i="16"/>
  <c r="J638" i="16"/>
  <c r="I638" i="16"/>
  <c r="H638" i="16"/>
  <c r="B638" i="16"/>
  <c r="F638" i="16" s="1"/>
  <c r="A638" i="16"/>
  <c r="BE637" i="16"/>
  <c r="J637" i="16"/>
  <c r="I637" i="16"/>
  <c r="H637" i="16"/>
  <c r="B637" i="16"/>
  <c r="F637" i="16" s="1"/>
  <c r="A637" i="16"/>
  <c r="BE636" i="16"/>
  <c r="J636" i="16"/>
  <c r="I636" i="16"/>
  <c r="H636" i="16"/>
  <c r="B636" i="16"/>
  <c r="F636" i="16" s="1"/>
  <c r="A636" i="16"/>
  <c r="BE635" i="16"/>
  <c r="J635" i="16"/>
  <c r="I635" i="16"/>
  <c r="H635" i="16"/>
  <c r="B635" i="16"/>
  <c r="F635" i="16" s="1"/>
  <c r="A635" i="16"/>
  <c r="BE634" i="16"/>
  <c r="J634" i="16"/>
  <c r="I634" i="16"/>
  <c r="H634" i="16"/>
  <c r="B634" i="16"/>
  <c r="F634" i="16" s="1"/>
  <c r="A634" i="16"/>
  <c r="BE633" i="16"/>
  <c r="J633" i="16"/>
  <c r="I633" i="16"/>
  <c r="H633" i="16"/>
  <c r="B633" i="16"/>
  <c r="F633" i="16" s="1"/>
  <c r="A633" i="16"/>
  <c r="BE632" i="16"/>
  <c r="J632" i="16"/>
  <c r="I632" i="16"/>
  <c r="H632" i="16"/>
  <c r="B632" i="16"/>
  <c r="F632" i="16" s="1"/>
  <c r="A632" i="16"/>
  <c r="BE631" i="16"/>
  <c r="J631" i="16"/>
  <c r="I631" i="16"/>
  <c r="H631" i="16"/>
  <c r="B631" i="16"/>
  <c r="F631" i="16" s="1"/>
  <c r="A631" i="16"/>
  <c r="BE630" i="16"/>
  <c r="J630" i="16"/>
  <c r="I630" i="16"/>
  <c r="H630" i="16"/>
  <c r="B630" i="16"/>
  <c r="F630" i="16" s="1"/>
  <c r="A630" i="16"/>
  <c r="BE629" i="16"/>
  <c r="J629" i="16"/>
  <c r="I629" i="16"/>
  <c r="H629" i="16"/>
  <c r="B629" i="16"/>
  <c r="F629" i="16" s="1"/>
  <c r="A629" i="16"/>
  <c r="BE628" i="16"/>
  <c r="J628" i="16"/>
  <c r="I628" i="16"/>
  <c r="H628" i="16"/>
  <c r="B628" i="16"/>
  <c r="F628" i="16" s="1"/>
  <c r="A628" i="16"/>
  <c r="BE627" i="16"/>
  <c r="J627" i="16"/>
  <c r="I627" i="16"/>
  <c r="H627" i="16"/>
  <c r="B627" i="16"/>
  <c r="F627" i="16" s="1"/>
  <c r="A627" i="16"/>
  <c r="BE626" i="16"/>
  <c r="J626" i="16"/>
  <c r="I626" i="16"/>
  <c r="H626" i="16"/>
  <c r="B626" i="16"/>
  <c r="F626" i="16" s="1"/>
  <c r="A626" i="16"/>
  <c r="BE625" i="16"/>
  <c r="J625" i="16"/>
  <c r="I625" i="16"/>
  <c r="H625" i="16"/>
  <c r="B625" i="16"/>
  <c r="F625" i="16" s="1"/>
  <c r="A625" i="16"/>
  <c r="BE624" i="16"/>
  <c r="J624" i="16"/>
  <c r="I624" i="16"/>
  <c r="H624" i="16"/>
  <c r="B624" i="16"/>
  <c r="F624" i="16" s="1"/>
  <c r="A624" i="16"/>
  <c r="BE623" i="16"/>
  <c r="J623" i="16"/>
  <c r="I623" i="16"/>
  <c r="H623" i="16"/>
  <c r="B623" i="16"/>
  <c r="F623" i="16" s="1"/>
  <c r="A623" i="16"/>
  <c r="BE622" i="16"/>
  <c r="J622" i="16"/>
  <c r="I622" i="16"/>
  <c r="H622" i="16"/>
  <c r="B622" i="16"/>
  <c r="F622" i="16" s="1"/>
  <c r="A622" i="16"/>
  <c r="BE621" i="16"/>
  <c r="J621" i="16"/>
  <c r="I621" i="16"/>
  <c r="H621" i="16"/>
  <c r="B621" i="16"/>
  <c r="F621" i="16" s="1"/>
  <c r="A621" i="16"/>
  <c r="BE620" i="16"/>
  <c r="J620" i="16"/>
  <c r="I620" i="16"/>
  <c r="H620" i="16"/>
  <c r="B620" i="16"/>
  <c r="F620" i="16" s="1"/>
  <c r="A620" i="16"/>
  <c r="BE619" i="16"/>
  <c r="J619" i="16"/>
  <c r="I619" i="16"/>
  <c r="H619" i="16"/>
  <c r="B619" i="16"/>
  <c r="F619" i="16" s="1"/>
  <c r="A619" i="16"/>
  <c r="BE618" i="16"/>
  <c r="J618" i="16"/>
  <c r="I618" i="16"/>
  <c r="H618" i="16"/>
  <c r="B618" i="16"/>
  <c r="F618" i="16" s="1"/>
  <c r="A618" i="16"/>
  <c r="BE617" i="16"/>
  <c r="J617" i="16"/>
  <c r="I617" i="16"/>
  <c r="H617" i="16"/>
  <c r="B617" i="16"/>
  <c r="F617" i="16" s="1"/>
  <c r="BE616" i="16"/>
  <c r="J616" i="16"/>
  <c r="I616" i="16"/>
  <c r="H616" i="16"/>
  <c r="B616" i="16"/>
  <c r="F616" i="16" s="1"/>
  <c r="A616" i="16"/>
  <c r="BE615" i="16"/>
  <c r="J615" i="16"/>
  <c r="I615" i="16"/>
  <c r="H615" i="16"/>
  <c r="B615" i="16"/>
  <c r="F615" i="16" s="1"/>
  <c r="A615" i="16"/>
  <c r="BE614" i="16"/>
  <c r="J614" i="16"/>
  <c r="I614" i="16"/>
  <c r="H614" i="16"/>
  <c r="B614" i="16"/>
  <c r="F614" i="16" s="1"/>
  <c r="A614" i="16"/>
  <c r="BE613" i="16"/>
  <c r="J613" i="16"/>
  <c r="I613" i="16"/>
  <c r="H613" i="16"/>
  <c r="B613" i="16"/>
  <c r="F613" i="16" s="1"/>
  <c r="A613" i="16"/>
  <c r="BE612" i="16"/>
  <c r="J612" i="16"/>
  <c r="I612" i="16"/>
  <c r="H612" i="16"/>
  <c r="B612" i="16"/>
  <c r="F612" i="16" s="1"/>
  <c r="A612" i="16"/>
  <c r="BE611" i="16"/>
  <c r="J611" i="16"/>
  <c r="I611" i="16"/>
  <c r="H611" i="16"/>
  <c r="B611" i="16"/>
  <c r="F611" i="16" s="1"/>
  <c r="A611" i="16"/>
  <c r="BE610" i="16"/>
  <c r="J610" i="16"/>
  <c r="I610" i="16"/>
  <c r="H610" i="16"/>
  <c r="B610" i="16"/>
  <c r="F610" i="16" s="1"/>
  <c r="A610" i="16"/>
  <c r="BE609" i="16"/>
  <c r="J609" i="16"/>
  <c r="I609" i="16"/>
  <c r="H609" i="16"/>
  <c r="B609" i="16"/>
  <c r="F609" i="16" s="1"/>
  <c r="A609" i="16"/>
  <c r="BE608" i="16"/>
  <c r="J608" i="16"/>
  <c r="I608" i="16"/>
  <c r="H608" i="16"/>
  <c r="B608" i="16"/>
  <c r="F608" i="16" s="1"/>
  <c r="A608" i="16"/>
  <c r="BE607" i="16"/>
  <c r="J607" i="16"/>
  <c r="I607" i="16"/>
  <c r="H607" i="16"/>
  <c r="B607" i="16"/>
  <c r="F607" i="16" s="1"/>
  <c r="A607" i="16"/>
  <c r="BE606" i="16"/>
  <c r="J606" i="16"/>
  <c r="I606" i="16"/>
  <c r="H606" i="16"/>
  <c r="B606" i="16"/>
  <c r="F606" i="16" s="1"/>
  <c r="A606" i="16"/>
  <c r="BE605" i="16"/>
  <c r="J605" i="16"/>
  <c r="I605" i="16"/>
  <c r="H605" i="16"/>
  <c r="B605" i="16"/>
  <c r="F605" i="16" s="1"/>
  <c r="A605" i="16"/>
  <c r="BE604" i="16"/>
  <c r="J604" i="16"/>
  <c r="I604" i="16"/>
  <c r="H604" i="16"/>
  <c r="B604" i="16"/>
  <c r="F604" i="16" s="1"/>
  <c r="A604" i="16"/>
  <c r="BE603" i="16"/>
  <c r="J603" i="16"/>
  <c r="I603" i="16"/>
  <c r="H603" i="16"/>
  <c r="B603" i="16"/>
  <c r="F603" i="16" s="1"/>
  <c r="A603" i="16"/>
  <c r="BE602" i="16"/>
  <c r="J602" i="16"/>
  <c r="I602" i="16"/>
  <c r="H602" i="16"/>
  <c r="B602" i="16"/>
  <c r="F602" i="16" s="1"/>
  <c r="A602" i="16"/>
  <c r="BE601" i="16"/>
  <c r="J601" i="16"/>
  <c r="I601" i="16"/>
  <c r="H601" i="16"/>
  <c r="B601" i="16"/>
  <c r="F601" i="16" s="1"/>
  <c r="A601" i="16"/>
  <c r="BE600" i="16"/>
  <c r="J600" i="16"/>
  <c r="I600" i="16"/>
  <c r="H600" i="16"/>
  <c r="B600" i="16"/>
  <c r="F600" i="16" s="1"/>
  <c r="A600" i="16"/>
  <c r="BE599" i="16"/>
  <c r="J599" i="16"/>
  <c r="I599" i="16"/>
  <c r="H599" i="16"/>
  <c r="B599" i="16"/>
  <c r="F599" i="16" s="1"/>
  <c r="A599" i="16"/>
  <c r="BE598" i="16"/>
  <c r="J598" i="16"/>
  <c r="I598" i="16"/>
  <c r="H598" i="16"/>
  <c r="B598" i="16"/>
  <c r="F598" i="16" s="1"/>
  <c r="A598" i="16"/>
  <c r="BE597" i="16"/>
  <c r="J597" i="16"/>
  <c r="I597" i="16"/>
  <c r="H597" i="16"/>
  <c r="B597" i="16"/>
  <c r="F597" i="16" s="1"/>
  <c r="A597" i="16"/>
  <c r="BE596" i="16"/>
  <c r="J596" i="16"/>
  <c r="I596" i="16"/>
  <c r="H596" i="16"/>
  <c r="B596" i="16"/>
  <c r="F596" i="16" s="1"/>
  <c r="A596" i="16"/>
  <c r="BE595" i="16"/>
  <c r="J595" i="16"/>
  <c r="I595" i="16"/>
  <c r="H595" i="16"/>
  <c r="B595" i="16"/>
  <c r="F595" i="16" s="1"/>
  <c r="A595" i="16"/>
  <c r="BE594" i="16"/>
  <c r="J594" i="16"/>
  <c r="I594" i="16"/>
  <c r="H594" i="16"/>
  <c r="B594" i="16"/>
  <c r="F594" i="16" s="1"/>
  <c r="A594" i="16"/>
  <c r="BE593" i="16"/>
  <c r="J593" i="16"/>
  <c r="I593" i="16"/>
  <c r="H593" i="16"/>
  <c r="B593" i="16"/>
  <c r="F593" i="16" s="1"/>
  <c r="A593" i="16"/>
  <c r="BE592" i="16"/>
  <c r="J592" i="16"/>
  <c r="I592" i="16"/>
  <c r="H592" i="16"/>
  <c r="B592" i="16"/>
  <c r="F592" i="16" s="1"/>
  <c r="A592" i="16"/>
  <c r="BE591" i="16"/>
  <c r="J591" i="16"/>
  <c r="I591" i="16"/>
  <c r="H591" i="16"/>
  <c r="B591" i="16"/>
  <c r="F591" i="16" s="1"/>
  <c r="A591" i="16"/>
  <c r="BE590" i="16"/>
  <c r="J590" i="16"/>
  <c r="I590" i="16"/>
  <c r="H590" i="16"/>
  <c r="B590" i="16"/>
  <c r="F590" i="16" s="1"/>
  <c r="A590" i="16"/>
  <c r="BE589" i="16"/>
  <c r="J589" i="16"/>
  <c r="I589" i="16"/>
  <c r="H589" i="16"/>
  <c r="B589" i="16"/>
  <c r="F589" i="16" s="1"/>
  <c r="A589" i="16"/>
  <c r="BE588" i="16"/>
  <c r="J588" i="16"/>
  <c r="I588" i="16"/>
  <c r="H588" i="16"/>
  <c r="B588" i="16"/>
  <c r="F588" i="16" s="1"/>
  <c r="A588" i="16"/>
  <c r="BE587" i="16"/>
  <c r="J587" i="16"/>
  <c r="I587" i="16"/>
  <c r="H587" i="16"/>
  <c r="B587" i="16"/>
  <c r="F587" i="16" s="1"/>
  <c r="A587" i="16"/>
  <c r="BE586" i="16"/>
  <c r="J586" i="16"/>
  <c r="I586" i="16"/>
  <c r="H586" i="16"/>
  <c r="B586" i="16"/>
  <c r="F586" i="16" s="1"/>
  <c r="A586" i="16"/>
  <c r="BE585" i="16"/>
  <c r="J585" i="16"/>
  <c r="I585" i="16"/>
  <c r="H585" i="16"/>
  <c r="B585" i="16"/>
  <c r="F585" i="16" s="1"/>
  <c r="A585" i="16"/>
  <c r="BE584" i="16"/>
  <c r="J584" i="16"/>
  <c r="I584" i="16"/>
  <c r="H584" i="16"/>
  <c r="B584" i="16"/>
  <c r="F584" i="16" s="1"/>
  <c r="A584" i="16"/>
  <c r="BE583" i="16"/>
  <c r="J583" i="16"/>
  <c r="I583" i="16"/>
  <c r="H583" i="16"/>
  <c r="B583" i="16"/>
  <c r="F583" i="16" s="1"/>
  <c r="A583" i="16"/>
  <c r="BE582" i="16"/>
  <c r="J582" i="16"/>
  <c r="I582" i="16"/>
  <c r="H582" i="16"/>
  <c r="B582" i="16"/>
  <c r="F582" i="16" s="1"/>
  <c r="A582" i="16"/>
  <c r="BE581" i="16"/>
  <c r="J581" i="16"/>
  <c r="I581" i="16"/>
  <c r="H581" i="16"/>
  <c r="B581" i="16"/>
  <c r="F581" i="16" s="1"/>
  <c r="A581" i="16"/>
  <c r="BE580" i="16"/>
  <c r="J580" i="16"/>
  <c r="I580" i="16"/>
  <c r="H580" i="16"/>
  <c r="B580" i="16"/>
  <c r="F580" i="16" s="1"/>
  <c r="BE579" i="16"/>
  <c r="J579" i="16"/>
  <c r="I579" i="16"/>
  <c r="H579" i="16"/>
  <c r="B579" i="16"/>
  <c r="F579" i="16" s="1"/>
  <c r="A579" i="16"/>
  <c r="BE578" i="16"/>
  <c r="J578" i="16"/>
  <c r="I578" i="16"/>
  <c r="H578" i="16"/>
  <c r="B578" i="16"/>
  <c r="F578" i="16" s="1"/>
  <c r="A578" i="16"/>
  <c r="BE577" i="16"/>
  <c r="J577" i="16"/>
  <c r="I577" i="16"/>
  <c r="H577" i="16"/>
  <c r="B577" i="16"/>
  <c r="F577" i="16" s="1"/>
  <c r="A577" i="16"/>
  <c r="BE576" i="16"/>
  <c r="J576" i="16"/>
  <c r="I576" i="16"/>
  <c r="H576" i="16"/>
  <c r="B576" i="16"/>
  <c r="F576" i="16" s="1"/>
  <c r="A576" i="16"/>
  <c r="BE575" i="16"/>
  <c r="J575" i="16"/>
  <c r="I575" i="16"/>
  <c r="H575" i="16"/>
  <c r="B575" i="16"/>
  <c r="F575" i="16" s="1"/>
  <c r="A575" i="16"/>
  <c r="BE574" i="16"/>
  <c r="J574" i="16"/>
  <c r="I574" i="16"/>
  <c r="H574" i="16"/>
  <c r="B574" i="16"/>
  <c r="F574" i="16" s="1"/>
  <c r="A574" i="16"/>
  <c r="BE573" i="16"/>
  <c r="J573" i="16"/>
  <c r="I573" i="16"/>
  <c r="H573" i="16"/>
  <c r="B573" i="16"/>
  <c r="F573" i="16" s="1"/>
  <c r="A573" i="16"/>
  <c r="BE572" i="16"/>
  <c r="J572" i="16"/>
  <c r="I572" i="16"/>
  <c r="H572" i="16"/>
  <c r="B572" i="16"/>
  <c r="F572" i="16" s="1"/>
  <c r="A572" i="16"/>
  <c r="BE571" i="16"/>
  <c r="J571" i="16"/>
  <c r="I571" i="16"/>
  <c r="H571" i="16"/>
  <c r="B571" i="16"/>
  <c r="F571" i="16" s="1"/>
  <c r="A571" i="16"/>
  <c r="BE570" i="16"/>
  <c r="J570" i="16"/>
  <c r="I570" i="16"/>
  <c r="H570" i="16"/>
  <c r="B570" i="16"/>
  <c r="F570" i="16" s="1"/>
  <c r="A570" i="16"/>
  <c r="BE569" i="16"/>
  <c r="J569" i="16"/>
  <c r="I569" i="16"/>
  <c r="H569" i="16"/>
  <c r="B569" i="16"/>
  <c r="F569" i="16" s="1"/>
  <c r="A569" i="16"/>
  <c r="BE568" i="16"/>
  <c r="J568" i="16"/>
  <c r="I568" i="16"/>
  <c r="H568" i="16"/>
  <c r="B568" i="16"/>
  <c r="F568" i="16" s="1"/>
  <c r="A568" i="16"/>
  <c r="BE567" i="16"/>
  <c r="J567" i="16"/>
  <c r="I567" i="16"/>
  <c r="H567" i="16"/>
  <c r="B567" i="16"/>
  <c r="F567" i="16" s="1"/>
  <c r="A567" i="16"/>
  <c r="BE566" i="16"/>
  <c r="J566" i="16"/>
  <c r="I566" i="16"/>
  <c r="H566" i="16"/>
  <c r="B566" i="16"/>
  <c r="F566" i="16" s="1"/>
  <c r="A566" i="16"/>
  <c r="BE565" i="16"/>
  <c r="J565" i="16"/>
  <c r="I565" i="16"/>
  <c r="H565" i="16"/>
  <c r="B565" i="16"/>
  <c r="F565" i="16" s="1"/>
  <c r="A565" i="16"/>
  <c r="BE564" i="16"/>
  <c r="J564" i="16"/>
  <c r="I564" i="16"/>
  <c r="H564" i="16"/>
  <c r="B564" i="16"/>
  <c r="F564" i="16" s="1"/>
  <c r="A564" i="16"/>
  <c r="BE563" i="16"/>
  <c r="J563" i="16"/>
  <c r="I563" i="16"/>
  <c r="H563" i="16"/>
  <c r="B563" i="16"/>
  <c r="F563" i="16" s="1"/>
  <c r="A563" i="16"/>
  <c r="BE562" i="16"/>
  <c r="J562" i="16"/>
  <c r="I562" i="16"/>
  <c r="H562" i="16"/>
  <c r="B562" i="16"/>
  <c r="F562" i="16" s="1"/>
  <c r="A562" i="16"/>
  <c r="BE561" i="16"/>
  <c r="J561" i="16"/>
  <c r="I561" i="16"/>
  <c r="H561" i="16"/>
  <c r="B561" i="16"/>
  <c r="F561" i="16" s="1"/>
  <c r="A561" i="16"/>
  <c r="BE560" i="16"/>
  <c r="J560" i="16"/>
  <c r="I560" i="16"/>
  <c r="H560" i="16"/>
  <c r="B560" i="16"/>
  <c r="F560" i="16" s="1"/>
  <c r="A560" i="16"/>
  <c r="BE559" i="16"/>
  <c r="J559" i="16"/>
  <c r="I559" i="16"/>
  <c r="H559" i="16"/>
  <c r="B559" i="16"/>
  <c r="F559" i="16" s="1"/>
  <c r="A559" i="16"/>
  <c r="BE558" i="16"/>
  <c r="J558" i="16"/>
  <c r="I558" i="16"/>
  <c r="H558" i="16"/>
  <c r="B558" i="16"/>
  <c r="F558" i="16" s="1"/>
  <c r="A558" i="16"/>
  <c r="BE557" i="16"/>
  <c r="J557" i="16"/>
  <c r="I557" i="16"/>
  <c r="H557" i="16"/>
  <c r="B557" i="16"/>
  <c r="F557" i="16" s="1"/>
  <c r="A557" i="16"/>
  <c r="BE556" i="16"/>
  <c r="J556" i="16"/>
  <c r="I556" i="16"/>
  <c r="H556" i="16"/>
  <c r="B556" i="16"/>
  <c r="F556" i="16" s="1"/>
  <c r="A556" i="16"/>
  <c r="BE555" i="16"/>
  <c r="J555" i="16"/>
  <c r="I555" i="16"/>
  <c r="H555" i="16"/>
  <c r="B555" i="16"/>
  <c r="F555" i="16" s="1"/>
  <c r="A555" i="16"/>
  <c r="BE554" i="16"/>
  <c r="J554" i="16"/>
  <c r="I554" i="16"/>
  <c r="H554" i="16"/>
  <c r="B554" i="16"/>
  <c r="F554" i="16" s="1"/>
  <c r="A554" i="16"/>
  <c r="BE553" i="16"/>
  <c r="J553" i="16"/>
  <c r="I553" i="16"/>
  <c r="H553" i="16"/>
  <c r="B553" i="16"/>
  <c r="F553" i="16" s="1"/>
  <c r="A553" i="16"/>
  <c r="BE552" i="16"/>
  <c r="J552" i="16"/>
  <c r="I552" i="16"/>
  <c r="H552" i="16"/>
  <c r="B552" i="16"/>
  <c r="F552" i="16" s="1"/>
  <c r="A552" i="16"/>
  <c r="BE551" i="16"/>
  <c r="J551" i="16"/>
  <c r="I551" i="16"/>
  <c r="H551" i="16"/>
  <c r="B551" i="16"/>
  <c r="F551" i="16" s="1"/>
  <c r="A551" i="16"/>
  <c r="BE550" i="16"/>
  <c r="J550" i="16"/>
  <c r="I550" i="16"/>
  <c r="H550" i="16"/>
  <c r="B550" i="16"/>
  <c r="F550" i="16" s="1"/>
  <c r="A550" i="16"/>
  <c r="BE549" i="16"/>
  <c r="J549" i="16"/>
  <c r="I549" i="16"/>
  <c r="H549" i="16"/>
  <c r="B549" i="16"/>
  <c r="F549" i="16" s="1"/>
  <c r="A549" i="16"/>
  <c r="BE548" i="16"/>
  <c r="J548" i="16"/>
  <c r="I548" i="16"/>
  <c r="H548" i="16"/>
  <c r="B548" i="16"/>
  <c r="F548" i="16" s="1"/>
  <c r="A548" i="16"/>
  <c r="BE547" i="16"/>
  <c r="J547" i="16"/>
  <c r="I547" i="16"/>
  <c r="H547" i="16"/>
  <c r="B547" i="16"/>
  <c r="F547" i="16" s="1"/>
  <c r="A547" i="16"/>
  <c r="BE546" i="16"/>
  <c r="J546" i="16"/>
  <c r="I546" i="16"/>
  <c r="H546" i="16"/>
  <c r="B546" i="16"/>
  <c r="F546" i="16" s="1"/>
  <c r="A546" i="16"/>
  <c r="BE545" i="16"/>
  <c r="J545" i="16"/>
  <c r="I545" i="16"/>
  <c r="H545" i="16"/>
  <c r="B545" i="16"/>
  <c r="F545" i="16" s="1"/>
  <c r="A545" i="16"/>
  <c r="BE544" i="16"/>
  <c r="J544" i="16"/>
  <c r="I544" i="16"/>
  <c r="H544" i="16"/>
  <c r="B544" i="16"/>
  <c r="F544" i="16" s="1"/>
  <c r="A544" i="16"/>
  <c r="BE543" i="16"/>
  <c r="J543" i="16"/>
  <c r="I543" i="16"/>
  <c r="H543" i="16"/>
  <c r="B543" i="16"/>
  <c r="F543" i="16" s="1"/>
  <c r="A543" i="16"/>
  <c r="BE542" i="16"/>
  <c r="J542" i="16"/>
  <c r="I542" i="16"/>
  <c r="H542" i="16"/>
  <c r="B542" i="16"/>
  <c r="F542" i="16" s="1"/>
  <c r="BE541" i="16"/>
  <c r="J541" i="16"/>
  <c r="I541" i="16"/>
  <c r="H541" i="16"/>
  <c r="B541" i="16"/>
  <c r="F541" i="16" s="1"/>
  <c r="A541" i="16"/>
  <c r="BE540" i="16"/>
  <c r="J540" i="16"/>
  <c r="I540" i="16"/>
  <c r="H540" i="16"/>
  <c r="B540" i="16"/>
  <c r="F540" i="16" s="1"/>
  <c r="A540" i="16"/>
  <c r="BE539" i="16"/>
  <c r="J539" i="16"/>
  <c r="I539" i="16"/>
  <c r="H539" i="16"/>
  <c r="B539" i="16"/>
  <c r="F539" i="16" s="1"/>
  <c r="A539" i="16"/>
  <c r="BE538" i="16"/>
  <c r="J538" i="16"/>
  <c r="I538" i="16"/>
  <c r="H538" i="16"/>
  <c r="B538" i="16"/>
  <c r="F538" i="16" s="1"/>
  <c r="A538" i="16"/>
  <c r="BE537" i="16"/>
  <c r="J537" i="16"/>
  <c r="I537" i="16"/>
  <c r="H537" i="16"/>
  <c r="B537" i="16"/>
  <c r="F537" i="16" s="1"/>
  <c r="A537" i="16"/>
  <c r="BE536" i="16"/>
  <c r="J536" i="16"/>
  <c r="I536" i="16"/>
  <c r="H536" i="16"/>
  <c r="B536" i="16"/>
  <c r="F536" i="16" s="1"/>
  <c r="A536" i="16"/>
  <c r="BE535" i="16"/>
  <c r="J535" i="16"/>
  <c r="I535" i="16"/>
  <c r="H535" i="16"/>
  <c r="B535" i="16"/>
  <c r="F535" i="16" s="1"/>
  <c r="A535" i="16"/>
  <c r="BE534" i="16"/>
  <c r="J534" i="16"/>
  <c r="I534" i="16"/>
  <c r="H534" i="16"/>
  <c r="B534" i="16"/>
  <c r="F534" i="16" s="1"/>
  <c r="A534" i="16"/>
  <c r="BE533" i="16"/>
  <c r="J533" i="16"/>
  <c r="I533" i="16"/>
  <c r="H533" i="16"/>
  <c r="B533" i="16"/>
  <c r="F533" i="16" s="1"/>
  <c r="A533" i="16"/>
  <c r="BE532" i="16"/>
  <c r="J532" i="16"/>
  <c r="I532" i="16"/>
  <c r="H532" i="16"/>
  <c r="B532" i="16"/>
  <c r="F532" i="16" s="1"/>
  <c r="A532" i="16"/>
  <c r="BE531" i="16"/>
  <c r="J531" i="16"/>
  <c r="I531" i="16"/>
  <c r="H531" i="16"/>
  <c r="B531" i="16"/>
  <c r="F531" i="16" s="1"/>
  <c r="A531" i="16"/>
  <c r="BE530" i="16"/>
  <c r="J530" i="16"/>
  <c r="I530" i="16"/>
  <c r="H530" i="16"/>
  <c r="B530" i="16"/>
  <c r="F530" i="16" s="1"/>
  <c r="A530" i="16"/>
  <c r="BE529" i="16"/>
  <c r="J529" i="16"/>
  <c r="I529" i="16"/>
  <c r="H529" i="16"/>
  <c r="B529" i="16"/>
  <c r="F529" i="16" s="1"/>
  <c r="A529" i="16"/>
  <c r="BE528" i="16"/>
  <c r="J528" i="16"/>
  <c r="I528" i="16"/>
  <c r="H528" i="16"/>
  <c r="B528" i="16"/>
  <c r="F528" i="16" s="1"/>
  <c r="A528" i="16"/>
  <c r="BE527" i="16"/>
  <c r="J527" i="16"/>
  <c r="I527" i="16"/>
  <c r="H527" i="16"/>
  <c r="B527" i="16"/>
  <c r="F527" i="16" s="1"/>
  <c r="A527" i="16"/>
  <c r="BE526" i="16"/>
  <c r="J526" i="16"/>
  <c r="I526" i="16"/>
  <c r="H526" i="16"/>
  <c r="B526" i="16"/>
  <c r="F526" i="16" s="1"/>
  <c r="A526" i="16"/>
  <c r="BE525" i="16"/>
  <c r="J525" i="16"/>
  <c r="I525" i="16"/>
  <c r="H525" i="16"/>
  <c r="B525" i="16"/>
  <c r="F525" i="16" s="1"/>
  <c r="A525" i="16"/>
  <c r="BE524" i="16"/>
  <c r="J524" i="16"/>
  <c r="I524" i="16"/>
  <c r="H524" i="16"/>
  <c r="B524" i="16"/>
  <c r="F524" i="16" s="1"/>
  <c r="A524" i="16"/>
  <c r="BE523" i="16"/>
  <c r="J523" i="16"/>
  <c r="I523" i="16"/>
  <c r="H523" i="16"/>
  <c r="B523" i="16"/>
  <c r="F523" i="16" s="1"/>
  <c r="A523" i="16"/>
  <c r="BE522" i="16"/>
  <c r="J522" i="16"/>
  <c r="I522" i="16"/>
  <c r="H522" i="16"/>
  <c r="B522" i="16"/>
  <c r="F522" i="16" s="1"/>
  <c r="A522" i="16"/>
  <c r="BE521" i="16"/>
  <c r="J521" i="16"/>
  <c r="I521" i="16"/>
  <c r="H521" i="16"/>
  <c r="B521" i="16"/>
  <c r="F521" i="16" s="1"/>
  <c r="A521" i="16"/>
  <c r="BE520" i="16"/>
  <c r="J520" i="16"/>
  <c r="I520" i="16"/>
  <c r="H520" i="16"/>
  <c r="B520" i="16"/>
  <c r="F520" i="16" s="1"/>
  <c r="A520" i="16"/>
  <c r="BE519" i="16"/>
  <c r="J519" i="16"/>
  <c r="I519" i="16"/>
  <c r="H519" i="16"/>
  <c r="B519" i="16"/>
  <c r="F519" i="16" s="1"/>
  <c r="A519" i="16"/>
  <c r="BE518" i="16"/>
  <c r="J518" i="16"/>
  <c r="I518" i="16"/>
  <c r="H518" i="16"/>
  <c r="B518" i="16"/>
  <c r="F518" i="16" s="1"/>
  <c r="A518" i="16"/>
  <c r="BE517" i="16"/>
  <c r="J517" i="16"/>
  <c r="I517" i="16"/>
  <c r="H517" i="16"/>
  <c r="B517" i="16"/>
  <c r="F517" i="16" s="1"/>
  <c r="A517" i="16"/>
  <c r="BE516" i="16"/>
  <c r="J516" i="16"/>
  <c r="I516" i="16"/>
  <c r="H516" i="16"/>
  <c r="B516" i="16"/>
  <c r="F516" i="16" s="1"/>
  <c r="A516" i="16"/>
  <c r="BE515" i="16"/>
  <c r="J515" i="16"/>
  <c r="I515" i="16"/>
  <c r="H515" i="16"/>
  <c r="B515" i="16"/>
  <c r="F515" i="16" s="1"/>
  <c r="A515" i="16"/>
  <c r="BE514" i="16"/>
  <c r="J514" i="16"/>
  <c r="I514" i="16"/>
  <c r="H514" i="16"/>
  <c r="B514" i="16"/>
  <c r="F514" i="16" s="1"/>
  <c r="A514" i="16"/>
  <c r="BE513" i="16"/>
  <c r="J513" i="16"/>
  <c r="I513" i="16"/>
  <c r="H513" i="16"/>
  <c r="B513" i="16"/>
  <c r="F513" i="16" s="1"/>
  <c r="A513" i="16"/>
  <c r="BE512" i="16"/>
  <c r="J512" i="16"/>
  <c r="I512" i="16"/>
  <c r="H512" i="16"/>
  <c r="B512" i="16"/>
  <c r="F512" i="16" s="1"/>
  <c r="A512" i="16"/>
  <c r="BE511" i="16"/>
  <c r="J511" i="16"/>
  <c r="I511" i="16"/>
  <c r="H511" i="16"/>
  <c r="B511" i="16"/>
  <c r="F511" i="16" s="1"/>
  <c r="A511" i="16"/>
  <c r="BE510" i="16"/>
  <c r="J510" i="16"/>
  <c r="I510" i="16"/>
  <c r="H510" i="16"/>
  <c r="B510" i="16"/>
  <c r="F510" i="16" s="1"/>
  <c r="A510" i="16"/>
  <c r="BE509" i="16"/>
  <c r="J509" i="16"/>
  <c r="I509" i="16"/>
  <c r="H509" i="16"/>
  <c r="B509" i="16"/>
  <c r="F509" i="16" s="1"/>
  <c r="A509" i="16"/>
  <c r="BE508" i="16"/>
  <c r="J508" i="16"/>
  <c r="I508" i="16"/>
  <c r="H508" i="16"/>
  <c r="B508" i="16"/>
  <c r="F508" i="16" s="1"/>
  <c r="A508" i="16"/>
  <c r="BE507" i="16"/>
  <c r="J507" i="16"/>
  <c r="I507" i="16"/>
  <c r="H507" i="16"/>
  <c r="B507" i="16"/>
  <c r="F507" i="16" s="1"/>
  <c r="A507" i="16"/>
  <c r="BE506" i="16"/>
  <c r="J506" i="16"/>
  <c r="I506" i="16"/>
  <c r="H506" i="16"/>
  <c r="B506" i="16"/>
  <c r="F506" i="16" s="1"/>
  <c r="A506" i="16"/>
  <c r="BE505" i="16"/>
  <c r="J505" i="16"/>
  <c r="I505" i="16"/>
  <c r="H505" i="16"/>
  <c r="B505" i="16"/>
  <c r="F505" i="16" s="1"/>
  <c r="A505" i="16"/>
  <c r="BE504" i="16"/>
  <c r="J504" i="16"/>
  <c r="I504" i="16"/>
  <c r="H504" i="16"/>
  <c r="B504" i="16"/>
  <c r="F504" i="16" s="1"/>
  <c r="A504" i="16"/>
  <c r="BE503" i="16"/>
  <c r="J503" i="16"/>
  <c r="I503" i="16"/>
  <c r="H503" i="16"/>
  <c r="B503" i="16"/>
  <c r="F503" i="16" s="1"/>
  <c r="A503" i="16"/>
  <c r="BE502" i="16"/>
  <c r="J502" i="16"/>
  <c r="I502" i="16"/>
  <c r="H502" i="16"/>
  <c r="B502" i="16"/>
  <c r="F502" i="16" s="1"/>
  <c r="A502" i="16"/>
  <c r="BE501" i="16"/>
  <c r="J501" i="16"/>
  <c r="I501" i="16"/>
  <c r="H501" i="16"/>
  <c r="B501" i="16"/>
  <c r="F501" i="16" s="1"/>
  <c r="A501" i="16"/>
  <c r="BE500" i="16"/>
  <c r="J500" i="16"/>
  <c r="I500" i="16"/>
  <c r="H500" i="16"/>
  <c r="B500" i="16"/>
  <c r="F500" i="16" s="1"/>
  <c r="A500" i="16"/>
  <c r="BE499" i="16"/>
  <c r="J499" i="16"/>
  <c r="I499" i="16"/>
  <c r="H499" i="16"/>
  <c r="B499" i="16"/>
  <c r="F499" i="16" s="1"/>
  <c r="A499" i="16"/>
  <c r="BE498" i="16"/>
  <c r="J498" i="16"/>
  <c r="I498" i="16"/>
  <c r="H498" i="16"/>
  <c r="B498" i="16"/>
  <c r="F498" i="16" s="1"/>
  <c r="BE497" i="16"/>
  <c r="J497" i="16"/>
  <c r="I497" i="16"/>
  <c r="H497" i="16"/>
  <c r="B497" i="16"/>
  <c r="F497" i="16" s="1"/>
  <c r="A497" i="16"/>
  <c r="BE496" i="16"/>
  <c r="J496" i="16"/>
  <c r="I496" i="16"/>
  <c r="H496" i="16"/>
  <c r="B496" i="16"/>
  <c r="F496" i="16" s="1"/>
  <c r="A496" i="16"/>
  <c r="BE495" i="16"/>
  <c r="J495" i="16"/>
  <c r="I495" i="16"/>
  <c r="H495" i="16"/>
  <c r="B495" i="16"/>
  <c r="F495" i="16" s="1"/>
  <c r="A495" i="16"/>
  <c r="BE494" i="16"/>
  <c r="J494" i="16"/>
  <c r="I494" i="16"/>
  <c r="H494" i="16"/>
  <c r="B494" i="16"/>
  <c r="F494" i="16" s="1"/>
  <c r="A494" i="16"/>
  <c r="BE493" i="16"/>
  <c r="J493" i="16"/>
  <c r="I493" i="16"/>
  <c r="H493" i="16"/>
  <c r="B493" i="16"/>
  <c r="F493" i="16" s="1"/>
  <c r="A493" i="16"/>
  <c r="BE492" i="16"/>
  <c r="J492" i="16"/>
  <c r="I492" i="16"/>
  <c r="H492" i="16"/>
  <c r="B492" i="16"/>
  <c r="F492" i="16" s="1"/>
  <c r="A492" i="16"/>
  <c r="BE491" i="16"/>
  <c r="J491" i="16"/>
  <c r="I491" i="16"/>
  <c r="H491" i="16"/>
  <c r="B491" i="16"/>
  <c r="F491" i="16" s="1"/>
  <c r="A491" i="16"/>
  <c r="BE490" i="16"/>
  <c r="J490" i="16"/>
  <c r="I490" i="16"/>
  <c r="H490" i="16"/>
  <c r="B490" i="16"/>
  <c r="F490" i="16" s="1"/>
  <c r="A490" i="16"/>
  <c r="BE489" i="16"/>
  <c r="J489" i="16"/>
  <c r="I489" i="16"/>
  <c r="H489" i="16"/>
  <c r="B489" i="16"/>
  <c r="F489" i="16" s="1"/>
  <c r="A489" i="16"/>
  <c r="BE488" i="16"/>
  <c r="J488" i="16"/>
  <c r="I488" i="16"/>
  <c r="H488" i="16"/>
  <c r="B488" i="16"/>
  <c r="F488" i="16" s="1"/>
  <c r="A488" i="16"/>
  <c r="BE487" i="16"/>
  <c r="J487" i="16"/>
  <c r="I487" i="16"/>
  <c r="H487" i="16"/>
  <c r="B487" i="16"/>
  <c r="F487" i="16" s="1"/>
  <c r="A487" i="16"/>
  <c r="BE486" i="16"/>
  <c r="J486" i="16"/>
  <c r="I486" i="16"/>
  <c r="H486" i="16"/>
  <c r="B486" i="16"/>
  <c r="F486" i="16" s="1"/>
  <c r="A486" i="16"/>
  <c r="BE485" i="16"/>
  <c r="J485" i="16"/>
  <c r="I485" i="16"/>
  <c r="H485" i="16"/>
  <c r="B485" i="16"/>
  <c r="F485" i="16" s="1"/>
  <c r="A485" i="16"/>
  <c r="BE484" i="16"/>
  <c r="J484" i="16"/>
  <c r="I484" i="16"/>
  <c r="H484" i="16"/>
  <c r="B484" i="16"/>
  <c r="F484" i="16" s="1"/>
  <c r="A484" i="16"/>
  <c r="BE483" i="16"/>
  <c r="J483" i="16"/>
  <c r="I483" i="16"/>
  <c r="H483" i="16"/>
  <c r="B483" i="16"/>
  <c r="F483" i="16" s="1"/>
  <c r="A483" i="16"/>
  <c r="BE482" i="16"/>
  <c r="J482" i="16"/>
  <c r="I482" i="16"/>
  <c r="H482" i="16"/>
  <c r="B482" i="16"/>
  <c r="F482" i="16" s="1"/>
  <c r="A482" i="16"/>
  <c r="BE481" i="16"/>
  <c r="J481" i="16"/>
  <c r="I481" i="16"/>
  <c r="H481" i="16"/>
  <c r="B481" i="16"/>
  <c r="F481" i="16" s="1"/>
  <c r="A481" i="16"/>
  <c r="BE480" i="16"/>
  <c r="J480" i="16"/>
  <c r="I480" i="16"/>
  <c r="H480" i="16"/>
  <c r="B480" i="16"/>
  <c r="F480" i="16" s="1"/>
  <c r="A480" i="16"/>
  <c r="BE479" i="16"/>
  <c r="J479" i="16"/>
  <c r="I479" i="16"/>
  <c r="H479" i="16"/>
  <c r="B479" i="16"/>
  <c r="F479" i="16" s="1"/>
  <c r="A479" i="16"/>
  <c r="BE478" i="16"/>
  <c r="J478" i="16"/>
  <c r="I478" i="16"/>
  <c r="H478" i="16"/>
  <c r="B478" i="16"/>
  <c r="F478" i="16" s="1"/>
  <c r="A478" i="16"/>
  <c r="BE477" i="16"/>
  <c r="J477" i="16"/>
  <c r="I477" i="16"/>
  <c r="H477" i="16"/>
  <c r="B477" i="16"/>
  <c r="F477" i="16" s="1"/>
  <c r="A477" i="16"/>
  <c r="BE476" i="16"/>
  <c r="J476" i="16"/>
  <c r="I476" i="16"/>
  <c r="H476" i="16"/>
  <c r="B476" i="16"/>
  <c r="F476" i="16" s="1"/>
  <c r="A476" i="16"/>
  <c r="BE475" i="16"/>
  <c r="J475" i="16"/>
  <c r="I475" i="16"/>
  <c r="H475" i="16"/>
  <c r="B475" i="16"/>
  <c r="F475" i="16" s="1"/>
  <c r="A475" i="16"/>
  <c r="BE474" i="16"/>
  <c r="J474" i="16"/>
  <c r="I474" i="16"/>
  <c r="H474" i="16"/>
  <c r="B474" i="16"/>
  <c r="F474" i="16" s="1"/>
  <c r="A474" i="16"/>
  <c r="BE473" i="16"/>
  <c r="J473" i="16"/>
  <c r="I473" i="16"/>
  <c r="H473" i="16"/>
  <c r="B473" i="16"/>
  <c r="F473" i="16" s="1"/>
  <c r="A473" i="16"/>
  <c r="BE472" i="16"/>
  <c r="J472" i="16"/>
  <c r="I472" i="16"/>
  <c r="H472" i="16"/>
  <c r="B472" i="16"/>
  <c r="F472" i="16" s="1"/>
  <c r="A472" i="16"/>
  <c r="BE471" i="16"/>
  <c r="J471" i="16"/>
  <c r="I471" i="16"/>
  <c r="H471" i="16"/>
  <c r="B471" i="16"/>
  <c r="F471" i="16" s="1"/>
  <c r="A471" i="16"/>
  <c r="BE470" i="16"/>
  <c r="J470" i="16"/>
  <c r="I470" i="16"/>
  <c r="H470" i="16"/>
  <c r="B470" i="16"/>
  <c r="F470" i="16" s="1"/>
  <c r="A470" i="16"/>
  <c r="BE469" i="16"/>
  <c r="J469" i="16"/>
  <c r="I469" i="16"/>
  <c r="H469" i="16"/>
  <c r="B469" i="16"/>
  <c r="F469" i="16" s="1"/>
  <c r="A469" i="16"/>
  <c r="BE468" i="16"/>
  <c r="J468" i="16"/>
  <c r="I468" i="16"/>
  <c r="H468" i="16"/>
  <c r="B468" i="16"/>
  <c r="F468" i="16" s="1"/>
  <c r="A468" i="16"/>
  <c r="BE467" i="16"/>
  <c r="J467" i="16"/>
  <c r="I467" i="16"/>
  <c r="H467" i="16"/>
  <c r="B467" i="16"/>
  <c r="F467" i="16" s="1"/>
  <c r="A467" i="16"/>
  <c r="BE466" i="16"/>
  <c r="J466" i="16"/>
  <c r="I466" i="16"/>
  <c r="H466" i="16"/>
  <c r="B466" i="16"/>
  <c r="F466" i="16" s="1"/>
  <c r="A466" i="16"/>
  <c r="BE465" i="16"/>
  <c r="J465" i="16"/>
  <c r="I465" i="16"/>
  <c r="H465" i="16"/>
  <c r="B465" i="16"/>
  <c r="F465" i="16" s="1"/>
  <c r="A465" i="16"/>
  <c r="BE464" i="16"/>
  <c r="J464" i="16"/>
  <c r="I464" i="16"/>
  <c r="H464" i="16"/>
  <c r="B464" i="16"/>
  <c r="F464" i="16" s="1"/>
  <c r="A464" i="16"/>
  <c r="BE463" i="16"/>
  <c r="J463" i="16"/>
  <c r="I463" i="16"/>
  <c r="H463" i="16"/>
  <c r="B463" i="16"/>
  <c r="F463" i="16" s="1"/>
  <c r="A463" i="16"/>
  <c r="BE462" i="16"/>
  <c r="J462" i="16"/>
  <c r="I462" i="16"/>
  <c r="H462" i="16"/>
  <c r="B462" i="16"/>
  <c r="F462" i="16" s="1"/>
  <c r="A462" i="16"/>
  <c r="BE461" i="16"/>
  <c r="J461" i="16"/>
  <c r="I461" i="16"/>
  <c r="H461" i="16"/>
  <c r="B461" i="16"/>
  <c r="F461" i="16" s="1"/>
  <c r="A461" i="16"/>
  <c r="BE460" i="16"/>
  <c r="J460" i="16"/>
  <c r="I460" i="16"/>
  <c r="H460" i="16"/>
  <c r="B460" i="16"/>
  <c r="F460" i="16" s="1"/>
  <c r="A460" i="16"/>
  <c r="BE459" i="16"/>
  <c r="J459" i="16"/>
  <c r="I459" i="16"/>
  <c r="H459" i="16"/>
  <c r="B459" i="16"/>
  <c r="F459" i="16" s="1"/>
  <c r="A459" i="16"/>
  <c r="BE458" i="16"/>
  <c r="J458" i="16"/>
  <c r="I458" i="16"/>
  <c r="H458" i="16"/>
  <c r="B458" i="16"/>
  <c r="F458" i="16" s="1"/>
  <c r="BE457" i="16"/>
  <c r="J457" i="16"/>
  <c r="I457" i="16"/>
  <c r="H457" i="16"/>
  <c r="B457" i="16"/>
  <c r="F457" i="16" s="1"/>
  <c r="A457" i="16"/>
  <c r="BE456" i="16"/>
  <c r="J456" i="16"/>
  <c r="I456" i="16"/>
  <c r="H456" i="16"/>
  <c r="B456" i="16"/>
  <c r="F456" i="16" s="1"/>
  <c r="A456" i="16"/>
  <c r="BE455" i="16"/>
  <c r="J455" i="16"/>
  <c r="I455" i="16"/>
  <c r="H455" i="16"/>
  <c r="B455" i="16"/>
  <c r="F455" i="16" s="1"/>
  <c r="A455" i="16"/>
  <c r="BE454" i="16"/>
  <c r="J454" i="16"/>
  <c r="I454" i="16"/>
  <c r="H454" i="16"/>
  <c r="B454" i="16"/>
  <c r="F454" i="16" s="1"/>
  <c r="A454" i="16"/>
  <c r="BE453" i="16"/>
  <c r="J453" i="16"/>
  <c r="I453" i="16"/>
  <c r="H453" i="16"/>
  <c r="B453" i="16"/>
  <c r="F453" i="16" s="1"/>
  <c r="A453" i="16"/>
  <c r="BE452" i="16"/>
  <c r="J452" i="16"/>
  <c r="I452" i="16"/>
  <c r="H452" i="16"/>
  <c r="B452" i="16"/>
  <c r="F452" i="16" s="1"/>
  <c r="A452" i="16"/>
  <c r="BE451" i="16"/>
  <c r="J451" i="16"/>
  <c r="I451" i="16"/>
  <c r="H451" i="16"/>
  <c r="B451" i="16"/>
  <c r="F451" i="16" s="1"/>
  <c r="A451" i="16"/>
  <c r="BE450" i="16"/>
  <c r="J450" i="16"/>
  <c r="I450" i="16"/>
  <c r="H450" i="16"/>
  <c r="B450" i="16"/>
  <c r="F450" i="16" s="1"/>
  <c r="A450" i="16"/>
  <c r="BE449" i="16"/>
  <c r="J449" i="16"/>
  <c r="I449" i="16"/>
  <c r="H449" i="16"/>
  <c r="B449" i="16"/>
  <c r="F449" i="16" s="1"/>
  <c r="A449" i="16"/>
  <c r="BE448" i="16"/>
  <c r="J448" i="16"/>
  <c r="I448" i="16"/>
  <c r="H448" i="16"/>
  <c r="B448" i="16"/>
  <c r="F448" i="16" s="1"/>
  <c r="A448" i="16"/>
  <c r="BE447" i="16"/>
  <c r="J447" i="16"/>
  <c r="I447" i="16"/>
  <c r="H447" i="16"/>
  <c r="B447" i="16"/>
  <c r="F447" i="16" s="1"/>
  <c r="A447" i="16"/>
  <c r="BE446" i="16"/>
  <c r="J446" i="16"/>
  <c r="I446" i="16"/>
  <c r="H446" i="16"/>
  <c r="B446" i="16"/>
  <c r="F446" i="16" s="1"/>
  <c r="A446" i="16"/>
  <c r="BE445" i="16"/>
  <c r="J445" i="16"/>
  <c r="I445" i="16"/>
  <c r="H445" i="16"/>
  <c r="B445" i="16"/>
  <c r="F445" i="16" s="1"/>
  <c r="A445" i="16"/>
  <c r="BE444" i="16"/>
  <c r="J444" i="16"/>
  <c r="I444" i="16"/>
  <c r="H444" i="16"/>
  <c r="B444" i="16"/>
  <c r="F444" i="16" s="1"/>
  <c r="A444" i="16"/>
  <c r="BE443" i="16"/>
  <c r="J443" i="16"/>
  <c r="I443" i="16"/>
  <c r="H443" i="16"/>
  <c r="B443" i="16"/>
  <c r="F443" i="16" s="1"/>
  <c r="A443" i="16"/>
  <c r="BE442" i="16"/>
  <c r="J442" i="16"/>
  <c r="I442" i="16"/>
  <c r="H442" i="16"/>
  <c r="B442" i="16"/>
  <c r="F442" i="16" s="1"/>
  <c r="A442" i="16"/>
  <c r="BE441" i="16"/>
  <c r="J441" i="16"/>
  <c r="I441" i="16"/>
  <c r="H441" i="16"/>
  <c r="B441" i="16"/>
  <c r="F441" i="16" s="1"/>
  <c r="A441" i="16"/>
  <c r="BE440" i="16"/>
  <c r="J440" i="16"/>
  <c r="I440" i="16"/>
  <c r="H440" i="16"/>
  <c r="B440" i="16"/>
  <c r="F440" i="16" s="1"/>
  <c r="A440" i="16"/>
  <c r="BE439" i="16"/>
  <c r="J439" i="16"/>
  <c r="I439" i="16"/>
  <c r="H439" i="16"/>
  <c r="B439" i="16"/>
  <c r="F439" i="16" s="1"/>
  <c r="A439" i="16"/>
  <c r="BE438" i="16"/>
  <c r="J438" i="16"/>
  <c r="I438" i="16"/>
  <c r="H438" i="16"/>
  <c r="B438" i="16"/>
  <c r="F438" i="16" s="1"/>
  <c r="A438" i="16"/>
  <c r="BE437" i="16"/>
  <c r="J437" i="16"/>
  <c r="I437" i="16"/>
  <c r="H437" i="16"/>
  <c r="B437" i="16"/>
  <c r="F437" i="16" s="1"/>
  <c r="A437" i="16"/>
  <c r="BE436" i="16"/>
  <c r="J436" i="16"/>
  <c r="I436" i="16"/>
  <c r="H436" i="16"/>
  <c r="B436" i="16"/>
  <c r="F436" i="16" s="1"/>
  <c r="A436" i="16"/>
  <c r="BE435" i="16"/>
  <c r="J435" i="16"/>
  <c r="I435" i="16"/>
  <c r="H435" i="16"/>
  <c r="B435" i="16"/>
  <c r="F435" i="16" s="1"/>
  <c r="A435" i="16"/>
  <c r="BE434" i="16"/>
  <c r="J434" i="16"/>
  <c r="I434" i="16"/>
  <c r="H434" i="16"/>
  <c r="B434" i="16"/>
  <c r="F434" i="16" s="1"/>
  <c r="A434" i="16"/>
  <c r="BE433" i="16"/>
  <c r="J433" i="16"/>
  <c r="I433" i="16"/>
  <c r="H433" i="16"/>
  <c r="B433" i="16"/>
  <c r="F433" i="16" s="1"/>
  <c r="A433" i="16"/>
  <c r="BE432" i="16"/>
  <c r="J432" i="16"/>
  <c r="I432" i="16"/>
  <c r="H432" i="16"/>
  <c r="B432" i="16"/>
  <c r="F432" i="16" s="1"/>
  <c r="A432" i="16"/>
  <c r="BE431" i="16"/>
  <c r="J431" i="16"/>
  <c r="I431" i="16"/>
  <c r="H431" i="16"/>
  <c r="B431" i="16"/>
  <c r="F431" i="16" s="1"/>
  <c r="A431" i="16"/>
  <c r="BE430" i="16"/>
  <c r="J430" i="16"/>
  <c r="I430" i="16"/>
  <c r="H430" i="16"/>
  <c r="B430" i="16"/>
  <c r="F430" i="16" s="1"/>
  <c r="A430" i="16"/>
  <c r="BE429" i="16"/>
  <c r="J429" i="16"/>
  <c r="I429" i="16"/>
  <c r="H429" i="16"/>
  <c r="B429" i="16"/>
  <c r="F429" i="16" s="1"/>
  <c r="A429" i="16"/>
  <c r="BE428" i="16"/>
  <c r="J428" i="16"/>
  <c r="I428" i="16"/>
  <c r="H428" i="16"/>
  <c r="B428" i="16"/>
  <c r="F428" i="16" s="1"/>
  <c r="A428" i="16"/>
  <c r="BE427" i="16"/>
  <c r="J427" i="16"/>
  <c r="I427" i="16"/>
  <c r="H427" i="16"/>
  <c r="B427" i="16"/>
  <c r="F427" i="16" s="1"/>
  <c r="A427" i="16"/>
  <c r="BE426" i="16"/>
  <c r="J426" i="16"/>
  <c r="I426" i="16"/>
  <c r="H426" i="16"/>
  <c r="B426" i="16"/>
  <c r="F426" i="16" s="1"/>
  <c r="A426" i="16"/>
  <c r="BE425" i="16"/>
  <c r="J425" i="16"/>
  <c r="I425" i="16"/>
  <c r="H425" i="16"/>
  <c r="B425" i="16"/>
  <c r="F425" i="16" s="1"/>
  <c r="A425" i="16"/>
  <c r="BE424" i="16"/>
  <c r="J424" i="16"/>
  <c r="I424" i="16"/>
  <c r="H424" i="16"/>
  <c r="B424" i="16"/>
  <c r="F424" i="16" s="1"/>
  <c r="A424" i="16"/>
  <c r="BE423" i="16"/>
  <c r="J423" i="16"/>
  <c r="I423" i="16"/>
  <c r="H423" i="16"/>
  <c r="B423" i="16"/>
  <c r="F423" i="16" s="1"/>
  <c r="A423" i="16"/>
  <c r="BE422" i="16"/>
  <c r="J422" i="16"/>
  <c r="I422" i="16"/>
  <c r="H422" i="16"/>
  <c r="B422" i="16"/>
  <c r="F422" i="16" s="1"/>
  <c r="A422" i="16"/>
  <c r="BE421" i="16"/>
  <c r="J421" i="16"/>
  <c r="I421" i="16"/>
  <c r="H421" i="16"/>
  <c r="B421" i="16"/>
  <c r="F421" i="16" s="1"/>
  <c r="BE420" i="16"/>
  <c r="J420" i="16"/>
  <c r="I420" i="16"/>
  <c r="H420" i="16"/>
  <c r="B420" i="16"/>
  <c r="F420" i="16" s="1"/>
  <c r="A420" i="16"/>
  <c r="BE419" i="16"/>
  <c r="J419" i="16"/>
  <c r="I419" i="16"/>
  <c r="H419" i="16"/>
  <c r="B419" i="16"/>
  <c r="F419" i="16" s="1"/>
  <c r="A419" i="16"/>
  <c r="BE418" i="16"/>
  <c r="J418" i="16"/>
  <c r="I418" i="16"/>
  <c r="H418" i="16"/>
  <c r="B418" i="16"/>
  <c r="F418" i="16" s="1"/>
  <c r="A418" i="16"/>
  <c r="BE417" i="16"/>
  <c r="J417" i="16"/>
  <c r="I417" i="16"/>
  <c r="H417" i="16"/>
  <c r="B417" i="16"/>
  <c r="F417" i="16" s="1"/>
  <c r="A417" i="16"/>
  <c r="BE416" i="16"/>
  <c r="J416" i="16"/>
  <c r="I416" i="16"/>
  <c r="H416" i="16"/>
  <c r="B416" i="16"/>
  <c r="F416" i="16" s="1"/>
  <c r="A416" i="16"/>
  <c r="BE415" i="16"/>
  <c r="J415" i="16"/>
  <c r="I415" i="16"/>
  <c r="H415" i="16"/>
  <c r="B415" i="16"/>
  <c r="F415" i="16" s="1"/>
  <c r="A415" i="16"/>
  <c r="BE414" i="16"/>
  <c r="J414" i="16"/>
  <c r="I414" i="16"/>
  <c r="H414" i="16"/>
  <c r="B414" i="16"/>
  <c r="F414" i="16" s="1"/>
  <c r="A414" i="16"/>
  <c r="BE413" i="16"/>
  <c r="J413" i="16"/>
  <c r="I413" i="16"/>
  <c r="H413" i="16"/>
  <c r="B413" i="16"/>
  <c r="F413" i="16" s="1"/>
  <c r="A413" i="16"/>
  <c r="BE412" i="16"/>
  <c r="J412" i="16"/>
  <c r="I412" i="16"/>
  <c r="H412" i="16"/>
  <c r="B412" i="16"/>
  <c r="F412" i="16" s="1"/>
  <c r="A412" i="16"/>
  <c r="BE411" i="16"/>
  <c r="J411" i="16"/>
  <c r="I411" i="16"/>
  <c r="H411" i="16"/>
  <c r="B411" i="16"/>
  <c r="F411" i="16" s="1"/>
  <c r="A411" i="16"/>
  <c r="BE410" i="16"/>
  <c r="J410" i="16"/>
  <c r="I410" i="16"/>
  <c r="H410" i="16"/>
  <c r="B410" i="16"/>
  <c r="F410" i="16" s="1"/>
  <c r="A410" i="16"/>
  <c r="BE409" i="16"/>
  <c r="J409" i="16"/>
  <c r="I409" i="16"/>
  <c r="H409" i="16"/>
  <c r="B409" i="16"/>
  <c r="F409" i="16" s="1"/>
  <c r="A409" i="16"/>
  <c r="BE408" i="16"/>
  <c r="J408" i="16"/>
  <c r="I408" i="16"/>
  <c r="H408" i="16"/>
  <c r="B408" i="16"/>
  <c r="F408" i="16" s="1"/>
  <c r="A408" i="16"/>
  <c r="BE407" i="16"/>
  <c r="J407" i="16"/>
  <c r="I407" i="16"/>
  <c r="H407" i="16"/>
  <c r="B407" i="16"/>
  <c r="F407" i="16" s="1"/>
  <c r="A407" i="16"/>
  <c r="BE406" i="16"/>
  <c r="J406" i="16"/>
  <c r="I406" i="16"/>
  <c r="H406" i="16"/>
  <c r="B406" i="16"/>
  <c r="F406" i="16" s="1"/>
  <c r="A406" i="16"/>
  <c r="BE405" i="16"/>
  <c r="J405" i="16"/>
  <c r="I405" i="16"/>
  <c r="H405" i="16"/>
  <c r="B405" i="16"/>
  <c r="F405" i="16" s="1"/>
  <c r="A405" i="16"/>
  <c r="BE404" i="16"/>
  <c r="J404" i="16"/>
  <c r="I404" i="16"/>
  <c r="H404" i="16"/>
  <c r="B404" i="16"/>
  <c r="F404" i="16" s="1"/>
  <c r="A404" i="16"/>
  <c r="BE403" i="16"/>
  <c r="J403" i="16"/>
  <c r="I403" i="16"/>
  <c r="H403" i="16"/>
  <c r="B403" i="16"/>
  <c r="F403" i="16" s="1"/>
  <c r="A403" i="16"/>
  <c r="BE402" i="16"/>
  <c r="J402" i="16"/>
  <c r="I402" i="16"/>
  <c r="H402" i="16"/>
  <c r="B402" i="16"/>
  <c r="F402" i="16" s="1"/>
  <c r="A402" i="16"/>
  <c r="BE401" i="16"/>
  <c r="J401" i="16"/>
  <c r="I401" i="16"/>
  <c r="H401" i="16"/>
  <c r="B401" i="16"/>
  <c r="F401" i="16" s="1"/>
  <c r="A401" i="16"/>
  <c r="BE400" i="16"/>
  <c r="J400" i="16"/>
  <c r="I400" i="16"/>
  <c r="H400" i="16"/>
  <c r="B400" i="16"/>
  <c r="F400" i="16" s="1"/>
  <c r="A400" i="16"/>
  <c r="BE399" i="16"/>
  <c r="J399" i="16"/>
  <c r="I399" i="16"/>
  <c r="H399" i="16"/>
  <c r="B399" i="16"/>
  <c r="F399" i="16" s="1"/>
  <c r="A399" i="16"/>
  <c r="BE398" i="16"/>
  <c r="J398" i="16"/>
  <c r="I398" i="16"/>
  <c r="H398" i="16"/>
  <c r="B398" i="16"/>
  <c r="F398" i="16" s="1"/>
  <c r="A398" i="16"/>
  <c r="BE397" i="16"/>
  <c r="J397" i="16"/>
  <c r="I397" i="16"/>
  <c r="H397" i="16"/>
  <c r="B397" i="16"/>
  <c r="F397" i="16" s="1"/>
  <c r="A397" i="16"/>
  <c r="BE396" i="16"/>
  <c r="J396" i="16"/>
  <c r="I396" i="16"/>
  <c r="H396" i="16"/>
  <c r="B396" i="16"/>
  <c r="F396" i="16" s="1"/>
  <c r="A396" i="16"/>
  <c r="BE395" i="16"/>
  <c r="J395" i="16"/>
  <c r="I395" i="16"/>
  <c r="H395" i="16"/>
  <c r="B395" i="16"/>
  <c r="F395" i="16" s="1"/>
  <c r="A395" i="16"/>
  <c r="BE394" i="16"/>
  <c r="J394" i="16"/>
  <c r="I394" i="16"/>
  <c r="H394" i="16"/>
  <c r="B394" i="16"/>
  <c r="F394" i="16" s="1"/>
  <c r="A394" i="16"/>
  <c r="BE393" i="16"/>
  <c r="J393" i="16"/>
  <c r="I393" i="16"/>
  <c r="H393" i="16"/>
  <c r="B393" i="16"/>
  <c r="F393" i="16" s="1"/>
  <c r="A393" i="16"/>
  <c r="BE392" i="16"/>
  <c r="J392" i="16"/>
  <c r="I392" i="16"/>
  <c r="H392" i="16"/>
  <c r="B392" i="16"/>
  <c r="F392" i="16" s="1"/>
  <c r="A392" i="16"/>
  <c r="BE391" i="16"/>
  <c r="J391" i="16"/>
  <c r="I391" i="16"/>
  <c r="H391" i="16"/>
  <c r="B391" i="16"/>
  <c r="F391" i="16" s="1"/>
  <c r="A391" i="16"/>
  <c r="BE390" i="16"/>
  <c r="J390" i="16"/>
  <c r="I390" i="16"/>
  <c r="H390" i="16"/>
  <c r="B390" i="16"/>
  <c r="F390" i="16" s="1"/>
  <c r="A390" i="16"/>
  <c r="BE389" i="16"/>
  <c r="J389" i="16"/>
  <c r="I389" i="16"/>
  <c r="H389" i="16"/>
  <c r="B389" i="16"/>
  <c r="F389" i="16" s="1"/>
  <c r="A389" i="16"/>
  <c r="BE388" i="16"/>
  <c r="J388" i="16"/>
  <c r="I388" i="16"/>
  <c r="H388" i="16"/>
  <c r="B388" i="16"/>
  <c r="F388" i="16" s="1"/>
  <c r="A388" i="16"/>
  <c r="BE387" i="16"/>
  <c r="J387" i="16"/>
  <c r="I387" i="16"/>
  <c r="H387" i="16"/>
  <c r="B387" i="16"/>
  <c r="F387" i="16" s="1"/>
  <c r="A387" i="16"/>
  <c r="BE386" i="16"/>
  <c r="J386" i="16"/>
  <c r="I386" i="16"/>
  <c r="H386" i="16"/>
  <c r="B386" i="16"/>
  <c r="F386" i="16" s="1"/>
  <c r="A386" i="16"/>
  <c r="BE385" i="16"/>
  <c r="J385" i="16"/>
  <c r="I385" i="16"/>
  <c r="H385" i="16"/>
  <c r="B385" i="16"/>
  <c r="F385" i="16" s="1"/>
  <c r="A385" i="16"/>
  <c r="BE384" i="16"/>
  <c r="J384" i="16"/>
  <c r="I384" i="16"/>
  <c r="H384" i="16"/>
  <c r="B384" i="16"/>
  <c r="F384" i="16" s="1"/>
  <c r="A384" i="16"/>
  <c r="BE383" i="16"/>
  <c r="J383" i="16"/>
  <c r="I383" i="16"/>
  <c r="H383" i="16"/>
  <c r="B383" i="16"/>
  <c r="F383" i="16" s="1"/>
  <c r="A383" i="16"/>
  <c r="BE382" i="16"/>
  <c r="J382" i="16"/>
  <c r="I382" i="16"/>
  <c r="H382" i="16"/>
  <c r="B382" i="16"/>
  <c r="F382" i="16" s="1"/>
  <c r="A382" i="16"/>
  <c r="BE381" i="16"/>
  <c r="J381" i="16"/>
  <c r="I381" i="16"/>
  <c r="H381" i="16"/>
  <c r="B381" i="16"/>
  <c r="F381" i="16" s="1"/>
  <c r="BE380" i="16"/>
  <c r="J380" i="16"/>
  <c r="I380" i="16"/>
  <c r="H380" i="16"/>
  <c r="B380" i="16"/>
  <c r="F380" i="16" s="1"/>
  <c r="A380" i="16"/>
  <c r="BE379" i="16"/>
  <c r="J379" i="16"/>
  <c r="I379" i="16"/>
  <c r="H379" i="16"/>
  <c r="B379" i="16"/>
  <c r="F379" i="16" s="1"/>
  <c r="A379" i="16"/>
  <c r="BE378" i="16"/>
  <c r="J378" i="16"/>
  <c r="I378" i="16"/>
  <c r="H378" i="16"/>
  <c r="B378" i="16"/>
  <c r="F378" i="16" s="1"/>
  <c r="A378" i="16"/>
  <c r="BE377" i="16"/>
  <c r="J377" i="16"/>
  <c r="I377" i="16"/>
  <c r="H377" i="16"/>
  <c r="B377" i="16"/>
  <c r="F377" i="16" s="1"/>
  <c r="A377" i="16"/>
  <c r="BE376" i="16"/>
  <c r="J376" i="16"/>
  <c r="I376" i="16"/>
  <c r="H376" i="16"/>
  <c r="B376" i="16"/>
  <c r="F376" i="16" s="1"/>
  <c r="A376" i="16"/>
  <c r="BE375" i="16"/>
  <c r="J375" i="16"/>
  <c r="I375" i="16"/>
  <c r="H375" i="16"/>
  <c r="B375" i="16"/>
  <c r="F375" i="16" s="1"/>
  <c r="A375" i="16"/>
  <c r="BE374" i="16"/>
  <c r="J374" i="16"/>
  <c r="I374" i="16"/>
  <c r="H374" i="16"/>
  <c r="B374" i="16"/>
  <c r="F374" i="16" s="1"/>
  <c r="A374" i="16"/>
  <c r="BE373" i="16"/>
  <c r="J373" i="16"/>
  <c r="I373" i="16"/>
  <c r="H373" i="16"/>
  <c r="B373" i="16"/>
  <c r="F373" i="16" s="1"/>
  <c r="A373" i="16"/>
  <c r="BE372" i="16"/>
  <c r="J372" i="16"/>
  <c r="I372" i="16"/>
  <c r="H372" i="16"/>
  <c r="B372" i="16"/>
  <c r="F372" i="16" s="1"/>
  <c r="A372" i="16"/>
  <c r="BE371" i="16"/>
  <c r="J371" i="16"/>
  <c r="I371" i="16"/>
  <c r="H371" i="16"/>
  <c r="B371" i="16"/>
  <c r="F371" i="16" s="1"/>
  <c r="A371" i="16"/>
  <c r="BE370" i="16"/>
  <c r="J370" i="16"/>
  <c r="I370" i="16"/>
  <c r="H370" i="16"/>
  <c r="B370" i="16"/>
  <c r="F370" i="16" s="1"/>
  <c r="A370" i="16"/>
  <c r="BE369" i="16"/>
  <c r="J369" i="16"/>
  <c r="I369" i="16"/>
  <c r="H369" i="16"/>
  <c r="B369" i="16"/>
  <c r="F369" i="16" s="1"/>
  <c r="A369" i="16"/>
  <c r="BE368" i="16"/>
  <c r="J368" i="16"/>
  <c r="I368" i="16"/>
  <c r="H368" i="16"/>
  <c r="B368" i="16"/>
  <c r="F368" i="16" s="1"/>
  <c r="A368" i="16"/>
  <c r="BE367" i="16"/>
  <c r="J367" i="16"/>
  <c r="I367" i="16"/>
  <c r="H367" i="16"/>
  <c r="B367" i="16"/>
  <c r="F367" i="16" s="1"/>
  <c r="A367" i="16"/>
  <c r="BE366" i="16"/>
  <c r="J366" i="16"/>
  <c r="I366" i="16"/>
  <c r="H366" i="16"/>
  <c r="B366" i="16"/>
  <c r="F366" i="16" s="1"/>
  <c r="A366" i="16"/>
  <c r="BE365" i="16"/>
  <c r="J365" i="16"/>
  <c r="I365" i="16"/>
  <c r="H365" i="16"/>
  <c r="B365" i="16"/>
  <c r="F365" i="16" s="1"/>
  <c r="A365" i="16"/>
  <c r="BE364" i="16"/>
  <c r="J364" i="16"/>
  <c r="I364" i="16"/>
  <c r="H364" i="16"/>
  <c r="B364" i="16"/>
  <c r="F364" i="16" s="1"/>
  <c r="A364" i="16"/>
  <c r="BE363" i="16"/>
  <c r="J363" i="16"/>
  <c r="I363" i="16"/>
  <c r="H363" i="16"/>
  <c r="B363" i="16"/>
  <c r="F363" i="16" s="1"/>
  <c r="A363" i="16"/>
  <c r="BE362" i="16"/>
  <c r="J362" i="16"/>
  <c r="I362" i="16"/>
  <c r="H362" i="16"/>
  <c r="B362" i="16"/>
  <c r="F362" i="16" s="1"/>
  <c r="A362" i="16"/>
  <c r="BE361" i="16"/>
  <c r="J361" i="16"/>
  <c r="I361" i="16"/>
  <c r="H361" i="16"/>
  <c r="B361" i="16"/>
  <c r="F361" i="16" s="1"/>
  <c r="A361" i="16"/>
  <c r="BE360" i="16"/>
  <c r="J360" i="16"/>
  <c r="I360" i="16"/>
  <c r="H360" i="16"/>
  <c r="B360" i="16"/>
  <c r="F360" i="16" s="1"/>
  <c r="A360" i="16"/>
  <c r="BE359" i="16"/>
  <c r="J359" i="16"/>
  <c r="I359" i="16"/>
  <c r="H359" i="16"/>
  <c r="B359" i="16"/>
  <c r="F359" i="16" s="1"/>
  <c r="A359" i="16"/>
  <c r="BE358" i="16"/>
  <c r="J358" i="16"/>
  <c r="I358" i="16"/>
  <c r="H358" i="16"/>
  <c r="B358" i="16"/>
  <c r="F358" i="16" s="1"/>
  <c r="A358" i="16"/>
  <c r="BE357" i="16"/>
  <c r="J357" i="16"/>
  <c r="I357" i="16"/>
  <c r="H357" i="16"/>
  <c r="B357" i="16"/>
  <c r="F357" i="16" s="1"/>
  <c r="A357" i="16"/>
  <c r="BE356" i="16"/>
  <c r="J356" i="16"/>
  <c r="I356" i="16"/>
  <c r="H356" i="16"/>
  <c r="B356" i="16"/>
  <c r="F356" i="16" s="1"/>
  <c r="A356" i="16"/>
  <c r="BE355" i="16"/>
  <c r="J355" i="16"/>
  <c r="I355" i="16"/>
  <c r="H355" i="16"/>
  <c r="B355" i="16"/>
  <c r="F355" i="16" s="1"/>
  <c r="A355" i="16"/>
  <c r="BE354" i="16"/>
  <c r="J354" i="16"/>
  <c r="I354" i="16"/>
  <c r="H354" i="16"/>
  <c r="B354" i="16"/>
  <c r="F354" i="16" s="1"/>
  <c r="A354" i="16"/>
  <c r="BE353" i="16"/>
  <c r="J353" i="16"/>
  <c r="I353" i="16"/>
  <c r="H353" i="16"/>
  <c r="B353" i="16"/>
  <c r="F353" i="16" s="1"/>
  <c r="A353" i="16"/>
  <c r="BE352" i="16"/>
  <c r="J352" i="16"/>
  <c r="I352" i="16"/>
  <c r="H352" i="16"/>
  <c r="B352" i="16"/>
  <c r="F352" i="16" s="1"/>
  <c r="A352" i="16"/>
  <c r="BE351" i="16"/>
  <c r="J351" i="16"/>
  <c r="I351" i="16"/>
  <c r="H351" i="16"/>
  <c r="B351" i="16"/>
  <c r="F351" i="16" s="1"/>
  <c r="A351" i="16"/>
  <c r="BE350" i="16"/>
  <c r="J350" i="16"/>
  <c r="I350" i="16"/>
  <c r="H350" i="16"/>
  <c r="B350" i="16"/>
  <c r="F350" i="16" s="1"/>
  <c r="A350" i="16"/>
  <c r="BE349" i="16"/>
  <c r="J349" i="16"/>
  <c r="I349" i="16"/>
  <c r="H349" i="16"/>
  <c r="B349" i="16"/>
  <c r="F349" i="16" s="1"/>
  <c r="A349" i="16"/>
  <c r="BE348" i="16"/>
  <c r="J348" i="16"/>
  <c r="I348" i="16"/>
  <c r="H348" i="16"/>
  <c r="B348" i="16"/>
  <c r="F348" i="16" s="1"/>
  <c r="A348" i="16"/>
  <c r="BE347" i="16"/>
  <c r="J347" i="16"/>
  <c r="I347" i="16"/>
  <c r="H347" i="16"/>
  <c r="B347" i="16"/>
  <c r="F347" i="16" s="1"/>
  <c r="A347" i="16"/>
  <c r="BE346" i="16"/>
  <c r="J346" i="16"/>
  <c r="I346" i="16"/>
  <c r="H346" i="16"/>
  <c r="B346" i="16"/>
  <c r="F346" i="16" s="1"/>
  <c r="A346" i="16"/>
  <c r="BE345" i="16"/>
  <c r="J345" i="16"/>
  <c r="I345" i="16"/>
  <c r="H345" i="16"/>
  <c r="B345" i="16"/>
  <c r="F345" i="16" s="1"/>
  <c r="A345" i="16"/>
  <c r="BE344" i="16"/>
  <c r="J344" i="16"/>
  <c r="I344" i="16"/>
  <c r="H344" i="16"/>
  <c r="B344" i="16"/>
  <c r="F344" i="16" s="1"/>
  <c r="A344" i="16"/>
  <c r="BE343" i="16"/>
  <c r="J343" i="16"/>
  <c r="I343" i="16"/>
  <c r="H343" i="16"/>
  <c r="B343" i="16"/>
  <c r="F343" i="16" s="1"/>
  <c r="A343" i="16"/>
  <c r="BE342" i="16"/>
  <c r="J342" i="16"/>
  <c r="I342" i="16"/>
  <c r="H342" i="16"/>
  <c r="B342" i="16"/>
  <c r="F342" i="16" s="1"/>
  <c r="A342" i="16"/>
  <c r="BE341" i="16"/>
  <c r="J341" i="16"/>
  <c r="I341" i="16"/>
  <c r="H341" i="16"/>
  <c r="B341" i="16"/>
  <c r="F341" i="16" s="1"/>
  <c r="A341" i="16"/>
  <c r="BE340" i="16"/>
  <c r="J340" i="16"/>
  <c r="I340" i="16"/>
  <c r="H340" i="16"/>
  <c r="B340" i="16"/>
  <c r="F340" i="16" s="1"/>
  <c r="BE339" i="16"/>
  <c r="J339" i="16"/>
  <c r="I339" i="16"/>
  <c r="H339" i="16"/>
  <c r="B339" i="16"/>
  <c r="F339" i="16" s="1"/>
  <c r="A339" i="16"/>
  <c r="BE338" i="16"/>
  <c r="J338" i="16"/>
  <c r="I338" i="16"/>
  <c r="H338" i="16"/>
  <c r="B338" i="16"/>
  <c r="F338" i="16" s="1"/>
  <c r="A338" i="16"/>
  <c r="BE337" i="16"/>
  <c r="J337" i="16"/>
  <c r="I337" i="16"/>
  <c r="H337" i="16"/>
  <c r="B337" i="16"/>
  <c r="F337" i="16" s="1"/>
  <c r="A337" i="16"/>
  <c r="BE336" i="16"/>
  <c r="J336" i="16"/>
  <c r="I336" i="16"/>
  <c r="H336" i="16"/>
  <c r="B336" i="16"/>
  <c r="F336" i="16" s="1"/>
  <c r="A336" i="16"/>
  <c r="BE335" i="16"/>
  <c r="J335" i="16"/>
  <c r="I335" i="16"/>
  <c r="H335" i="16"/>
  <c r="B335" i="16"/>
  <c r="F335" i="16" s="1"/>
  <c r="A335" i="16"/>
  <c r="BE334" i="16"/>
  <c r="J334" i="16"/>
  <c r="I334" i="16"/>
  <c r="H334" i="16"/>
  <c r="B334" i="16"/>
  <c r="F334" i="16" s="1"/>
  <c r="A334" i="16"/>
  <c r="BE333" i="16"/>
  <c r="J333" i="16"/>
  <c r="I333" i="16"/>
  <c r="H333" i="16"/>
  <c r="B333" i="16"/>
  <c r="F333" i="16" s="1"/>
  <c r="A333" i="16"/>
  <c r="BE332" i="16"/>
  <c r="J332" i="16"/>
  <c r="I332" i="16"/>
  <c r="H332" i="16"/>
  <c r="B332" i="16"/>
  <c r="F332" i="16" s="1"/>
  <c r="A332" i="16"/>
  <c r="BE331" i="16"/>
  <c r="J331" i="16"/>
  <c r="I331" i="16"/>
  <c r="H331" i="16"/>
  <c r="B331" i="16"/>
  <c r="F331" i="16" s="1"/>
  <c r="A331" i="16"/>
  <c r="BE330" i="16"/>
  <c r="J330" i="16"/>
  <c r="I330" i="16"/>
  <c r="H330" i="16"/>
  <c r="B330" i="16"/>
  <c r="F330" i="16" s="1"/>
  <c r="A330" i="16"/>
  <c r="BE329" i="16"/>
  <c r="J329" i="16"/>
  <c r="I329" i="16"/>
  <c r="H329" i="16"/>
  <c r="B329" i="16"/>
  <c r="F329" i="16" s="1"/>
  <c r="A329" i="16"/>
  <c r="BE328" i="16"/>
  <c r="J328" i="16"/>
  <c r="I328" i="16"/>
  <c r="H328" i="16"/>
  <c r="B328" i="16"/>
  <c r="F328" i="16" s="1"/>
  <c r="A328" i="16"/>
  <c r="BE327" i="16"/>
  <c r="J327" i="16"/>
  <c r="I327" i="16"/>
  <c r="H327" i="16"/>
  <c r="B327" i="16"/>
  <c r="F327" i="16" s="1"/>
  <c r="A327" i="16"/>
  <c r="BE326" i="16"/>
  <c r="J326" i="16"/>
  <c r="I326" i="16"/>
  <c r="H326" i="16"/>
  <c r="B326" i="16"/>
  <c r="F326" i="16" s="1"/>
  <c r="A326" i="16"/>
  <c r="BE325" i="16"/>
  <c r="J325" i="16"/>
  <c r="I325" i="16"/>
  <c r="H325" i="16"/>
  <c r="B325" i="16"/>
  <c r="F325" i="16" s="1"/>
  <c r="A325" i="16"/>
  <c r="BE324" i="16"/>
  <c r="J324" i="16"/>
  <c r="I324" i="16"/>
  <c r="H324" i="16"/>
  <c r="B324" i="16"/>
  <c r="F324" i="16" s="1"/>
  <c r="A324" i="16"/>
  <c r="BE323" i="16"/>
  <c r="J323" i="16"/>
  <c r="I323" i="16"/>
  <c r="H323" i="16"/>
  <c r="B323" i="16"/>
  <c r="F323" i="16" s="1"/>
  <c r="A323" i="16"/>
  <c r="BE322" i="16"/>
  <c r="J322" i="16"/>
  <c r="I322" i="16"/>
  <c r="H322" i="16"/>
  <c r="B322" i="16"/>
  <c r="F322" i="16" s="1"/>
  <c r="A322" i="16"/>
  <c r="BE321" i="16"/>
  <c r="J321" i="16"/>
  <c r="I321" i="16"/>
  <c r="H321" i="16"/>
  <c r="B321" i="16"/>
  <c r="F321" i="16" s="1"/>
  <c r="A321" i="16"/>
  <c r="BE320" i="16"/>
  <c r="J320" i="16"/>
  <c r="I320" i="16"/>
  <c r="H320" i="16"/>
  <c r="B320" i="16"/>
  <c r="F320" i="16" s="1"/>
  <c r="A320" i="16"/>
  <c r="BE319" i="16"/>
  <c r="J319" i="16"/>
  <c r="I319" i="16"/>
  <c r="H319" i="16"/>
  <c r="B319" i="16"/>
  <c r="F319" i="16" s="1"/>
  <c r="A319" i="16"/>
  <c r="BE318" i="16"/>
  <c r="J318" i="16"/>
  <c r="I318" i="16"/>
  <c r="H318" i="16"/>
  <c r="B318" i="16"/>
  <c r="F318" i="16" s="1"/>
  <c r="A318" i="16"/>
  <c r="BE317" i="16"/>
  <c r="J317" i="16"/>
  <c r="I317" i="16"/>
  <c r="H317" i="16"/>
  <c r="B317" i="16"/>
  <c r="F317" i="16" s="1"/>
  <c r="A317" i="16"/>
  <c r="BE316" i="16"/>
  <c r="J316" i="16"/>
  <c r="I316" i="16"/>
  <c r="H316" i="16"/>
  <c r="B316" i="16"/>
  <c r="F316" i="16" s="1"/>
  <c r="A316" i="16"/>
  <c r="BE315" i="16"/>
  <c r="J315" i="16"/>
  <c r="I315" i="16"/>
  <c r="H315" i="16"/>
  <c r="B315" i="16"/>
  <c r="F315" i="16" s="1"/>
  <c r="A315" i="16"/>
  <c r="BE314" i="16"/>
  <c r="J314" i="16"/>
  <c r="I314" i="16"/>
  <c r="H314" i="16"/>
  <c r="B314" i="16"/>
  <c r="F314" i="16" s="1"/>
  <c r="A314" i="16"/>
  <c r="BE313" i="16"/>
  <c r="J313" i="16"/>
  <c r="I313" i="16"/>
  <c r="H313" i="16"/>
  <c r="B313" i="16"/>
  <c r="F313" i="16" s="1"/>
  <c r="A313" i="16"/>
  <c r="BE312" i="16"/>
  <c r="J312" i="16"/>
  <c r="I312" i="16"/>
  <c r="H312" i="16"/>
  <c r="B312" i="16"/>
  <c r="F312" i="16" s="1"/>
  <c r="A312" i="16"/>
  <c r="BE311" i="16"/>
  <c r="J311" i="16"/>
  <c r="I311" i="16"/>
  <c r="H311" i="16"/>
  <c r="B311" i="16"/>
  <c r="F311" i="16" s="1"/>
  <c r="A311" i="16"/>
  <c r="BE310" i="16"/>
  <c r="J310" i="16"/>
  <c r="I310" i="16"/>
  <c r="H310" i="16"/>
  <c r="B310" i="16"/>
  <c r="F310" i="16" s="1"/>
  <c r="A310" i="16"/>
  <c r="BE309" i="16"/>
  <c r="J309" i="16"/>
  <c r="I309" i="16"/>
  <c r="H309" i="16"/>
  <c r="B309" i="16"/>
  <c r="F309" i="16" s="1"/>
  <c r="A309" i="16"/>
  <c r="BE308" i="16"/>
  <c r="J308" i="16"/>
  <c r="I308" i="16"/>
  <c r="H308" i="16"/>
  <c r="B308" i="16"/>
  <c r="F308" i="16" s="1"/>
  <c r="A308" i="16"/>
  <c r="BE307" i="16"/>
  <c r="J307" i="16"/>
  <c r="I307" i="16"/>
  <c r="H307" i="16"/>
  <c r="B307" i="16"/>
  <c r="F307" i="16" s="1"/>
  <c r="A307" i="16"/>
  <c r="BE306" i="16"/>
  <c r="J306" i="16"/>
  <c r="I306" i="16"/>
  <c r="H306" i="16"/>
  <c r="B306" i="16"/>
  <c r="F306" i="16" s="1"/>
  <c r="A306" i="16"/>
  <c r="BE305" i="16"/>
  <c r="J305" i="16"/>
  <c r="I305" i="16"/>
  <c r="H305" i="16"/>
  <c r="B305" i="16"/>
  <c r="F305" i="16" s="1"/>
  <c r="A305" i="16"/>
  <c r="BE304" i="16"/>
  <c r="J304" i="16"/>
  <c r="I304" i="16"/>
  <c r="H304" i="16"/>
  <c r="B304" i="16"/>
  <c r="F304" i="16" s="1"/>
  <c r="A304" i="16"/>
  <c r="BE303" i="16"/>
  <c r="J303" i="16"/>
  <c r="I303" i="16"/>
  <c r="H303" i="16"/>
  <c r="B303" i="16"/>
  <c r="F303" i="16" s="1"/>
  <c r="A303" i="16"/>
  <c r="BE302" i="16"/>
  <c r="J302" i="16"/>
  <c r="I302" i="16"/>
  <c r="H302" i="16"/>
  <c r="B302" i="16"/>
  <c r="F302" i="16" s="1"/>
  <c r="A302" i="16"/>
  <c r="BE301" i="16"/>
  <c r="J301" i="16"/>
  <c r="I301" i="16"/>
  <c r="H301" i="16"/>
  <c r="B301" i="16"/>
  <c r="F301" i="16" s="1"/>
  <c r="A301" i="16"/>
  <c r="BE300" i="16"/>
  <c r="J300" i="16"/>
  <c r="I300" i="16"/>
  <c r="H300" i="16"/>
  <c r="B300" i="16"/>
  <c r="F300" i="16" s="1"/>
  <c r="A300" i="16"/>
  <c r="BE299" i="16"/>
  <c r="J299" i="16"/>
  <c r="I299" i="16"/>
  <c r="H299" i="16"/>
  <c r="B299" i="16"/>
  <c r="F299" i="16" s="1"/>
  <c r="A299" i="16"/>
  <c r="BE298" i="16"/>
  <c r="J298" i="16"/>
  <c r="I298" i="16"/>
  <c r="H298" i="16"/>
  <c r="B298" i="16"/>
  <c r="F298" i="16" s="1"/>
  <c r="BE297" i="16"/>
  <c r="J297" i="16"/>
  <c r="I297" i="16"/>
  <c r="H297" i="16"/>
  <c r="B297" i="16"/>
  <c r="F297" i="16" s="1"/>
  <c r="A297" i="16"/>
  <c r="BE296" i="16"/>
  <c r="J296" i="16"/>
  <c r="I296" i="16"/>
  <c r="H296" i="16"/>
  <c r="B296" i="16"/>
  <c r="F296" i="16" s="1"/>
  <c r="A296" i="16"/>
  <c r="BE295" i="16"/>
  <c r="J295" i="16"/>
  <c r="I295" i="16"/>
  <c r="H295" i="16"/>
  <c r="B295" i="16"/>
  <c r="F295" i="16" s="1"/>
  <c r="A295" i="16"/>
  <c r="BE294" i="16"/>
  <c r="J294" i="16"/>
  <c r="I294" i="16"/>
  <c r="H294" i="16"/>
  <c r="B294" i="16"/>
  <c r="F294" i="16" s="1"/>
  <c r="A294" i="16"/>
  <c r="BE293" i="16"/>
  <c r="J293" i="16"/>
  <c r="I293" i="16"/>
  <c r="H293" i="16"/>
  <c r="B293" i="16"/>
  <c r="F293" i="16" s="1"/>
  <c r="A293" i="16"/>
  <c r="BE292" i="16"/>
  <c r="J292" i="16"/>
  <c r="I292" i="16"/>
  <c r="H292" i="16"/>
  <c r="B292" i="16"/>
  <c r="F292" i="16" s="1"/>
  <c r="A292" i="16"/>
  <c r="BE291" i="16"/>
  <c r="J291" i="16"/>
  <c r="I291" i="16"/>
  <c r="H291" i="16"/>
  <c r="B291" i="16"/>
  <c r="F291" i="16" s="1"/>
  <c r="A291" i="16"/>
  <c r="BE290" i="16"/>
  <c r="J290" i="16"/>
  <c r="I290" i="16"/>
  <c r="H290" i="16"/>
  <c r="B290" i="16"/>
  <c r="F290" i="16" s="1"/>
  <c r="A290" i="16"/>
  <c r="BE289" i="16"/>
  <c r="J289" i="16"/>
  <c r="I289" i="16"/>
  <c r="H289" i="16"/>
  <c r="B289" i="16"/>
  <c r="F289" i="16" s="1"/>
  <c r="A289" i="16"/>
  <c r="BE288" i="16"/>
  <c r="J288" i="16"/>
  <c r="I288" i="16"/>
  <c r="H288" i="16"/>
  <c r="B288" i="16"/>
  <c r="F288" i="16" s="1"/>
  <c r="A288" i="16"/>
  <c r="BE287" i="16"/>
  <c r="J287" i="16"/>
  <c r="I287" i="16"/>
  <c r="H287" i="16"/>
  <c r="B287" i="16"/>
  <c r="F287" i="16" s="1"/>
  <c r="A287" i="16"/>
  <c r="BE286" i="16"/>
  <c r="J286" i="16"/>
  <c r="I286" i="16"/>
  <c r="H286" i="16"/>
  <c r="B286" i="16"/>
  <c r="F286" i="16" s="1"/>
  <c r="A286" i="16"/>
  <c r="BE285" i="16"/>
  <c r="J285" i="16"/>
  <c r="I285" i="16"/>
  <c r="H285" i="16"/>
  <c r="B285" i="16"/>
  <c r="F285" i="16" s="1"/>
  <c r="A285" i="16"/>
  <c r="BE284" i="16"/>
  <c r="J284" i="16"/>
  <c r="I284" i="16"/>
  <c r="H284" i="16"/>
  <c r="B284" i="16"/>
  <c r="F284" i="16" s="1"/>
  <c r="A284" i="16"/>
  <c r="BE283" i="16"/>
  <c r="J283" i="16"/>
  <c r="I283" i="16"/>
  <c r="H283" i="16"/>
  <c r="B283" i="16"/>
  <c r="F283" i="16" s="1"/>
  <c r="A283" i="16"/>
  <c r="BE282" i="16"/>
  <c r="J282" i="16"/>
  <c r="I282" i="16"/>
  <c r="H282" i="16"/>
  <c r="B282" i="16"/>
  <c r="F282" i="16" s="1"/>
  <c r="A282" i="16"/>
  <c r="BE281" i="16"/>
  <c r="J281" i="16"/>
  <c r="I281" i="16"/>
  <c r="H281" i="16"/>
  <c r="B281" i="16"/>
  <c r="F281" i="16" s="1"/>
  <c r="A281" i="16"/>
  <c r="BE280" i="16"/>
  <c r="J280" i="16"/>
  <c r="I280" i="16"/>
  <c r="H280" i="16"/>
  <c r="B280" i="16"/>
  <c r="F280" i="16" s="1"/>
  <c r="A280" i="16"/>
  <c r="BE279" i="16"/>
  <c r="J279" i="16"/>
  <c r="I279" i="16"/>
  <c r="H279" i="16"/>
  <c r="B279" i="16"/>
  <c r="F279" i="16" s="1"/>
  <c r="A279" i="16"/>
  <c r="BE278" i="16"/>
  <c r="J278" i="16"/>
  <c r="I278" i="16"/>
  <c r="H278" i="16"/>
  <c r="B278" i="16"/>
  <c r="F278" i="16" s="1"/>
  <c r="A278" i="16"/>
  <c r="BE277" i="16"/>
  <c r="J277" i="16"/>
  <c r="I277" i="16"/>
  <c r="H277" i="16"/>
  <c r="B277" i="16"/>
  <c r="F277" i="16" s="1"/>
  <c r="A277" i="16"/>
  <c r="BE276" i="16"/>
  <c r="J276" i="16"/>
  <c r="I276" i="16"/>
  <c r="H276" i="16"/>
  <c r="B276" i="16"/>
  <c r="F276" i="16" s="1"/>
  <c r="A276" i="16"/>
  <c r="BE275" i="16"/>
  <c r="J275" i="16"/>
  <c r="I275" i="16"/>
  <c r="H275" i="16"/>
  <c r="B275" i="16"/>
  <c r="F275" i="16" s="1"/>
  <c r="A275" i="16"/>
  <c r="BE274" i="16"/>
  <c r="J274" i="16"/>
  <c r="I274" i="16"/>
  <c r="H274" i="16"/>
  <c r="B274" i="16"/>
  <c r="F274" i="16" s="1"/>
  <c r="A274" i="16"/>
  <c r="BE273" i="16"/>
  <c r="J273" i="16"/>
  <c r="I273" i="16"/>
  <c r="H273" i="16"/>
  <c r="B273" i="16"/>
  <c r="F273" i="16" s="1"/>
  <c r="A273" i="16"/>
  <c r="BE272" i="16"/>
  <c r="J272" i="16"/>
  <c r="I272" i="16"/>
  <c r="H272" i="16"/>
  <c r="B272" i="16"/>
  <c r="F272" i="16" s="1"/>
  <c r="A272" i="16"/>
  <c r="BE271" i="16"/>
  <c r="J271" i="16"/>
  <c r="I271" i="16"/>
  <c r="H271" i="16"/>
  <c r="B271" i="16"/>
  <c r="F271" i="16" s="1"/>
  <c r="A271" i="16"/>
  <c r="BE270" i="16"/>
  <c r="J270" i="16"/>
  <c r="I270" i="16"/>
  <c r="H270" i="16"/>
  <c r="B270" i="16"/>
  <c r="F270" i="16" s="1"/>
  <c r="A270" i="16"/>
  <c r="BE269" i="16"/>
  <c r="J269" i="16"/>
  <c r="I269" i="16"/>
  <c r="H269" i="16"/>
  <c r="B269" i="16"/>
  <c r="F269" i="16" s="1"/>
  <c r="A269" i="16"/>
  <c r="BE268" i="16"/>
  <c r="J268" i="16"/>
  <c r="I268" i="16"/>
  <c r="H268" i="16"/>
  <c r="B268" i="16"/>
  <c r="F268" i="16" s="1"/>
  <c r="A268" i="16"/>
  <c r="BE267" i="16"/>
  <c r="J267" i="16"/>
  <c r="I267" i="16"/>
  <c r="H267" i="16"/>
  <c r="B267" i="16"/>
  <c r="F267" i="16" s="1"/>
  <c r="A267" i="16"/>
  <c r="BE266" i="16"/>
  <c r="J266" i="16"/>
  <c r="I266" i="16"/>
  <c r="H266" i="16"/>
  <c r="B266" i="16"/>
  <c r="F266" i="16" s="1"/>
  <c r="A266" i="16"/>
  <c r="BE265" i="16"/>
  <c r="J265" i="16"/>
  <c r="I265" i="16"/>
  <c r="H265" i="16"/>
  <c r="B265" i="16"/>
  <c r="F265" i="16" s="1"/>
  <c r="A265" i="16"/>
  <c r="BE264" i="16"/>
  <c r="J264" i="16"/>
  <c r="I264" i="16"/>
  <c r="H264" i="16"/>
  <c r="B264" i="16"/>
  <c r="F264" i="16" s="1"/>
  <c r="A264" i="16"/>
  <c r="BE263" i="16"/>
  <c r="J263" i="16"/>
  <c r="I263" i="16"/>
  <c r="H263" i="16"/>
  <c r="B263" i="16"/>
  <c r="F263" i="16" s="1"/>
  <c r="A263" i="16"/>
  <c r="BE262" i="16"/>
  <c r="J262" i="16"/>
  <c r="I262" i="16"/>
  <c r="H262" i="16"/>
  <c r="B262" i="16"/>
  <c r="F262" i="16" s="1"/>
  <c r="A262" i="16"/>
  <c r="BE261" i="16"/>
  <c r="J261" i="16"/>
  <c r="I261" i="16"/>
  <c r="H261" i="16"/>
  <c r="B261" i="16"/>
  <c r="F261" i="16" s="1"/>
  <c r="A261" i="16"/>
  <c r="BE260" i="16"/>
  <c r="J260" i="16"/>
  <c r="I260" i="16"/>
  <c r="H260" i="16"/>
  <c r="B260" i="16"/>
  <c r="F260" i="16" s="1"/>
  <c r="A260" i="16"/>
  <c r="BE259" i="16"/>
  <c r="J259" i="16"/>
  <c r="I259" i="16"/>
  <c r="H259" i="16"/>
  <c r="B259" i="16"/>
  <c r="F259" i="16" s="1"/>
  <c r="A259" i="16"/>
  <c r="BE258" i="16"/>
  <c r="J258" i="16"/>
  <c r="I258" i="16"/>
  <c r="H258" i="16"/>
  <c r="B258" i="16"/>
  <c r="F258" i="16" s="1"/>
  <c r="BE257" i="16"/>
  <c r="J257" i="16"/>
  <c r="I257" i="16"/>
  <c r="H257" i="16"/>
  <c r="B257" i="16"/>
  <c r="F257" i="16" s="1"/>
  <c r="A257" i="16"/>
  <c r="BE256" i="16"/>
  <c r="J256" i="16"/>
  <c r="I256" i="16"/>
  <c r="H256" i="16"/>
  <c r="B256" i="16"/>
  <c r="F256" i="16" s="1"/>
  <c r="A256" i="16"/>
  <c r="BE255" i="16"/>
  <c r="J255" i="16"/>
  <c r="I255" i="16"/>
  <c r="H255" i="16"/>
  <c r="B255" i="16"/>
  <c r="F255" i="16" s="1"/>
  <c r="A255" i="16"/>
  <c r="BE254" i="16"/>
  <c r="J254" i="16"/>
  <c r="I254" i="16"/>
  <c r="H254" i="16"/>
  <c r="B254" i="16"/>
  <c r="F254" i="16" s="1"/>
  <c r="A254" i="16"/>
  <c r="BE253" i="16"/>
  <c r="J253" i="16"/>
  <c r="I253" i="16"/>
  <c r="H253" i="16"/>
  <c r="B253" i="16"/>
  <c r="F253" i="16" s="1"/>
  <c r="A253" i="16"/>
  <c r="BE252" i="16"/>
  <c r="J252" i="16"/>
  <c r="I252" i="16"/>
  <c r="H252" i="16"/>
  <c r="B252" i="16"/>
  <c r="F252" i="16" s="1"/>
  <c r="A252" i="16"/>
  <c r="BE251" i="16"/>
  <c r="J251" i="16"/>
  <c r="I251" i="16"/>
  <c r="H251" i="16"/>
  <c r="B251" i="16"/>
  <c r="F251" i="16" s="1"/>
  <c r="A251" i="16"/>
  <c r="BE250" i="16"/>
  <c r="J250" i="16"/>
  <c r="I250" i="16"/>
  <c r="H250" i="16"/>
  <c r="B250" i="16"/>
  <c r="F250" i="16" s="1"/>
  <c r="A250" i="16"/>
  <c r="BE249" i="16"/>
  <c r="J249" i="16"/>
  <c r="I249" i="16"/>
  <c r="H249" i="16"/>
  <c r="B249" i="16"/>
  <c r="F249" i="16" s="1"/>
  <c r="A249" i="16"/>
  <c r="BE248" i="16"/>
  <c r="J248" i="16"/>
  <c r="I248" i="16"/>
  <c r="H248" i="16"/>
  <c r="B248" i="16"/>
  <c r="F248" i="16" s="1"/>
  <c r="A248" i="16"/>
  <c r="BE247" i="16"/>
  <c r="J247" i="16"/>
  <c r="I247" i="16"/>
  <c r="H247" i="16"/>
  <c r="B247" i="16"/>
  <c r="F247" i="16" s="1"/>
  <c r="A247" i="16"/>
  <c r="BE246" i="16"/>
  <c r="J246" i="16"/>
  <c r="I246" i="16"/>
  <c r="H246" i="16"/>
  <c r="B246" i="16"/>
  <c r="F246" i="16" s="1"/>
  <c r="A246" i="16"/>
  <c r="BE245" i="16"/>
  <c r="J245" i="16"/>
  <c r="I245" i="16"/>
  <c r="H245" i="16"/>
  <c r="B245" i="16"/>
  <c r="F245" i="16" s="1"/>
  <c r="A245" i="16"/>
  <c r="BE244" i="16"/>
  <c r="J244" i="16"/>
  <c r="I244" i="16"/>
  <c r="H244" i="16"/>
  <c r="B244" i="16"/>
  <c r="F244" i="16" s="1"/>
  <c r="A244" i="16"/>
  <c r="BE243" i="16"/>
  <c r="J243" i="16"/>
  <c r="I243" i="16"/>
  <c r="H243" i="16"/>
  <c r="B243" i="16"/>
  <c r="F243" i="16" s="1"/>
  <c r="A243" i="16"/>
  <c r="BE242" i="16"/>
  <c r="J242" i="16"/>
  <c r="I242" i="16"/>
  <c r="H242" i="16"/>
  <c r="B242" i="16"/>
  <c r="F242" i="16" s="1"/>
  <c r="A242" i="16"/>
  <c r="BE241" i="16"/>
  <c r="J241" i="16"/>
  <c r="I241" i="16"/>
  <c r="H241" i="16"/>
  <c r="B241" i="16"/>
  <c r="F241" i="16" s="1"/>
  <c r="A241" i="16"/>
  <c r="BE240" i="16"/>
  <c r="J240" i="16"/>
  <c r="I240" i="16"/>
  <c r="H240" i="16"/>
  <c r="B240" i="16"/>
  <c r="F240" i="16" s="1"/>
  <c r="A240" i="16"/>
  <c r="BE239" i="16"/>
  <c r="J239" i="16"/>
  <c r="I239" i="16"/>
  <c r="H239" i="16"/>
  <c r="B239" i="16"/>
  <c r="F239" i="16" s="1"/>
  <c r="A239" i="16"/>
  <c r="BE238" i="16"/>
  <c r="J238" i="16"/>
  <c r="I238" i="16"/>
  <c r="H238" i="16"/>
  <c r="B238" i="16"/>
  <c r="F238" i="16" s="1"/>
  <c r="A238" i="16"/>
  <c r="BE237" i="16"/>
  <c r="J237" i="16"/>
  <c r="I237" i="16"/>
  <c r="H237" i="16"/>
  <c r="B237" i="16"/>
  <c r="F237" i="16" s="1"/>
  <c r="A237" i="16"/>
  <c r="BE236" i="16"/>
  <c r="J236" i="16"/>
  <c r="I236" i="16"/>
  <c r="H236" i="16"/>
  <c r="B236" i="16"/>
  <c r="F236" i="16" s="1"/>
  <c r="A236" i="16"/>
  <c r="BE235" i="16"/>
  <c r="J235" i="16"/>
  <c r="I235" i="16"/>
  <c r="H235" i="16"/>
  <c r="B235" i="16"/>
  <c r="F235" i="16" s="1"/>
  <c r="A235" i="16"/>
  <c r="BE234" i="16"/>
  <c r="J234" i="16"/>
  <c r="I234" i="16"/>
  <c r="H234" i="16"/>
  <c r="B234" i="16"/>
  <c r="F234" i="16" s="1"/>
  <c r="A234" i="16"/>
  <c r="BE233" i="16"/>
  <c r="J233" i="16"/>
  <c r="I233" i="16"/>
  <c r="H233" i="16"/>
  <c r="B233" i="16"/>
  <c r="F233" i="16" s="1"/>
  <c r="A233" i="16"/>
  <c r="BE232" i="16"/>
  <c r="J232" i="16"/>
  <c r="I232" i="16"/>
  <c r="H232" i="16"/>
  <c r="B232" i="16"/>
  <c r="F232" i="16" s="1"/>
  <c r="A232" i="16"/>
  <c r="BE231" i="16"/>
  <c r="J231" i="16"/>
  <c r="I231" i="16"/>
  <c r="H231" i="16"/>
  <c r="B231" i="16"/>
  <c r="F231" i="16" s="1"/>
  <c r="A231" i="16"/>
  <c r="BE230" i="16"/>
  <c r="J230" i="16"/>
  <c r="I230" i="16"/>
  <c r="H230" i="16"/>
  <c r="B230" i="16"/>
  <c r="F230" i="16" s="1"/>
  <c r="A230" i="16"/>
  <c r="BE229" i="16"/>
  <c r="J229" i="16"/>
  <c r="I229" i="16"/>
  <c r="H229" i="16"/>
  <c r="B229" i="16"/>
  <c r="F229" i="16" s="1"/>
  <c r="A229" i="16"/>
  <c r="BE228" i="16"/>
  <c r="J228" i="16"/>
  <c r="I228" i="16"/>
  <c r="H228" i="16"/>
  <c r="B228" i="16"/>
  <c r="F228" i="16" s="1"/>
  <c r="A228" i="16"/>
  <c r="BE227" i="16"/>
  <c r="J227" i="16"/>
  <c r="I227" i="16"/>
  <c r="H227" i="16"/>
  <c r="B227" i="16"/>
  <c r="F227" i="16" s="1"/>
  <c r="A227" i="16"/>
  <c r="BE226" i="16"/>
  <c r="J226" i="16"/>
  <c r="I226" i="16"/>
  <c r="H226" i="16"/>
  <c r="B226" i="16"/>
  <c r="F226" i="16" s="1"/>
  <c r="A226" i="16"/>
  <c r="BE225" i="16"/>
  <c r="J225" i="16"/>
  <c r="I225" i="16"/>
  <c r="H225" i="16"/>
  <c r="B225" i="16"/>
  <c r="F225" i="16" s="1"/>
  <c r="A225" i="16"/>
  <c r="BE224" i="16"/>
  <c r="J224" i="16"/>
  <c r="I224" i="16"/>
  <c r="H224" i="16"/>
  <c r="B224" i="16"/>
  <c r="F224" i="16" s="1"/>
  <c r="A224" i="16"/>
  <c r="BE223" i="16"/>
  <c r="J223" i="16"/>
  <c r="I223" i="16"/>
  <c r="H223" i="16"/>
  <c r="B223" i="16"/>
  <c r="F223" i="16" s="1"/>
  <c r="A223" i="16"/>
  <c r="BE222" i="16"/>
  <c r="J222" i="16"/>
  <c r="I222" i="16"/>
  <c r="H222" i="16"/>
  <c r="B222" i="16"/>
  <c r="F222" i="16" s="1"/>
  <c r="A222" i="16"/>
  <c r="BE221" i="16"/>
  <c r="J221" i="16"/>
  <c r="I221" i="16"/>
  <c r="H221" i="16"/>
  <c r="B221" i="16"/>
  <c r="F221" i="16" s="1"/>
  <c r="A221" i="16"/>
  <c r="BE220" i="16"/>
  <c r="J220" i="16"/>
  <c r="I220" i="16"/>
  <c r="H220" i="16"/>
  <c r="B220" i="16"/>
  <c r="F220" i="16" s="1"/>
  <c r="BE219" i="16"/>
  <c r="J219" i="16"/>
  <c r="I219" i="16"/>
  <c r="H219" i="16"/>
  <c r="B219" i="16"/>
  <c r="F219" i="16" s="1"/>
  <c r="A219" i="16"/>
  <c r="BE218" i="16"/>
  <c r="J218" i="16"/>
  <c r="I218" i="16"/>
  <c r="H218" i="16"/>
  <c r="B218" i="16"/>
  <c r="F218" i="16" s="1"/>
  <c r="A218" i="16"/>
  <c r="BE217" i="16"/>
  <c r="J217" i="16"/>
  <c r="I217" i="16"/>
  <c r="H217" i="16"/>
  <c r="B217" i="16"/>
  <c r="F217" i="16" s="1"/>
  <c r="A217" i="16"/>
  <c r="BE216" i="16"/>
  <c r="J216" i="16"/>
  <c r="I216" i="16"/>
  <c r="H216" i="16"/>
  <c r="B216" i="16"/>
  <c r="F216" i="16" s="1"/>
  <c r="A216" i="16"/>
  <c r="BE215" i="16"/>
  <c r="J215" i="16"/>
  <c r="I215" i="16"/>
  <c r="H215" i="16"/>
  <c r="B215" i="16"/>
  <c r="F215" i="16" s="1"/>
  <c r="A215" i="16"/>
  <c r="BE214" i="16"/>
  <c r="J214" i="16"/>
  <c r="I214" i="16"/>
  <c r="H214" i="16"/>
  <c r="B214" i="16"/>
  <c r="F214" i="16" s="1"/>
  <c r="A214" i="16"/>
  <c r="BE213" i="16"/>
  <c r="J213" i="16"/>
  <c r="I213" i="16"/>
  <c r="H213" i="16"/>
  <c r="B213" i="16"/>
  <c r="F213" i="16" s="1"/>
  <c r="A213" i="16"/>
  <c r="BE212" i="16"/>
  <c r="J212" i="16"/>
  <c r="I212" i="16"/>
  <c r="H212" i="16"/>
  <c r="B212" i="16"/>
  <c r="F212" i="16" s="1"/>
  <c r="A212" i="16"/>
  <c r="BE211" i="16"/>
  <c r="J211" i="16"/>
  <c r="I211" i="16"/>
  <c r="H211" i="16"/>
  <c r="B211" i="16"/>
  <c r="F211" i="16" s="1"/>
  <c r="A211" i="16"/>
  <c r="BE210" i="16"/>
  <c r="J210" i="16"/>
  <c r="I210" i="16"/>
  <c r="H210" i="16"/>
  <c r="B210" i="16"/>
  <c r="F210" i="16" s="1"/>
  <c r="A210" i="16"/>
  <c r="BE209" i="16"/>
  <c r="J209" i="16"/>
  <c r="I209" i="16"/>
  <c r="H209" i="16"/>
  <c r="B209" i="16"/>
  <c r="F209" i="16" s="1"/>
  <c r="A209" i="16"/>
  <c r="BE208" i="16"/>
  <c r="J208" i="16"/>
  <c r="I208" i="16"/>
  <c r="H208" i="16"/>
  <c r="B208" i="16"/>
  <c r="F208" i="16" s="1"/>
  <c r="A208" i="16"/>
  <c r="BE207" i="16"/>
  <c r="J207" i="16"/>
  <c r="I207" i="16"/>
  <c r="H207" i="16"/>
  <c r="B207" i="16"/>
  <c r="F207" i="16" s="1"/>
  <c r="A207" i="16"/>
  <c r="BE206" i="16"/>
  <c r="J206" i="16"/>
  <c r="I206" i="16"/>
  <c r="H206" i="16"/>
  <c r="B206" i="16"/>
  <c r="F206" i="16" s="1"/>
  <c r="A206" i="16"/>
  <c r="BE205" i="16"/>
  <c r="J205" i="16"/>
  <c r="I205" i="16"/>
  <c r="H205" i="16"/>
  <c r="B205" i="16"/>
  <c r="F205" i="16" s="1"/>
  <c r="A205" i="16"/>
  <c r="BE204" i="16"/>
  <c r="J204" i="16"/>
  <c r="I204" i="16"/>
  <c r="H204" i="16"/>
  <c r="B204" i="16"/>
  <c r="F204" i="16" s="1"/>
  <c r="A204" i="16"/>
  <c r="BE203" i="16"/>
  <c r="J203" i="16"/>
  <c r="I203" i="16"/>
  <c r="H203" i="16"/>
  <c r="B203" i="16"/>
  <c r="F203" i="16" s="1"/>
  <c r="A203" i="16"/>
  <c r="BE202" i="16"/>
  <c r="J202" i="16"/>
  <c r="I202" i="16"/>
  <c r="H202" i="16"/>
  <c r="B202" i="16"/>
  <c r="F202" i="16" s="1"/>
  <c r="A202" i="16"/>
  <c r="BE201" i="16"/>
  <c r="J201" i="16"/>
  <c r="I201" i="16"/>
  <c r="H201" i="16"/>
  <c r="B201" i="16"/>
  <c r="F201" i="16" s="1"/>
  <c r="A201" i="16"/>
  <c r="BE200" i="16"/>
  <c r="J200" i="16"/>
  <c r="I200" i="16"/>
  <c r="H200" i="16"/>
  <c r="B200" i="16"/>
  <c r="F200" i="16" s="1"/>
  <c r="A200" i="16"/>
  <c r="BE199" i="16"/>
  <c r="J199" i="16"/>
  <c r="I199" i="16"/>
  <c r="H199" i="16"/>
  <c r="B199" i="16"/>
  <c r="F199" i="16" s="1"/>
  <c r="A199" i="16"/>
  <c r="BE198" i="16"/>
  <c r="J198" i="16"/>
  <c r="I198" i="16"/>
  <c r="H198" i="16"/>
  <c r="B198" i="16"/>
  <c r="F198" i="16" s="1"/>
  <c r="A198" i="16"/>
  <c r="BE197" i="16"/>
  <c r="J197" i="16"/>
  <c r="I197" i="16"/>
  <c r="H197" i="16"/>
  <c r="B197" i="16"/>
  <c r="F197" i="16" s="1"/>
  <c r="A197" i="16"/>
  <c r="BE196" i="16"/>
  <c r="J196" i="16"/>
  <c r="I196" i="16"/>
  <c r="H196" i="16"/>
  <c r="B196" i="16"/>
  <c r="F196" i="16" s="1"/>
  <c r="A196" i="16"/>
  <c r="BE195" i="16"/>
  <c r="J195" i="16"/>
  <c r="I195" i="16"/>
  <c r="H195" i="16"/>
  <c r="B195" i="16"/>
  <c r="F195" i="16" s="1"/>
  <c r="A195" i="16"/>
  <c r="BE194" i="16"/>
  <c r="J194" i="16"/>
  <c r="I194" i="16"/>
  <c r="H194" i="16"/>
  <c r="B194" i="16"/>
  <c r="F194" i="16" s="1"/>
  <c r="A194" i="16"/>
  <c r="BE193" i="16"/>
  <c r="J193" i="16"/>
  <c r="I193" i="16"/>
  <c r="H193" i="16"/>
  <c r="B193" i="16"/>
  <c r="F193" i="16" s="1"/>
  <c r="A193" i="16"/>
  <c r="BE192" i="16"/>
  <c r="J192" i="16"/>
  <c r="I192" i="16"/>
  <c r="H192" i="16"/>
  <c r="B192" i="16"/>
  <c r="F192" i="16" s="1"/>
  <c r="A192" i="16"/>
  <c r="BE191" i="16"/>
  <c r="J191" i="16"/>
  <c r="I191" i="16"/>
  <c r="H191" i="16"/>
  <c r="B191" i="16"/>
  <c r="F191" i="16" s="1"/>
  <c r="A191" i="16"/>
  <c r="BE190" i="16"/>
  <c r="J190" i="16"/>
  <c r="I190" i="16"/>
  <c r="H190" i="16"/>
  <c r="B190" i="16"/>
  <c r="F190" i="16" s="1"/>
  <c r="A190" i="16"/>
  <c r="BE189" i="16"/>
  <c r="J189" i="16"/>
  <c r="I189" i="16"/>
  <c r="H189" i="16"/>
  <c r="B189" i="16"/>
  <c r="F189" i="16" s="1"/>
  <c r="A189" i="16"/>
  <c r="BE188" i="16"/>
  <c r="J188" i="16"/>
  <c r="I188" i="16"/>
  <c r="H188" i="16"/>
  <c r="B188" i="16"/>
  <c r="F188" i="16" s="1"/>
  <c r="A188" i="16"/>
  <c r="BE187" i="16"/>
  <c r="J187" i="16"/>
  <c r="I187" i="16"/>
  <c r="H187" i="16"/>
  <c r="B187" i="16"/>
  <c r="F187" i="16" s="1"/>
  <c r="A187" i="16"/>
  <c r="BE186" i="16"/>
  <c r="J186" i="16"/>
  <c r="I186" i="16"/>
  <c r="H186" i="16"/>
  <c r="B186" i="16"/>
  <c r="F186" i="16" s="1"/>
  <c r="A186" i="16"/>
  <c r="BE185" i="16"/>
  <c r="J185" i="16"/>
  <c r="I185" i="16"/>
  <c r="H185" i="16"/>
  <c r="B185" i="16"/>
  <c r="F185" i="16" s="1"/>
  <c r="A185" i="16"/>
  <c r="BE184" i="16"/>
  <c r="J184" i="16"/>
  <c r="I184" i="16"/>
  <c r="H184" i="16"/>
  <c r="B184" i="16"/>
  <c r="F184" i="16" s="1"/>
  <c r="A184" i="16"/>
  <c r="BE183" i="16"/>
  <c r="J183" i="16"/>
  <c r="I183" i="16"/>
  <c r="H183" i="16"/>
  <c r="B183" i="16"/>
  <c r="F183" i="16" s="1"/>
  <c r="A183" i="16"/>
  <c r="BE182" i="16"/>
  <c r="J182" i="16"/>
  <c r="I182" i="16"/>
  <c r="H182" i="16"/>
  <c r="B182" i="16"/>
  <c r="F182" i="16" s="1"/>
  <c r="A182" i="16"/>
  <c r="BE181" i="16"/>
  <c r="J181" i="16"/>
  <c r="I181" i="16"/>
  <c r="H181" i="16"/>
  <c r="B181" i="16"/>
  <c r="F181" i="16" s="1"/>
  <c r="A181" i="16"/>
  <c r="BE180" i="16"/>
  <c r="J180" i="16"/>
  <c r="I180" i="16"/>
  <c r="H180" i="16"/>
  <c r="B180" i="16"/>
  <c r="F180" i="16" s="1"/>
  <c r="A180" i="16"/>
  <c r="BE179" i="16"/>
  <c r="J179" i="16"/>
  <c r="I179" i="16"/>
  <c r="H179" i="16"/>
  <c r="B179" i="16"/>
  <c r="F179" i="16" s="1"/>
  <c r="BE178" i="16"/>
  <c r="J178" i="16"/>
  <c r="I178" i="16"/>
  <c r="H178" i="16"/>
  <c r="B178" i="16"/>
  <c r="F178" i="16" s="1"/>
  <c r="A178" i="16"/>
  <c r="BE177" i="16"/>
  <c r="J177" i="16"/>
  <c r="I177" i="16"/>
  <c r="H177" i="16"/>
  <c r="B177" i="16"/>
  <c r="F177" i="16" s="1"/>
  <c r="A177" i="16"/>
  <c r="BE176" i="16"/>
  <c r="J176" i="16"/>
  <c r="I176" i="16"/>
  <c r="H176" i="16"/>
  <c r="B176" i="16"/>
  <c r="F176" i="16" s="1"/>
  <c r="A176" i="16"/>
  <c r="BE175" i="16"/>
  <c r="J175" i="16"/>
  <c r="I175" i="16"/>
  <c r="H175" i="16"/>
  <c r="B175" i="16"/>
  <c r="F175" i="16" s="1"/>
  <c r="A175" i="16"/>
  <c r="BE174" i="16"/>
  <c r="J174" i="16"/>
  <c r="I174" i="16"/>
  <c r="H174" i="16"/>
  <c r="B174" i="16"/>
  <c r="F174" i="16" s="1"/>
  <c r="A174" i="16"/>
  <c r="BE173" i="16"/>
  <c r="J173" i="16"/>
  <c r="I173" i="16"/>
  <c r="H173" i="16"/>
  <c r="B173" i="16"/>
  <c r="F173" i="16" s="1"/>
  <c r="A173" i="16"/>
  <c r="BE172" i="16"/>
  <c r="J172" i="16"/>
  <c r="I172" i="16"/>
  <c r="H172" i="16"/>
  <c r="B172" i="16"/>
  <c r="F172" i="16" s="1"/>
  <c r="A172" i="16"/>
  <c r="BE171" i="16"/>
  <c r="J171" i="16"/>
  <c r="I171" i="16"/>
  <c r="H171" i="16"/>
  <c r="B171" i="16"/>
  <c r="F171" i="16" s="1"/>
  <c r="A171" i="16"/>
  <c r="BE170" i="16"/>
  <c r="J170" i="16"/>
  <c r="I170" i="16"/>
  <c r="H170" i="16"/>
  <c r="B170" i="16"/>
  <c r="F170" i="16" s="1"/>
  <c r="A170" i="16"/>
  <c r="BE169" i="16"/>
  <c r="J169" i="16"/>
  <c r="I169" i="16"/>
  <c r="H169" i="16"/>
  <c r="B169" i="16"/>
  <c r="F169" i="16" s="1"/>
  <c r="A169" i="16"/>
  <c r="BE168" i="16"/>
  <c r="J168" i="16"/>
  <c r="I168" i="16"/>
  <c r="H168" i="16"/>
  <c r="B168" i="16"/>
  <c r="F168" i="16" s="1"/>
  <c r="A168" i="16"/>
  <c r="BE167" i="16"/>
  <c r="J167" i="16"/>
  <c r="I167" i="16"/>
  <c r="H167" i="16"/>
  <c r="B167" i="16"/>
  <c r="F167" i="16" s="1"/>
  <c r="A167" i="16"/>
  <c r="BE166" i="16"/>
  <c r="J166" i="16"/>
  <c r="I166" i="16"/>
  <c r="H166" i="16"/>
  <c r="B166" i="16"/>
  <c r="F166" i="16" s="1"/>
  <c r="A166" i="16"/>
  <c r="BE165" i="16"/>
  <c r="J165" i="16"/>
  <c r="I165" i="16"/>
  <c r="H165" i="16"/>
  <c r="B165" i="16"/>
  <c r="F165" i="16" s="1"/>
  <c r="A165" i="16"/>
  <c r="BE164" i="16"/>
  <c r="J164" i="16"/>
  <c r="I164" i="16"/>
  <c r="H164" i="16"/>
  <c r="B164" i="16"/>
  <c r="F164" i="16" s="1"/>
  <c r="A164" i="16"/>
  <c r="BE163" i="16"/>
  <c r="J163" i="16"/>
  <c r="I163" i="16"/>
  <c r="H163" i="16"/>
  <c r="B163" i="16"/>
  <c r="F163" i="16" s="1"/>
  <c r="A163" i="16"/>
  <c r="BE162" i="16"/>
  <c r="J162" i="16"/>
  <c r="I162" i="16"/>
  <c r="H162" i="16"/>
  <c r="B162" i="16"/>
  <c r="F162" i="16" s="1"/>
  <c r="A162" i="16"/>
  <c r="BE161" i="16"/>
  <c r="J161" i="16"/>
  <c r="I161" i="16"/>
  <c r="H161" i="16"/>
  <c r="B161" i="16"/>
  <c r="F161" i="16" s="1"/>
  <c r="A161" i="16"/>
  <c r="BE160" i="16"/>
  <c r="J160" i="16"/>
  <c r="I160" i="16"/>
  <c r="H160" i="16"/>
  <c r="B160" i="16"/>
  <c r="F160" i="16" s="1"/>
  <c r="A160" i="16"/>
  <c r="BE159" i="16"/>
  <c r="J159" i="16"/>
  <c r="I159" i="16"/>
  <c r="H159" i="16"/>
  <c r="B159" i="16"/>
  <c r="F159" i="16" s="1"/>
  <c r="A159" i="16"/>
  <c r="BE158" i="16"/>
  <c r="J158" i="16"/>
  <c r="I158" i="16"/>
  <c r="H158" i="16"/>
  <c r="B158" i="16"/>
  <c r="F158" i="16" s="1"/>
  <c r="A158" i="16"/>
  <c r="BE157" i="16"/>
  <c r="J157" i="16"/>
  <c r="I157" i="16"/>
  <c r="H157" i="16"/>
  <c r="B157" i="16"/>
  <c r="F157" i="16" s="1"/>
  <c r="A157" i="16"/>
  <c r="BE156" i="16"/>
  <c r="J156" i="16"/>
  <c r="I156" i="16"/>
  <c r="H156" i="16"/>
  <c r="B156" i="16"/>
  <c r="F156" i="16" s="1"/>
  <c r="A156" i="16"/>
  <c r="BE155" i="16"/>
  <c r="J155" i="16"/>
  <c r="I155" i="16"/>
  <c r="H155" i="16"/>
  <c r="B155" i="16"/>
  <c r="F155" i="16" s="1"/>
  <c r="A155" i="16"/>
  <c r="BE154" i="16"/>
  <c r="J154" i="16"/>
  <c r="I154" i="16"/>
  <c r="H154" i="16"/>
  <c r="B154" i="16"/>
  <c r="F154" i="16" s="1"/>
  <c r="A154" i="16"/>
  <c r="BE153" i="16"/>
  <c r="J153" i="16"/>
  <c r="I153" i="16"/>
  <c r="H153" i="16"/>
  <c r="B153" i="16"/>
  <c r="F153" i="16" s="1"/>
  <c r="A153" i="16"/>
  <c r="BE152" i="16"/>
  <c r="J152" i="16"/>
  <c r="I152" i="16"/>
  <c r="H152" i="16"/>
  <c r="B152" i="16"/>
  <c r="F152" i="16" s="1"/>
  <c r="A152" i="16"/>
  <c r="BE151" i="16"/>
  <c r="J151" i="16"/>
  <c r="I151" i="16"/>
  <c r="H151" i="16"/>
  <c r="B151" i="16"/>
  <c r="F151" i="16" s="1"/>
  <c r="A151" i="16"/>
  <c r="BE150" i="16"/>
  <c r="J150" i="16"/>
  <c r="I150" i="16"/>
  <c r="H150" i="16"/>
  <c r="B150" i="16"/>
  <c r="F150" i="16" s="1"/>
  <c r="A150" i="16"/>
  <c r="BE149" i="16"/>
  <c r="J149" i="16"/>
  <c r="I149" i="16"/>
  <c r="H149" i="16"/>
  <c r="B149" i="16"/>
  <c r="F149" i="16" s="1"/>
  <c r="A149" i="16"/>
  <c r="BE148" i="16"/>
  <c r="J148" i="16"/>
  <c r="I148" i="16"/>
  <c r="H148" i="16"/>
  <c r="B148" i="16"/>
  <c r="F148" i="16" s="1"/>
  <c r="A148" i="16"/>
  <c r="BE147" i="16"/>
  <c r="J147" i="16"/>
  <c r="I147" i="16"/>
  <c r="H147" i="16"/>
  <c r="B147" i="16"/>
  <c r="F147" i="16" s="1"/>
  <c r="A147" i="16"/>
  <c r="BE146" i="16"/>
  <c r="J146" i="16"/>
  <c r="I146" i="16"/>
  <c r="H146" i="16"/>
  <c r="B146" i="16"/>
  <c r="F146" i="16" s="1"/>
  <c r="A146" i="16"/>
  <c r="BE145" i="16"/>
  <c r="J145" i="16"/>
  <c r="I145" i="16"/>
  <c r="H145" i="16"/>
  <c r="B145" i="16"/>
  <c r="F145" i="16" s="1"/>
  <c r="A145" i="16"/>
  <c r="BE144" i="16"/>
  <c r="J144" i="16"/>
  <c r="I144" i="16"/>
  <c r="H144" i="16"/>
  <c r="B144" i="16"/>
  <c r="F144" i="16" s="1"/>
  <c r="A144" i="16"/>
  <c r="BE143" i="16"/>
  <c r="J143" i="16"/>
  <c r="I143" i="16"/>
  <c r="H143" i="16"/>
  <c r="B143" i="16"/>
  <c r="F143" i="16" s="1"/>
  <c r="A143" i="16"/>
  <c r="BE142" i="16"/>
  <c r="J142" i="16"/>
  <c r="I142" i="16"/>
  <c r="H142" i="16"/>
  <c r="B142" i="16"/>
  <c r="F142" i="16" s="1"/>
  <c r="A142" i="16"/>
  <c r="BE141" i="16"/>
  <c r="J141" i="16"/>
  <c r="I141" i="16"/>
  <c r="H141" i="16"/>
  <c r="B141" i="16"/>
  <c r="F141" i="16" s="1"/>
  <c r="A141" i="16"/>
  <c r="BE140" i="16"/>
  <c r="J140" i="16"/>
  <c r="I140" i="16"/>
  <c r="H140" i="16"/>
  <c r="B140" i="16"/>
  <c r="F140" i="16" s="1"/>
  <c r="BE139" i="16"/>
  <c r="J139" i="16"/>
  <c r="I139" i="16"/>
  <c r="H139" i="16"/>
  <c r="B139" i="16"/>
  <c r="F139" i="16" s="1"/>
  <c r="A139" i="16"/>
  <c r="BE138" i="16"/>
  <c r="J138" i="16"/>
  <c r="I138" i="16"/>
  <c r="H138" i="16"/>
  <c r="B138" i="16"/>
  <c r="F138" i="16" s="1"/>
  <c r="A138" i="16"/>
  <c r="BE137" i="16"/>
  <c r="J137" i="16"/>
  <c r="I137" i="16"/>
  <c r="H137" i="16"/>
  <c r="B137" i="16"/>
  <c r="F137" i="16" s="1"/>
  <c r="A137" i="16"/>
  <c r="BE136" i="16"/>
  <c r="J136" i="16"/>
  <c r="I136" i="16"/>
  <c r="H136" i="16"/>
  <c r="B136" i="16"/>
  <c r="F136" i="16" s="1"/>
  <c r="A136" i="16"/>
  <c r="BE135" i="16"/>
  <c r="J135" i="16"/>
  <c r="I135" i="16"/>
  <c r="H135" i="16"/>
  <c r="B135" i="16"/>
  <c r="F135" i="16" s="1"/>
  <c r="A135" i="16"/>
  <c r="BE134" i="16"/>
  <c r="J134" i="16"/>
  <c r="I134" i="16"/>
  <c r="H134" i="16"/>
  <c r="B134" i="16"/>
  <c r="F134" i="16" s="1"/>
  <c r="A134" i="16"/>
  <c r="BE133" i="16"/>
  <c r="J133" i="16"/>
  <c r="I133" i="16"/>
  <c r="H133" i="16"/>
  <c r="B133" i="16"/>
  <c r="F133" i="16" s="1"/>
  <c r="A133" i="16"/>
  <c r="BE132" i="16"/>
  <c r="J132" i="16"/>
  <c r="I132" i="16"/>
  <c r="H132" i="16"/>
  <c r="B132" i="16"/>
  <c r="F132" i="16" s="1"/>
  <c r="A132" i="16"/>
  <c r="BE131" i="16"/>
  <c r="J131" i="16"/>
  <c r="I131" i="16"/>
  <c r="H131" i="16"/>
  <c r="B131" i="16"/>
  <c r="F131" i="16" s="1"/>
  <c r="A131" i="16"/>
  <c r="BE130" i="16"/>
  <c r="J130" i="16"/>
  <c r="I130" i="16"/>
  <c r="H130" i="16"/>
  <c r="B130" i="16"/>
  <c r="F130" i="16" s="1"/>
  <c r="A130" i="16"/>
  <c r="BE129" i="16"/>
  <c r="J129" i="16"/>
  <c r="I129" i="16"/>
  <c r="H129" i="16"/>
  <c r="B129" i="16"/>
  <c r="F129" i="16" s="1"/>
  <c r="A129" i="16"/>
  <c r="BE128" i="16"/>
  <c r="J128" i="16"/>
  <c r="I128" i="16"/>
  <c r="H128" i="16"/>
  <c r="B128" i="16"/>
  <c r="F128" i="16" s="1"/>
  <c r="A128" i="16"/>
  <c r="BE127" i="16"/>
  <c r="J127" i="16"/>
  <c r="I127" i="16"/>
  <c r="H127" i="16"/>
  <c r="B127" i="16"/>
  <c r="F127" i="16" s="1"/>
  <c r="A127" i="16"/>
  <c r="BE126" i="16"/>
  <c r="J126" i="16"/>
  <c r="I126" i="16"/>
  <c r="H126" i="16"/>
  <c r="B126" i="16"/>
  <c r="F126" i="16" s="1"/>
  <c r="A126" i="16"/>
  <c r="BE125" i="16"/>
  <c r="J125" i="16"/>
  <c r="I125" i="16"/>
  <c r="H125" i="16"/>
  <c r="B125" i="16"/>
  <c r="F125" i="16" s="1"/>
  <c r="A125" i="16"/>
  <c r="BE124" i="16"/>
  <c r="J124" i="16"/>
  <c r="I124" i="16"/>
  <c r="H124" i="16"/>
  <c r="B124" i="16"/>
  <c r="F124" i="16" s="1"/>
  <c r="A124" i="16"/>
  <c r="BE123" i="16"/>
  <c r="J123" i="16"/>
  <c r="I123" i="16"/>
  <c r="H123" i="16"/>
  <c r="B123" i="16"/>
  <c r="F123" i="16" s="1"/>
  <c r="A123" i="16"/>
  <c r="BE122" i="16"/>
  <c r="J122" i="16"/>
  <c r="I122" i="16"/>
  <c r="H122" i="16"/>
  <c r="B122" i="16"/>
  <c r="F122" i="16" s="1"/>
  <c r="A122" i="16"/>
  <c r="BE121" i="16"/>
  <c r="J121" i="16"/>
  <c r="I121" i="16"/>
  <c r="H121" i="16"/>
  <c r="B121" i="16"/>
  <c r="F121" i="16" s="1"/>
  <c r="A121" i="16"/>
  <c r="BE120" i="16"/>
  <c r="J120" i="16"/>
  <c r="I120" i="16"/>
  <c r="H120" i="16"/>
  <c r="B120" i="16"/>
  <c r="F120" i="16" s="1"/>
  <c r="A120" i="16"/>
  <c r="BE119" i="16"/>
  <c r="J119" i="16"/>
  <c r="I119" i="16"/>
  <c r="H119" i="16"/>
  <c r="B119" i="16"/>
  <c r="F119" i="16" s="1"/>
  <c r="A119" i="16"/>
  <c r="BE118" i="16"/>
  <c r="J118" i="16"/>
  <c r="I118" i="16"/>
  <c r="H118" i="16"/>
  <c r="B118" i="16"/>
  <c r="F118" i="16" s="1"/>
  <c r="A118" i="16"/>
  <c r="BE117" i="16"/>
  <c r="J117" i="16"/>
  <c r="I117" i="16"/>
  <c r="H117" i="16"/>
  <c r="B117" i="16"/>
  <c r="F117" i="16" s="1"/>
  <c r="A117" i="16"/>
  <c r="BE116" i="16"/>
  <c r="J116" i="16"/>
  <c r="I116" i="16"/>
  <c r="H116" i="16"/>
  <c r="B116" i="16"/>
  <c r="F116" i="16" s="1"/>
  <c r="A116" i="16"/>
  <c r="BE115" i="16"/>
  <c r="J115" i="16"/>
  <c r="I115" i="16"/>
  <c r="H115" i="16"/>
  <c r="B115" i="16"/>
  <c r="F115" i="16" s="1"/>
  <c r="A115" i="16"/>
  <c r="BE114" i="16"/>
  <c r="J114" i="16"/>
  <c r="I114" i="16"/>
  <c r="H114" i="16"/>
  <c r="B114" i="16"/>
  <c r="F114" i="16" s="1"/>
  <c r="A114" i="16"/>
  <c r="BE113" i="16"/>
  <c r="J113" i="16"/>
  <c r="I113" i="16"/>
  <c r="H113" i="16"/>
  <c r="B113" i="16"/>
  <c r="F113" i="16" s="1"/>
  <c r="A113" i="16"/>
  <c r="BE112" i="16"/>
  <c r="J112" i="16"/>
  <c r="I112" i="16"/>
  <c r="H112" i="16"/>
  <c r="B112" i="16"/>
  <c r="F112" i="16" s="1"/>
  <c r="A112" i="16"/>
  <c r="BE111" i="16"/>
  <c r="J111" i="16"/>
  <c r="I111" i="16"/>
  <c r="H111" i="16"/>
  <c r="B111" i="16"/>
  <c r="F111" i="16" s="1"/>
  <c r="A111" i="16"/>
  <c r="BE110" i="16"/>
  <c r="J110" i="16"/>
  <c r="I110" i="16"/>
  <c r="H110" i="16"/>
  <c r="B110" i="16"/>
  <c r="F110" i="16" s="1"/>
  <c r="A110" i="16"/>
  <c r="BE109" i="16"/>
  <c r="J109" i="16"/>
  <c r="I109" i="16"/>
  <c r="H109" i="16"/>
  <c r="B109" i="16"/>
  <c r="F109" i="16" s="1"/>
  <c r="A109" i="16"/>
  <c r="BE108" i="16"/>
  <c r="J108" i="16"/>
  <c r="I108" i="16"/>
  <c r="H108" i="16"/>
  <c r="B108" i="16"/>
  <c r="F108" i="16" s="1"/>
  <c r="A108" i="16"/>
  <c r="BE107" i="16"/>
  <c r="J107" i="16"/>
  <c r="I107" i="16"/>
  <c r="H107" i="16"/>
  <c r="B107" i="16"/>
  <c r="F107" i="16" s="1"/>
  <c r="A107" i="16"/>
  <c r="BE106" i="16"/>
  <c r="J106" i="16"/>
  <c r="I106" i="16"/>
  <c r="H106" i="16"/>
  <c r="B106" i="16"/>
  <c r="F106" i="16" s="1"/>
  <c r="A106" i="16"/>
  <c r="BE105" i="16"/>
  <c r="J105" i="16"/>
  <c r="I105" i="16"/>
  <c r="H105" i="16"/>
  <c r="B105" i="16"/>
  <c r="F105" i="16" s="1"/>
  <c r="A105" i="16"/>
  <c r="BE104" i="16"/>
  <c r="J104" i="16"/>
  <c r="I104" i="16"/>
  <c r="H104" i="16"/>
  <c r="B104" i="16"/>
  <c r="F104" i="16" s="1"/>
  <c r="A104" i="16"/>
  <c r="BE103" i="16"/>
  <c r="J103" i="16"/>
  <c r="I103" i="16"/>
  <c r="H103" i="16"/>
  <c r="B103" i="16"/>
  <c r="F103" i="16" s="1"/>
  <c r="A103" i="16"/>
  <c r="BE102" i="16"/>
  <c r="J102" i="16"/>
  <c r="I102" i="16"/>
  <c r="H102" i="16"/>
  <c r="B102" i="16"/>
  <c r="F102" i="16" s="1"/>
  <c r="A102" i="16"/>
  <c r="BE101" i="16"/>
  <c r="J101" i="16"/>
  <c r="I101" i="16"/>
  <c r="H101" i="16"/>
  <c r="B101" i="16"/>
  <c r="F101" i="16" s="1"/>
  <c r="A101" i="16"/>
  <c r="BE100" i="16"/>
  <c r="J100" i="16"/>
  <c r="I100" i="16"/>
  <c r="H100" i="16"/>
  <c r="B100" i="16"/>
  <c r="F100" i="16" s="1"/>
  <c r="A100" i="16"/>
  <c r="BE99" i="16"/>
  <c r="J99" i="16"/>
  <c r="I99" i="16"/>
  <c r="H99" i="16"/>
  <c r="B99" i="16"/>
  <c r="F99" i="16" s="1"/>
  <c r="A99" i="16"/>
  <c r="BE98" i="16"/>
  <c r="J98" i="16"/>
  <c r="I98" i="16"/>
  <c r="H98" i="16"/>
  <c r="B98" i="16"/>
  <c r="F98" i="16" s="1"/>
  <c r="A98" i="16"/>
  <c r="BE97" i="16"/>
  <c r="J97" i="16"/>
  <c r="I97" i="16"/>
  <c r="H97" i="16"/>
  <c r="B97" i="16"/>
  <c r="F97" i="16" s="1"/>
  <c r="A97" i="16"/>
  <c r="BE96" i="16"/>
  <c r="J96" i="16"/>
  <c r="I96" i="16"/>
  <c r="H96" i="16"/>
  <c r="B96" i="16"/>
  <c r="F96" i="16" s="1"/>
  <c r="BE95" i="16"/>
  <c r="J95" i="16"/>
  <c r="I95" i="16"/>
  <c r="H95" i="16"/>
  <c r="B95" i="16"/>
  <c r="F95" i="16" s="1"/>
  <c r="A95" i="16"/>
  <c r="BE94" i="16"/>
  <c r="J94" i="16"/>
  <c r="I94" i="16"/>
  <c r="H94" i="16"/>
  <c r="B94" i="16"/>
  <c r="F94" i="16" s="1"/>
  <c r="A94" i="16"/>
  <c r="BE93" i="16"/>
  <c r="J93" i="16"/>
  <c r="I93" i="16"/>
  <c r="H93" i="16"/>
  <c r="B93" i="16"/>
  <c r="F93" i="16" s="1"/>
  <c r="A93" i="16"/>
  <c r="BE92" i="16"/>
  <c r="J92" i="16"/>
  <c r="I92" i="16"/>
  <c r="H92" i="16"/>
  <c r="B92" i="16"/>
  <c r="F92" i="16" s="1"/>
  <c r="A92" i="16"/>
  <c r="BE91" i="16"/>
  <c r="J91" i="16"/>
  <c r="I91" i="16"/>
  <c r="H91" i="16"/>
  <c r="B91" i="16"/>
  <c r="F91" i="16" s="1"/>
  <c r="BE90" i="16"/>
  <c r="J90" i="16"/>
  <c r="I90" i="16"/>
  <c r="H90" i="16"/>
  <c r="B90" i="16"/>
  <c r="F90" i="16" s="1"/>
  <c r="A90" i="16"/>
  <c r="BE89" i="16"/>
  <c r="J89" i="16"/>
  <c r="I89" i="16"/>
  <c r="H89" i="16"/>
  <c r="B89" i="16"/>
  <c r="F89" i="16" s="1"/>
  <c r="A89" i="16"/>
  <c r="BE88" i="16"/>
  <c r="J88" i="16"/>
  <c r="I88" i="16"/>
  <c r="H88" i="16"/>
  <c r="B88" i="16"/>
  <c r="F88" i="16" s="1"/>
  <c r="A88" i="16"/>
  <c r="BE87" i="16"/>
  <c r="J87" i="16"/>
  <c r="I87" i="16"/>
  <c r="H87" i="16"/>
  <c r="B87" i="16"/>
  <c r="F87" i="16" s="1"/>
  <c r="A87" i="16"/>
  <c r="BE86" i="16"/>
  <c r="J86" i="16"/>
  <c r="I86" i="16"/>
  <c r="H86" i="16"/>
  <c r="B86" i="16"/>
  <c r="F86" i="16" s="1"/>
  <c r="A86" i="16"/>
  <c r="BE85" i="16"/>
  <c r="J85" i="16"/>
  <c r="I85" i="16"/>
  <c r="H85" i="16"/>
  <c r="B85" i="16"/>
  <c r="F85" i="16" s="1"/>
  <c r="A85" i="16"/>
  <c r="BE84" i="16"/>
  <c r="J84" i="16"/>
  <c r="I84" i="16"/>
  <c r="H84" i="16"/>
  <c r="B84" i="16"/>
  <c r="F84" i="16" s="1"/>
  <c r="A84" i="16"/>
  <c r="BE83" i="16"/>
  <c r="J83" i="16"/>
  <c r="I83" i="16"/>
  <c r="H83" i="16"/>
  <c r="B83" i="16"/>
  <c r="F83" i="16" s="1"/>
  <c r="A83" i="16"/>
  <c r="BE82" i="16"/>
  <c r="J82" i="16"/>
  <c r="I82" i="16"/>
  <c r="H82" i="16"/>
  <c r="B82" i="16"/>
  <c r="F82" i="16" s="1"/>
  <c r="A82" i="16"/>
  <c r="BE81" i="16"/>
  <c r="J81" i="16"/>
  <c r="I81" i="16"/>
  <c r="H81" i="16"/>
  <c r="B81" i="16"/>
  <c r="F81" i="16" s="1"/>
  <c r="A81" i="16"/>
  <c r="BE80" i="16"/>
  <c r="J80" i="16"/>
  <c r="I80" i="16"/>
  <c r="H80" i="16"/>
  <c r="B80" i="16"/>
  <c r="F80" i="16" s="1"/>
  <c r="A80" i="16"/>
  <c r="BE79" i="16"/>
  <c r="J79" i="16"/>
  <c r="I79" i="16"/>
  <c r="H79" i="16"/>
  <c r="B79" i="16"/>
  <c r="F79" i="16" s="1"/>
  <c r="A79" i="16"/>
  <c r="BE78" i="16"/>
  <c r="J78" i="16"/>
  <c r="I78" i="16"/>
  <c r="H78" i="16"/>
  <c r="B78" i="16"/>
  <c r="F78" i="16" s="1"/>
  <c r="A78" i="16"/>
  <c r="BE77" i="16"/>
  <c r="J77" i="16"/>
  <c r="I77" i="16"/>
  <c r="H77" i="16"/>
  <c r="B77" i="16"/>
  <c r="F77" i="16" s="1"/>
  <c r="A77" i="16"/>
  <c r="BE76" i="16"/>
  <c r="J76" i="16"/>
  <c r="I76" i="16"/>
  <c r="H76" i="16"/>
  <c r="B76" i="16"/>
  <c r="F76" i="16" s="1"/>
  <c r="A76" i="16"/>
  <c r="BE75" i="16"/>
  <c r="J75" i="16"/>
  <c r="I75" i="16"/>
  <c r="H75" i="16"/>
  <c r="B75" i="16"/>
  <c r="F75" i="16" s="1"/>
  <c r="A75" i="16"/>
  <c r="BE74" i="16"/>
  <c r="J74" i="16"/>
  <c r="I74" i="16"/>
  <c r="H74" i="16"/>
  <c r="B74" i="16"/>
  <c r="F74" i="16" s="1"/>
  <c r="A74" i="16"/>
  <c r="BE73" i="16"/>
  <c r="J73" i="16"/>
  <c r="I73" i="16"/>
  <c r="H73" i="16"/>
  <c r="B73" i="16"/>
  <c r="F73" i="16" s="1"/>
  <c r="A73" i="16"/>
  <c r="BE72" i="16"/>
  <c r="J72" i="16"/>
  <c r="I72" i="16"/>
  <c r="H72" i="16"/>
  <c r="B72" i="16"/>
  <c r="F72" i="16" s="1"/>
  <c r="A72" i="16"/>
  <c r="BE71" i="16"/>
  <c r="J71" i="16"/>
  <c r="I71" i="16"/>
  <c r="H71" i="16"/>
  <c r="B71" i="16"/>
  <c r="F71" i="16" s="1"/>
  <c r="A71" i="16"/>
  <c r="BE70" i="16"/>
  <c r="J70" i="16"/>
  <c r="I70" i="16"/>
  <c r="H70" i="16"/>
  <c r="B70" i="16"/>
  <c r="F70" i="16" s="1"/>
  <c r="A70" i="16"/>
  <c r="BE69" i="16"/>
  <c r="J69" i="16"/>
  <c r="I69" i="16"/>
  <c r="H69" i="16"/>
  <c r="B69" i="16"/>
  <c r="F69" i="16" s="1"/>
  <c r="A69" i="16"/>
  <c r="BE68" i="16"/>
  <c r="J68" i="16"/>
  <c r="I68" i="16"/>
  <c r="H68" i="16"/>
  <c r="B68" i="16"/>
  <c r="F68" i="16" s="1"/>
  <c r="A68" i="16"/>
  <c r="BE67" i="16"/>
  <c r="J67" i="16"/>
  <c r="I67" i="16"/>
  <c r="H67" i="16"/>
  <c r="B67" i="16"/>
  <c r="F67" i="16" s="1"/>
  <c r="A67" i="16"/>
  <c r="BE66" i="16"/>
  <c r="J66" i="16"/>
  <c r="I66" i="16"/>
  <c r="H66" i="16"/>
  <c r="B66" i="16"/>
  <c r="F66" i="16" s="1"/>
  <c r="A66" i="16"/>
  <c r="BE65" i="16"/>
  <c r="J65" i="16"/>
  <c r="I65" i="16"/>
  <c r="H65" i="16"/>
  <c r="B65" i="16"/>
  <c r="F65" i="16" s="1"/>
  <c r="A65" i="16"/>
  <c r="BE64" i="16"/>
  <c r="J64" i="16"/>
  <c r="I64" i="16"/>
  <c r="H64" i="16"/>
  <c r="B64" i="16"/>
  <c r="F64" i="16" s="1"/>
  <c r="A64" i="16"/>
  <c r="BE63" i="16"/>
  <c r="J63" i="16"/>
  <c r="I63" i="16"/>
  <c r="H63" i="16"/>
  <c r="B63" i="16"/>
  <c r="F63" i="16" s="1"/>
  <c r="A63" i="16"/>
  <c r="BE62" i="16"/>
  <c r="J62" i="16"/>
  <c r="I62" i="16"/>
  <c r="H62" i="16"/>
  <c r="B62" i="16"/>
  <c r="F62" i="16" s="1"/>
  <c r="A62" i="16"/>
  <c r="BE61" i="16"/>
  <c r="J61" i="16"/>
  <c r="I61" i="16"/>
  <c r="H61" i="16"/>
  <c r="B61" i="16"/>
  <c r="F61" i="16" s="1"/>
  <c r="A61" i="16"/>
  <c r="BE60" i="16"/>
  <c r="J60" i="16"/>
  <c r="I60" i="16"/>
  <c r="H60" i="16"/>
  <c r="B60" i="16"/>
  <c r="F60" i="16" s="1"/>
  <c r="A60" i="16"/>
  <c r="BE59" i="16"/>
  <c r="J59" i="16"/>
  <c r="I59" i="16"/>
  <c r="H59" i="16"/>
  <c r="B59" i="16"/>
  <c r="F59" i="16" s="1"/>
  <c r="A59" i="16"/>
  <c r="BE58" i="16"/>
  <c r="J58" i="16"/>
  <c r="I58" i="16"/>
  <c r="H58" i="16"/>
  <c r="B58" i="16"/>
  <c r="F58" i="16" s="1"/>
  <c r="A58" i="16"/>
  <c r="BE57" i="16"/>
  <c r="J57" i="16"/>
  <c r="I57" i="16"/>
  <c r="H57" i="16"/>
  <c r="B57" i="16"/>
  <c r="F57" i="16" s="1"/>
  <c r="A57" i="16"/>
  <c r="BE56" i="16"/>
  <c r="J56" i="16"/>
  <c r="I56" i="16"/>
  <c r="H56" i="16"/>
  <c r="B56" i="16"/>
  <c r="F56" i="16" s="1"/>
  <c r="A56" i="16"/>
  <c r="BE55" i="16"/>
  <c r="J55" i="16"/>
  <c r="I55" i="16"/>
  <c r="H55" i="16"/>
  <c r="B55" i="16"/>
  <c r="F55" i="16" s="1"/>
  <c r="A55" i="16"/>
  <c r="BE54" i="16"/>
  <c r="J54" i="16"/>
  <c r="I54" i="16"/>
  <c r="H54" i="16"/>
  <c r="B54" i="16"/>
  <c r="F54" i="16" s="1"/>
  <c r="A54" i="16"/>
  <c r="BE53" i="16"/>
  <c r="J53" i="16"/>
  <c r="I53" i="16"/>
  <c r="H53" i="16"/>
  <c r="B53" i="16"/>
  <c r="F53" i="16" s="1"/>
  <c r="A53" i="16"/>
  <c r="BE52" i="16"/>
  <c r="J52" i="16"/>
  <c r="I52" i="16"/>
  <c r="H52" i="16"/>
  <c r="B52" i="16"/>
  <c r="F52" i="16" s="1"/>
  <c r="BE51" i="16"/>
  <c r="J51" i="16"/>
  <c r="I51" i="16"/>
  <c r="H51" i="16"/>
  <c r="B51" i="16"/>
  <c r="F51" i="16" s="1"/>
  <c r="A51" i="16"/>
  <c r="BE50" i="16"/>
  <c r="J50" i="16"/>
  <c r="I50" i="16"/>
  <c r="H50" i="16"/>
  <c r="B50" i="16"/>
  <c r="F50" i="16" s="1"/>
  <c r="A50" i="16"/>
  <c r="BE49" i="16"/>
  <c r="J49" i="16"/>
  <c r="I49" i="16"/>
  <c r="H49" i="16"/>
  <c r="B49" i="16"/>
  <c r="F49" i="16" s="1"/>
  <c r="A49" i="16"/>
  <c r="BE48" i="16"/>
  <c r="J48" i="16"/>
  <c r="I48" i="16"/>
  <c r="H48" i="16"/>
  <c r="B48" i="16"/>
  <c r="F48" i="16" s="1"/>
  <c r="A48" i="16"/>
  <c r="BE47" i="16"/>
  <c r="J47" i="16"/>
  <c r="I47" i="16"/>
  <c r="H47" i="16"/>
  <c r="B47" i="16"/>
  <c r="F47" i="16" s="1"/>
  <c r="A47" i="16"/>
  <c r="BE46" i="16"/>
  <c r="J46" i="16"/>
  <c r="I46" i="16"/>
  <c r="H46" i="16"/>
  <c r="B46" i="16"/>
  <c r="F46" i="16" s="1"/>
  <c r="A46" i="16"/>
  <c r="BE45" i="16"/>
  <c r="J45" i="16"/>
  <c r="I45" i="16"/>
  <c r="H45" i="16"/>
  <c r="B45" i="16"/>
  <c r="F45" i="16" s="1"/>
  <c r="A45" i="16"/>
  <c r="BE44" i="16"/>
  <c r="J44" i="16"/>
  <c r="I44" i="16"/>
  <c r="H44" i="16"/>
  <c r="B44" i="16"/>
  <c r="F44" i="16" s="1"/>
  <c r="A44" i="16"/>
  <c r="BE43" i="16"/>
  <c r="J43" i="16"/>
  <c r="I43" i="16"/>
  <c r="H43" i="16"/>
  <c r="B43" i="16"/>
  <c r="F43" i="16" s="1"/>
  <c r="A43" i="16"/>
  <c r="BE42" i="16"/>
  <c r="J42" i="16"/>
  <c r="I42" i="16"/>
  <c r="H42" i="16"/>
  <c r="B42" i="16"/>
  <c r="F42" i="16" s="1"/>
  <c r="A42" i="16"/>
  <c r="BE41" i="16"/>
  <c r="J41" i="16"/>
  <c r="I41" i="16"/>
  <c r="H41" i="16"/>
  <c r="B41" i="16"/>
  <c r="F41" i="16" s="1"/>
  <c r="A41" i="16"/>
  <c r="BE40" i="16"/>
  <c r="J40" i="16"/>
  <c r="I40" i="16"/>
  <c r="H40" i="16"/>
  <c r="B40" i="16"/>
  <c r="F40" i="16" s="1"/>
  <c r="A40" i="16"/>
  <c r="BE39" i="16"/>
  <c r="J39" i="16"/>
  <c r="I39" i="16"/>
  <c r="H39" i="16"/>
  <c r="B39" i="16"/>
  <c r="F39" i="16" s="1"/>
  <c r="A39" i="16"/>
  <c r="BE38" i="16"/>
  <c r="J38" i="16"/>
  <c r="I38" i="16"/>
  <c r="H38" i="16"/>
  <c r="B38" i="16"/>
  <c r="F38" i="16" s="1"/>
  <c r="A38" i="16"/>
  <c r="BE37" i="16"/>
  <c r="J37" i="16"/>
  <c r="I37" i="16"/>
  <c r="H37" i="16"/>
  <c r="B37" i="16"/>
  <c r="F37" i="16" s="1"/>
  <c r="A37" i="16"/>
  <c r="BE36" i="16"/>
  <c r="J36" i="16"/>
  <c r="I36" i="16"/>
  <c r="H36" i="16"/>
  <c r="B36" i="16"/>
  <c r="F36" i="16" s="1"/>
  <c r="A36" i="16"/>
  <c r="BE35" i="16"/>
  <c r="J35" i="16"/>
  <c r="I35" i="16"/>
  <c r="H35" i="16"/>
  <c r="B35" i="16"/>
  <c r="F35" i="16" s="1"/>
  <c r="A35" i="16"/>
  <c r="BE34" i="16"/>
  <c r="J34" i="16"/>
  <c r="I34" i="16"/>
  <c r="H34" i="16"/>
  <c r="B34" i="16"/>
  <c r="F34" i="16" s="1"/>
  <c r="A34" i="16"/>
  <c r="BE33" i="16"/>
  <c r="J33" i="16"/>
  <c r="I33" i="16"/>
  <c r="H33" i="16"/>
  <c r="B33" i="16"/>
  <c r="F33" i="16" s="1"/>
  <c r="A33" i="16"/>
  <c r="BE32" i="16"/>
  <c r="J32" i="16"/>
  <c r="I32" i="16"/>
  <c r="H32" i="16"/>
  <c r="B32" i="16"/>
  <c r="F32" i="16" s="1"/>
  <c r="A32" i="16"/>
  <c r="BE31" i="16"/>
  <c r="J31" i="16"/>
  <c r="I31" i="16"/>
  <c r="H31" i="16"/>
  <c r="B31" i="16"/>
  <c r="F31" i="16" s="1"/>
  <c r="A31" i="16"/>
  <c r="BE30" i="16"/>
  <c r="J30" i="16"/>
  <c r="I30" i="16"/>
  <c r="H30" i="16"/>
  <c r="B30" i="16"/>
  <c r="F30" i="16" s="1"/>
  <c r="A30" i="16"/>
  <c r="BE29" i="16"/>
  <c r="J29" i="16"/>
  <c r="I29" i="16"/>
  <c r="H29" i="16"/>
  <c r="B29" i="16"/>
  <c r="F29" i="16" s="1"/>
  <c r="A29" i="16"/>
  <c r="BE28" i="16"/>
  <c r="J28" i="16"/>
  <c r="I28" i="16"/>
  <c r="H28" i="16"/>
  <c r="B28" i="16"/>
  <c r="F28" i="16" s="1"/>
  <c r="A28" i="16"/>
  <c r="BE27" i="16"/>
  <c r="J27" i="16"/>
  <c r="I27" i="16"/>
  <c r="H27" i="16"/>
  <c r="B27" i="16"/>
  <c r="F27" i="16" s="1"/>
  <c r="A27" i="16"/>
  <c r="BE26" i="16"/>
  <c r="J26" i="16"/>
  <c r="I26" i="16"/>
  <c r="H26" i="16"/>
  <c r="B26" i="16"/>
  <c r="F26" i="16" s="1"/>
  <c r="A26" i="16"/>
  <c r="BE25" i="16"/>
  <c r="J25" i="16"/>
  <c r="I25" i="16"/>
  <c r="H25" i="16"/>
  <c r="B25" i="16"/>
  <c r="F25" i="16" s="1"/>
  <c r="A25" i="16"/>
  <c r="BE24" i="16"/>
  <c r="J24" i="16"/>
  <c r="I24" i="16"/>
  <c r="H24" i="16"/>
  <c r="B24" i="16"/>
  <c r="F24" i="16" s="1"/>
  <c r="A24" i="16"/>
  <c r="BE23" i="16"/>
  <c r="J23" i="16"/>
  <c r="I23" i="16"/>
  <c r="H23" i="16"/>
  <c r="B23" i="16"/>
  <c r="F23" i="16" s="1"/>
  <c r="A23" i="16"/>
  <c r="BE22" i="16"/>
  <c r="J22" i="16"/>
  <c r="I22" i="16"/>
  <c r="H22" i="16"/>
  <c r="B22" i="16"/>
  <c r="F22" i="16" s="1"/>
  <c r="A22" i="16"/>
  <c r="BE21" i="16"/>
  <c r="J21" i="16"/>
  <c r="I21" i="16"/>
  <c r="H21" i="16"/>
  <c r="B21" i="16"/>
  <c r="F21" i="16" s="1"/>
  <c r="A21" i="16"/>
  <c r="BE20" i="16"/>
  <c r="J20" i="16"/>
  <c r="I20" i="16"/>
  <c r="H20" i="16"/>
  <c r="B20" i="16"/>
  <c r="F20" i="16" s="1"/>
  <c r="A20" i="16"/>
  <c r="BE19" i="16"/>
  <c r="J19" i="16"/>
  <c r="I19" i="16"/>
  <c r="H19" i="16"/>
  <c r="B19" i="16"/>
  <c r="F19" i="16" s="1"/>
  <c r="A19" i="16"/>
  <c r="BE18" i="16"/>
  <c r="J18" i="16"/>
  <c r="I18" i="16"/>
  <c r="H18" i="16"/>
  <c r="B18" i="16"/>
  <c r="F18" i="16" s="1"/>
  <c r="A18" i="16"/>
  <c r="BE17" i="16"/>
  <c r="J17" i="16"/>
  <c r="I17" i="16"/>
  <c r="H17" i="16"/>
  <c r="B17" i="16"/>
  <c r="F17" i="16" s="1"/>
  <c r="A17" i="16"/>
  <c r="BE16" i="16"/>
  <c r="J16" i="16"/>
  <c r="I16" i="16"/>
  <c r="H16" i="16"/>
  <c r="B16" i="16"/>
  <c r="F16" i="16" s="1"/>
  <c r="A16" i="16"/>
  <c r="BE15" i="16"/>
  <c r="J15" i="16"/>
  <c r="I15" i="16"/>
  <c r="H15" i="16"/>
  <c r="B15" i="16"/>
  <c r="F15" i="16" s="1"/>
  <c r="A15" i="16"/>
  <c r="BE14" i="16"/>
  <c r="J14" i="16"/>
  <c r="I14" i="16"/>
  <c r="H14" i="16"/>
  <c r="B14" i="16"/>
  <c r="F14" i="16" s="1"/>
  <c r="A14" i="16"/>
  <c r="BE13" i="16"/>
  <c r="J13" i="16"/>
  <c r="I13" i="16"/>
  <c r="H13" i="16"/>
  <c r="B13" i="16"/>
  <c r="F13" i="16" s="1"/>
  <c r="A13" i="16"/>
  <c r="BE12" i="16"/>
  <c r="J12" i="16"/>
  <c r="I12" i="16"/>
  <c r="H12" i="16"/>
  <c r="B12" i="16"/>
  <c r="F12" i="16" s="1"/>
  <c r="A12" i="16"/>
  <c r="BE11" i="16"/>
  <c r="J11" i="16"/>
  <c r="I11" i="16"/>
  <c r="H11" i="16"/>
  <c r="B11" i="16"/>
  <c r="F11" i="16" s="1"/>
  <c r="A11" i="16"/>
  <c r="BE10" i="16"/>
  <c r="J10" i="16"/>
  <c r="I10" i="16"/>
  <c r="H10" i="16"/>
  <c r="B10" i="16"/>
  <c r="F10" i="16" s="1"/>
  <c r="A10" i="16"/>
  <c r="BE9" i="16"/>
  <c r="J9" i="16"/>
  <c r="I9" i="16"/>
  <c r="H9" i="16"/>
  <c r="B9" i="16"/>
  <c r="F9" i="16" s="1"/>
  <c r="A9" i="16"/>
  <c r="BE8" i="16"/>
  <c r="J8" i="16"/>
  <c r="I8" i="16"/>
  <c r="H8" i="16"/>
  <c r="B8" i="16"/>
  <c r="F8" i="16" s="1"/>
  <c r="A8" i="16"/>
  <c r="BD5" i="16"/>
  <c r="BC5" i="16"/>
  <c r="BB5" i="16"/>
  <c r="BA5" i="16"/>
  <c r="AZ5" i="16"/>
  <c r="AY5" i="16"/>
  <c r="AX5" i="16"/>
  <c r="AW5" i="16"/>
  <c r="AV5" i="16"/>
  <c r="AU5" i="16"/>
  <c r="AT5" i="16"/>
  <c r="AS5" i="16"/>
  <c r="AR5" i="16"/>
  <c r="AQ5" i="16"/>
  <c r="AP5" i="16"/>
  <c r="AO5" i="16"/>
  <c r="AN5" i="16"/>
  <c r="AM5" i="16"/>
  <c r="AK5" i="16"/>
  <c r="AJ5" i="16"/>
  <c r="AI5" i="16"/>
  <c r="AH5" i="16"/>
  <c r="AG5" i="16"/>
  <c r="AF5" i="16"/>
  <c r="AE5" i="16"/>
  <c r="AD5" i="16"/>
  <c r="AC5" i="16"/>
  <c r="AB5" i="16"/>
  <c r="AA5" i="16"/>
  <c r="Z5" i="16"/>
  <c r="Y5" i="16"/>
  <c r="X5" i="16"/>
  <c r="W5" i="16"/>
  <c r="V5" i="16"/>
  <c r="U5" i="16"/>
  <c r="T5" i="16"/>
  <c r="S5" i="16"/>
  <c r="R5" i="16"/>
  <c r="Q5" i="16"/>
  <c r="P5" i="16"/>
  <c r="O5" i="16"/>
  <c r="N5" i="16"/>
  <c r="M5" i="16"/>
  <c r="L5" i="16"/>
  <c r="K5" i="16"/>
  <c r="G1044" i="16" l="1"/>
  <c r="G1047" i="16"/>
  <c r="G1042" i="16"/>
  <c r="G643" i="16"/>
  <c r="G1001" i="16"/>
  <c r="G139" i="16"/>
  <c r="G141" i="16"/>
  <c r="G689" i="16"/>
  <c r="G747" i="16"/>
  <c r="G798" i="16"/>
  <c r="G802" i="16"/>
  <c r="G856" i="16"/>
  <c r="G864" i="16"/>
  <c r="G888" i="16"/>
  <c r="G713" i="16"/>
  <c r="G804" i="16"/>
  <c r="G146" i="16"/>
  <c r="G158" i="16"/>
  <c r="G787" i="16"/>
  <c r="G1016" i="16"/>
  <c r="G181" i="16"/>
  <c r="G408" i="16"/>
  <c r="G252" i="16"/>
  <c r="G256" i="16"/>
  <c r="G115" i="16"/>
  <c r="G180" i="16"/>
  <c r="G416" i="16"/>
  <c r="G730" i="16"/>
  <c r="G920" i="16"/>
  <c r="G239" i="16"/>
  <c r="G952" i="16"/>
  <c r="G1019" i="16"/>
  <c r="G580" i="16"/>
  <c r="G984" i="16"/>
  <c r="G173" i="16"/>
  <c r="G619" i="16"/>
  <c r="G805" i="16"/>
  <c r="G526" i="16"/>
  <c r="G638" i="16"/>
  <c r="G866" i="16"/>
  <c r="G983" i="16"/>
  <c r="G209" i="16"/>
  <c r="G756" i="16"/>
  <c r="G961" i="16"/>
  <c r="G1025" i="16"/>
  <c r="G140" i="16"/>
  <c r="G211" i="16"/>
  <c r="G215" i="16"/>
  <c r="G282" i="16"/>
  <c r="G488" i="16"/>
  <c r="G657" i="16"/>
  <c r="G665" i="16"/>
  <c r="G673" i="16"/>
  <c r="G99" i="16"/>
  <c r="G131" i="16"/>
  <c r="G589" i="16"/>
  <c r="G605" i="16"/>
  <c r="G906" i="16"/>
  <c r="G955" i="16"/>
  <c r="G1002" i="16"/>
  <c r="G182" i="16"/>
  <c r="G190" i="16"/>
  <c r="G528" i="16"/>
  <c r="G536" i="16"/>
  <c r="G109" i="16"/>
  <c r="G125" i="16"/>
  <c r="G175" i="16"/>
  <c r="G400" i="16"/>
  <c r="G410" i="16"/>
  <c r="G633" i="16"/>
  <c r="G681" i="16"/>
  <c r="G721" i="16"/>
  <c r="G748" i="16"/>
  <c r="G760" i="16"/>
  <c r="G768" i="16"/>
  <c r="G811" i="16"/>
  <c r="G938" i="16"/>
  <c r="G103" i="16"/>
  <c r="G135" i="16"/>
  <c r="G222" i="16"/>
  <c r="G521" i="16"/>
  <c r="G596" i="16"/>
  <c r="G855" i="16"/>
  <c r="G858" i="16"/>
  <c r="G923" i="16"/>
  <c r="G929" i="16"/>
  <c r="G969" i="16"/>
  <c r="G119" i="16"/>
  <c r="G347" i="16"/>
  <c r="BE5" i="16"/>
  <c r="G54" i="16"/>
  <c r="G113" i="16"/>
  <c r="G198" i="16"/>
  <c r="G266" i="16"/>
  <c r="G374" i="16"/>
  <c r="G414" i="16"/>
  <c r="G627" i="16"/>
  <c r="G635" i="16"/>
  <c r="G640" i="16"/>
  <c r="G656" i="16"/>
  <c r="G739" i="16"/>
  <c r="G806" i="16"/>
  <c r="G821" i="16"/>
  <c r="G825" i="16"/>
  <c r="G951" i="16"/>
  <c r="G954" i="16"/>
  <c r="G960" i="16"/>
  <c r="G1034" i="16"/>
  <c r="G832" i="16"/>
  <c r="G840" i="16"/>
  <c r="G860" i="16"/>
  <c r="G872" i="16"/>
  <c r="G891" i="16"/>
  <c r="G897" i="16"/>
  <c r="G937" i="16"/>
  <c r="G163" i="16"/>
  <c r="G298" i="16"/>
  <c r="G363" i="16"/>
  <c r="G399" i="16"/>
  <c r="G402" i="16"/>
  <c r="G418" i="16"/>
  <c r="G611" i="16"/>
  <c r="G758" i="16"/>
  <c r="G809" i="16"/>
  <c r="G816" i="16"/>
  <c r="G871" i="16"/>
  <c r="G919" i="16"/>
  <c r="G922" i="16"/>
  <c r="G928" i="16"/>
  <c r="G232" i="16"/>
  <c r="G257" i="16"/>
  <c r="G598" i="16"/>
  <c r="G602" i="16"/>
  <c r="G614" i="16"/>
  <c r="G678" i="16"/>
  <c r="G694" i="16"/>
  <c r="G702" i="16"/>
  <c r="G706" i="16"/>
  <c r="G710" i="16"/>
  <c r="G718" i="16"/>
  <c r="G722" i="16"/>
  <c r="G781" i="16"/>
  <c r="G812" i="16"/>
  <c r="G847" i="16"/>
  <c r="G905" i="16"/>
  <c r="G987" i="16"/>
  <c r="G993" i="16"/>
  <c r="G1033" i="16"/>
  <c r="G401" i="16"/>
  <c r="G406" i="16"/>
  <c r="G742" i="16"/>
  <c r="G796" i="16"/>
  <c r="G859" i="16"/>
  <c r="G887" i="16"/>
  <c r="G890" i="16"/>
  <c r="G896" i="16"/>
  <c r="G970" i="16"/>
  <c r="G207" i="16"/>
  <c r="G107" i="16"/>
  <c r="G123" i="16"/>
  <c r="G587" i="16"/>
  <c r="G774" i="16"/>
  <c r="G13" i="16"/>
  <c r="G101" i="16"/>
  <c r="G117" i="16"/>
  <c r="G133" i="16"/>
  <c r="G193" i="16"/>
  <c r="G111" i="16"/>
  <c r="G127" i="16"/>
  <c r="G105" i="16"/>
  <c r="G121" i="16"/>
  <c r="G142" i="16"/>
  <c r="G179" i="16"/>
  <c r="G208" i="16"/>
  <c r="G646" i="16"/>
  <c r="G641" i="16"/>
  <c r="G53" i="16"/>
  <c r="G104" i="16"/>
  <c r="G112" i="16"/>
  <c r="G120" i="16"/>
  <c r="G128" i="16"/>
  <c r="G136" i="16"/>
  <c r="G150" i="16"/>
  <c r="G184" i="16"/>
  <c r="G233" i="16"/>
  <c r="G389" i="16"/>
  <c r="G403" i="16"/>
  <c r="G411" i="16"/>
  <c r="G419" i="16"/>
  <c r="G423" i="16"/>
  <c r="G432" i="16"/>
  <c r="G441" i="16"/>
  <c r="G542" i="16"/>
  <c r="G603" i="16"/>
  <c r="G623" i="16"/>
  <c r="G670" i="16"/>
  <c r="G682" i="16"/>
  <c r="G690" i="16"/>
  <c r="G728" i="16"/>
  <c r="G765" i="16"/>
  <c r="G782" i="16"/>
  <c r="G807" i="16"/>
  <c r="G810" i="16"/>
  <c r="G96" i="16"/>
  <c r="G102" i="16"/>
  <c r="G110" i="16"/>
  <c r="G118" i="16"/>
  <c r="G126" i="16"/>
  <c r="G134" i="16"/>
  <c r="G154" i="16"/>
  <c r="G167" i="16"/>
  <c r="G183" i="16"/>
  <c r="G191" i="16"/>
  <c r="G217" i="16"/>
  <c r="G241" i="16"/>
  <c r="G378" i="16"/>
  <c r="G383" i="16"/>
  <c r="G393" i="16"/>
  <c r="G409" i="16"/>
  <c r="G417" i="16"/>
  <c r="G422" i="16"/>
  <c r="G485" i="16"/>
  <c r="G545" i="16"/>
  <c r="G606" i="16"/>
  <c r="G618" i="16"/>
  <c r="G622" i="16"/>
  <c r="G649" i="16"/>
  <c r="G685" i="16"/>
  <c r="G698" i="16"/>
  <c r="G714" i="16"/>
  <c r="G731" i="16"/>
  <c r="G732" i="16"/>
  <c r="G744" i="16"/>
  <c r="G772" i="16"/>
  <c r="G797" i="16"/>
  <c r="G826" i="16"/>
  <c r="G833" i="16"/>
  <c r="G853" i="16"/>
  <c r="G862" i="16"/>
  <c r="G868" i="16"/>
  <c r="G879" i="16"/>
  <c r="G911" i="16"/>
  <c r="G943" i="16"/>
  <c r="G975" i="16"/>
  <c r="G1039" i="16"/>
  <c r="G368" i="16"/>
  <c r="G590" i="16"/>
  <c r="G726" i="16"/>
  <c r="G743" i="16"/>
  <c r="G785" i="16"/>
  <c r="G792" i="16"/>
  <c r="G829" i="16"/>
  <c r="G100" i="16"/>
  <c r="G108" i="16"/>
  <c r="G116" i="16"/>
  <c r="G124" i="16"/>
  <c r="G132" i="16"/>
  <c r="G165" i="16"/>
  <c r="G171" i="16"/>
  <c r="G199" i="16"/>
  <c r="G203" i="16"/>
  <c r="G223" i="16"/>
  <c r="G244" i="16"/>
  <c r="G381" i="16"/>
  <c r="G397" i="16"/>
  <c r="G407" i="16"/>
  <c r="G415" i="16"/>
  <c r="G421" i="16"/>
  <c r="G425" i="16"/>
  <c r="G448" i="16"/>
  <c r="G457" i="16"/>
  <c r="G497" i="16"/>
  <c r="G630" i="16"/>
  <c r="G651" i="16"/>
  <c r="G668" i="16"/>
  <c r="G676" i="16"/>
  <c r="G688" i="16"/>
  <c r="G763" i="16"/>
  <c r="G767" i="16"/>
  <c r="G808" i="16"/>
  <c r="G836" i="16"/>
  <c r="G870" i="16"/>
  <c r="G876" i="16"/>
  <c r="G908" i="16"/>
  <c r="G940" i="16"/>
  <c r="G972" i="16"/>
  <c r="G986" i="16"/>
  <c r="G992" i="16"/>
  <c r="G1004" i="16"/>
  <c r="G1015" i="16"/>
  <c r="G1018" i="16"/>
  <c r="G1024" i="16"/>
  <c r="G1036" i="16"/>
  <c r="G231" i="16"/>
  <c r="G609" i="16"/>
  <c r="G629" i="16"/>
  <c r="G671" i="16"/>
  <c r="G684" i="16"/>
  <c r="G705" i="16"/>
  <c r="G725" i="16"/>
  <c r="G779" i="16"/>
  <c r="G820" i="16"/>
  <c r="G828" i="16"/>
  <c r="G852" i="16"/>
  <c r="G884" i="16"/>
  <c r="G916" i="16"/>
  <c r="G948" i="16"/>
  <c r="G980" i="16"/>
  <c r="G1012" i="16"/>
  <c r="G58" i="16"/>
  <c r="G62" i="16"/>
  <c r="G66" i="16"/>
  <c r="G70" i="16"/>
  <c r="G74" i="16"/>
  <c r="G78" i="16"/>
  <c r="G82" i="16"/>
  <c r="G86" i="16"/>
  <c r="G90" i="16"/>
  <c r="G98" i="16"/>
  <c r="G106" i="16"/>
  <c r="G114" i="16"/>
  <c r="G122" i="16"/>
  <c r="G130" i="16"/>
  <c r="G138" i="16"/>
  <c r="G185" i="16"/>
  <c r="G206" i="16"/>
  <c r="G214" i="16"/>
  <c r="G218" i="16"/>
  <c r="G230" i="16"/>
  <c r="G242" i="16"/>
  <c r="G355" i="16"/>
  <c r="G376" i="16"/>
  <c r="G385" i="16"/>
  <c r="G391" i="16"/>
  <c r="G405" i="16"/>
  <c r="G413" i="16"/>
  <c r="G469" i="16"/>
  <c r="G579" i="16"/>
  <c r="G583" i="16"/>
  <c r="G592" i="16"/>
  <c r="G620" i="16"/>
  <c r="G704" i="16"/>
  <c r="G712" i="16"/>
  <c r="G750" i="16"/>
  <c r="G762" i="16"/>
  <c r="G766" i="16"/>
  <c r="G771" i="16"/>
  <c r="G799" i="16"/>
  <c r="G831" i="16"/>
  <c r="G848" i="16"/>
  <c r="G878" i="16"/>
  <c r="G898" i="16"/>
  <c r="G904" i="16"/>
  <c r="G910" i="16"/>
  <c r="G930" i="16"/>
  <c r="G936" i="16"/>
  <c r="G942" i="16"/>
  <c r="G962" i="16"/>
  <c r="G968" i="16"/>
  <c r="G974" i="16"/>
  <c r="G994" i="16"/>
  <c r="G1000" i="16"/>
  <c r="G1006" i="16"/>
  <c r="G1026" i="16"/>
  <c r="G1032" i="16"/>
  <c r="G1038" i="16"/>
  <c r="G129" i="16"/>
  <c r="G137" i="16"/>
  <c r="G197" i="16"/>
  <c r="G201" i="16"/>
  <c r="G205" i="16"/>
  <c r="G221" i="16"/>
  <c r="G267" i="16"/>
  <c r="G280" i="16"/>
  <c r="G370" i="16"/>
  <c r="G404" i="16"/>
  <c r="G412" i="16"/>
  <c r="G420" i="16"/>
  <c r="G595" i="16"/>
  <c r="G607" i="16"/>
  <c r="G662" i="16"/>
  <c r="G674" i="16"/>
  <c r="G699" i="16"/>
  <c r="G707" i="16"/>
  <c r="G711" i="16"/>
  <c r="G745" i="16"/>
  <c r="G790" i="16"/>
  <c r="G794" i="16"/>
  <c r="G827" i="16"/>
  <c r="G843" i="16"/>
  <c r="G880" i="16"/>
  <c r="G883" i="16"/>
  <c r="G912" i="16"/>
  <c r="G915" i="16"/>
  <c r="G944" i="16"/>
  <c r="G947" i="16"/>
  <c r="G976" i="16"/>
  <c r="G979" i="16"/>
  <c r="G1008" i="16"/>
  <c r="G1040" i="16"/>
  <c r="G1046" i="16"/>
  <c r="G9" i="16"/>
  <c r="G14" i="16"/>
  <c r="G18" i="16"/>
  <c r="G22" i="16"/>
  <c r="G26" i="16"/>
  <c r="G30" i="16"/>
  <c r="G34" i="16"/>
  <c r="G38" i="16"/>
  <c r="G42" i="16"/>
  <c r="G46" i="16"/>
  <c r="G50" i="16"/>
  <c r="G93" i="16"/>
  <c r="G149" i="16"/>
  <c r="G157" i="16"/>
  <c r="G166" i="16"/>
  <c r="G174" i="16"/>
  <c r="G57" i="16"/>
  <c r="G61" i="16"/>
  <c r="G65" i="16"/>
  <c r="G69" i="16"/>
  <c r="G73" i="16"/>
  <c r="G77" i="16"/>
  <c r="G81" i="16"/>
  <c r="G85" i="16"/>
  <c r="G89" i="16"/>
  <c r="G148" i="16"/>
  <c r="G156" i="16"/>
  <c r="G228" i="16"/>
  <c r="G17" i="16"/>
  <c r="G21" i="16"/>
  <c r="G25" i="16"/>
  <c r="G29" i="16"/>
  <c r="G33" i="16"/>
  <c r="G37" i="16"/>
  <c r="G41" i="16"/>
  <c r="G45" i="16"/>
  <c r="G49" i="16"/>
  <c r="G92" i="16"/>
  <c r="G97" i="16"/>
  <c r="G147" i="16"/>
  <c r="G155" i="16"/>
  <c r="G164" i="16"/>
  <c r="G172" i="16"/>
  <c r="G52" i="16"/>
  <c r="G60" i="16"/>
  <c r="G64" i="16"/>
  <c r="G68" i="16"/>
  <c r="G72" i="16"/>
  <c r="G76" i="16"/>
  <c r="G80" i="16"/>
  <c r="G84" i="16"/>
  <c r="G88" i="16"/>
  <c r="G56" i="16"/>
  <c r="G16" i="16"/>
  <c r="G20" i="16"/>
  <c r="G24" i="16"/>
  <c r="G28" i="16"/>
  <c r="G32" i="16"/>
  <c r="G36" i="16"/>
  <c r="G40" i="16"/>
  <c r="G44" i="16"/>
  <c r="G48" i="16"/>
  <c r="G91" i="16"/>
  <c r="G95" i="16"/>
  <c r="G145" i="16"/>
  <c r="G153" i="16"/>
  <c r="G161" i="16"/>
  <c r="G162" i="16"/>
  <c r="G170" i="16"/>
  <c r="G178" i="16"/>
  <c r="G186" i="16"/>
  <c r="G238" i="16"/>
  <c r="G277" i="16"/>
  <c r="G11" i="16"/>
  <c r="G63" i="16"/>
  <c r="G67" i="16"/>
  <c r="G71" i="16"/>
  <c r="G75" i="16"/>
  <c r="G79" i="16"/>
  <c r="G83" i="16"/>
  <c r="G87" i="16"/>
  <c r="G144" i="16"/>
  <c r="G152" i="16"/>
  <c r="G160" i="16"/>
  <c r="G169" i="16"/>
  <c r="G177" i="16"/>
  <c r="G225" i="16"/>
  <c r="G229" i="16"/>
  <c r="G272" i="16"/>
  <c r="G55" i="16"/>
  <c r="G59" i="16"/>
  <c r="G15" i="16"/>
  <c r="G19" i="16"/>
  <c r="G23" i="16"/>
  <c r="G27" i="16"/>
  <c r="G31" i="16"/>
  <c r="G35" i="16"/>
  <c r="G39" i="16"/>
  <c r="G43" i="16"/>
  <c r="G47" i="16"/>
  <c r="G51" i="16"/>
  <c r="G94" i="16"/>
  <c r="G143" i="16"/>
  <c r="G151" i="16"/>
  <c r="G159" i="16"/>
  <c r="G168" i="16"/>
  <c r="G176" i="16"/>
  <c r="G189" i="16"/>
  <c r="G194" i="16"/>
  <c r="G204" i="16"/>
  <c r="G195" i="16"/>
  <c r="G196" i="16"/>
  <c r="G200" i="16"/>
  <c r="G210" i="16"/>
  <c r="G220" i="16"/>
  <c r="G224" i="16"/>
  <c r="G234" i="16"/>
  <c r="G249" i="16"/>
  <c r="G258" i="16"/>
  <c r="G283" i="16"/>
  <c r="G288" i="16"/>
  <c r="G299" i="16"/>
  <c r="G304" i="16"/>
  <c r="G312" i="16"/>
  <c r="G320" i="16"/>
  <c r="G328" i="16"/>
  <c r="G336" i="16"/>
  <c r="G369" i="16"/>
  <c r="G377" i="16"/>
  <c r="G384" i="16"/>
  <c r="G392" i="16"/>
  <c r="G464" i="16"/>
  <c r="G513" i="16"/>
  <c r="G518" i="16"/>
  <c r="G213" i="16"/>
  <c r="G237" i="16"/>
  <c r="G247" i="16"/>
  <c r="G253" i="16"/>
  <c r="G367" i="16"/>
  <c r="G375" i="16"/>
  <c r="G382" i="16"/>
  <c r="G390" i="16"/>
  <c r="G398" i="16"/>
  <c r="G437" i="16"/>
  <c r="G453" i="16"/>
  <c r="G473" i="16"/>
  <c r="G882" i="16"/>
  <c r="G914" i="16"/>
  <c r="G946" i="16"/>
  <c r="G978" i="16"/>
  <c r="G1010" i="16"/>
  <c r="G755" i="16"/>
  <c r="G373" i="16"/>
  <c r="G388" i="16"/>
  <c r="G396" i="16"/>
  <c r="G472" i="16"/>
  <c r="G187" i="16"/>
  <c r="G188" i="16"/>
  <c r="G192" i="16"/>
  <c r="G202" i="16"/>
  <c r="G226" i="16"/>
  <c r="G260" i="16"/>
  <c r="G296" i="16"/>
  <c r="G307" i="16"/>
  <c r="G315" i="16"/>
  <c r="G323" i="16"/>
  <c r="G331" i="16"/>
  <c r="G339" i="16"/>
  <c r="G346" i="16"/>
  <c r="G354" i="16"/>
  <c r="G362" i="16"/>
  <c r="G372" i="16"/>
  <c r="G380" i="16"/>
  <c r="G387" i="16"/>
  <c r="G395" i="16"/>
  <c r="G424" i="16"/>
  <c r="G440" i="16"/>
  <c r="G456" i="16"/>
  <c r="G461" i="16"/>
  <c r="G477" i="16"/>
  <c r="G729" i="16"/>
  <c r="G824" i="16"/>
  <c r="G212" i="16"/>
  <c r="G216" i="16"/>
  <c r="G236" i="16"/>
  <c r="G240" i="16"/>
  <c r="G264" i="16"/>
  <c r="G274" i="16"/>
  <c r="G290" i="16"/>
  <c r="G306" i="16"/>
  <c r="G314" i="16"/>
  <c r="G322" i="16"/>
  <c r="G330" i="16"/>
  <c r="G338" i="16"/>
  <c r="G361" i="16"/>
  <c r="G371" i="16"/>
  <c r="G379" i="16"/>
  <c r="G386" i="16"/>
  <c r="G394" i="16"/>
  <c r="G429" i="16"/>
  <c r="G445" i="16"/>
  <c r="G465" i="16"/>
  <c r="G481" i="16"/>
  <c r="G654" i="16"/>
  <c r="G344" i="16"/>
  <c r="G352" i="16"/>
  <c r="G360" i="16"/>
  <c r="G433" i="16"/>
  <c r="G449" i="16"/>
  <c r="G686" i="16"/>
  <c r="G537" i="16"/>
  <c r="G553" i="16"/>
  <c r="G561" i="16"/>
  <c r="G569" i="16"/>
  <c r="G578" i="16"/>
  <c r="G585" i="16"/>
  <c r="G616" i="16"/>
  <c r="G625" i="16"/>
  <c r="G648" i="16"/>
  <c r="G652" i="16"/>
  <c r="G666" i="16"/>
  <c r="G675" i="16"/>
  <c r="G680" i="16"/>
  <c r="G703" i="16"/>
  <c r="G723" i="16"/>
  <c r="G727" i="16"/>
  <c r="G749" i="16"/>
  <c r="G776" i="16"/>
  <c r="G777" i="16"/>
  <c r="G789" i="16"/>
  <c r="G803" i="16"/>
  <c r="G814" i="16"/>
  <c r="G818" i="16"/>
  <c r="G849" i="16"/>
  <c r="G881" i="16"/>
  <c r="G892" i="16"/>
  <c r="G895" i="16"/>
  <c r="G899" i="16"/>
  <c r="G913" i="16"/>
  <c r="G924" i="16"/>
  <c r="G927" i="16"/>
  <c r="G931" i="16"/>
  <c r="G945" i="16"/>
  <c r="G956" i="16"/>
  <c r="G959" i="16"/>
  <c r="G963" i="16"/>
  <c r="G977" i="16"/>
  <c r="G988" i="16"/>
  <c r="G991" i="16"/>
  <c r="G995" i="16"/>
  <c r="G1009" i="16"/>
  <c r="G1020" i="16"/>
  <c r="G1023" i="16"/>
  <c r="G1027" i="16"/>
  <c r="G1041" i="16"/>
  <c r="G493" i="16"/>
  <c r="G502" i="16"/>
  <c r="G512" i="16"/>
  <c r="G552" i="16"/>
  <c r="G560" i="16"/>
  <c r="G568" i="16"/>
  <c r="G576" i="16"/>
  <c r="G577" i="16"/>
  <c r="G584" i="16"/>
  <c r="G588" i="16"/>
  <c r="G593" i="16"/>
  <c r="G610" i="16"/>
  <c r="G615" i="16"/>
  <c r="G624" i="16"/>
  <c r="G628" i="16"/>
  <c r="G637" i="16"/>
  <c r="G642" i="16"/>
  <c r="G647" i="16"/>
  <c r="G679" i="16"/>
  <c r="G708" i="16"/>
  <c r="G736" i="16"/>
  <c r="G740" i="16"/>
  <c r="G757" i="16"/>
  <c r="G780" i="16"/>
  <c r="G813" i="16"/>
  <c r="G817" i="16"/>
  <c r="G822" i="16"/>
  <c r="G830" i="16"/>
  <c r="G839" i="16"/>
  <c r="G844" i="16"/>
  <c r="G874" i="16"/>
  <c r="G877" i="16"/>
  <c r="G902" i="16"/>
  <c r="G909" i="16"/>
  <c r="G934" i="16"/>
  <c r="G941" i="16"/>
  <c r="G966" i="16"/>
  <c r="G973" i="16"/>
  <c r="G998" i="16"/>
  <c r="G1005" i="16"/>
  <c r="G1030" i="16"/>
  <c r="G1037" i="16"/>
  <c r="G770" i="16"/>
  <c r="G775" i="16"/>
  <c r="G788" i="16"/>
  <c r="G550" i="16"/>
  <c r="G558" i="16"/>
  <c r="G566" i="16"/>
  <c r="G574" i="16"/>
  <c r="G582" i="16"/>
  <c r="G591" i="16"/>
  <c r="G601" i="16"/>
  <c r="G632" i="16"/>
  <c r="G636" i="16"/>
  <c r="G650" i="16"/>
  <c r="G655" i="16"/>
  <c r="G683" i="16"/>
  <c r="G687" i="16"/>
  <c r="G701" i="16"/>
  <c r="G753" i="16"/>
  <c r="G793" i="16"/>
  <c r="G834" i="16"/>
  <c r="G838" i="16"/>
  <c r="G851" i="16"/>
  <c r="G873" i="16"/>
  <c r="G894" i="16"/>
  <c r="G926" i="16"/>
  <c r="G958" i="16"/>
  <c r="G990" i="16"/>
  <c r="G1022" i="16"/>
  <c r="G480" i="16"/>
  <c r="G496" i="16"/>
  <c r="G505" i="16"/>
  <c r="G510" i="16"/>
  <c r="G520" i="16"/>
  <c r="G544" i="16"/>
  <c r="G549" i="16"/>
  <c r="G557" i="16"/>
  <c r="G565" i="16"/>
  <c r="G573" i="16"/>
  <c r="G581" i="16"/>
  <c r="G586" i="16"/>
  <c r="G600" i="16"/>
  <c r="G604" i="16"/>
  <c r="G613" i="16"/>
  <c r="G626" i="16"/>
  <c r="G631" i="16"/>
  <c r="G645" i="16"/>
  <c r="G659" i="16"/>
  <c r="G664" i="16"/>
  <c r="G677" i="16"/>
  <c r="G692" i="16"/>
  <c r="G697" i="16"/>
  <c r="G716" i="16"/>
  <c r="G738" i="16"/>
  <c r="G752" i="16"/>
  <c r="G761" i="16"/>
  <c r="G778" i="16"/>
  <c r="G783" i="16"/>
  <c r="G1007" i="16"/>
  <c r="G1011" i="16"/>
  <c r="G1043" i="16"/>
  <c r="G529" i="16"/>
  <c r="G534" i="16"/>
  <c r="G594" i="16"/>
  <c r="G599" i="16"/>
  <c r="G621" i="16"/>
  <c r="G663" i="16"/>
  <c r="G691" i="16"/>
  <c r="G696" i="16"/>
  <c r="G715" i="16"/>
  <c r="G720" i="16"/>
  <c r="G746" i="16"/>
  <c r="G751" i="16"/>
  <c r="G764" i="16"/>
  <c r="G773" i="16"/>
  <c r="G786" i="16"/>
  <c r="G791" i="16"/>
  <c r="G800" i="16"/>
  <c r="G837" i="16"/>
  <c r="G842" i="16"/>
  <c r="G846" i="16"/>
  <c r="G854" i="16"/>
  <c r="G865" i="16"/>
  <c r="G886" i="16"/>
  <c r="G893" i="16"/>
  <c r="G918" i="16"/>
  <c r="G925" i="16"/>
  <c r="G950" i="16"/>
  <c r="G957" i="16"/>
  <c r="G982" i="16"/>
  <c r="G989" i="16"/>
  <c r="G1014" i="16"/>
  <c r="G1021" i="16"/>
  <c r="G489" i="16"/>
  <c r="G504" i="16"/>
  <c r="G555" i="16"/>
  <c r="G608" i="16"/>
  <c r="G612" i="16"/>
  <c r="G617" i="16"/>
  <c r="G634" i="16"/>
  <c r="G639" i="16"/>
  <c r="G644" i="16"/>
  <c r="G653" i="16"/>
  <c r="G658" i="16"/>
  <c r="G667" i="16"/>
  <c r="G672" i="16"/>
  <c r="G695" i="16"/>
  <c r="G700" i="16"/>
  <c r="G719" i="16"/>
  <c r="G724" i="16"/>
  <c r="G734" i="16"/>
  <c r="G754" i="16"/>
  <c r="G759" i="16"/>
  <c r="G769" i="16"/>
  <c r="G795" i="16"/>
  <c r="G823" i="16"/>
  <c r="G841" i="16"/>
  <c r="G845" i="16"/>
  <c r="G850" i="16"/>
  <c r="G857" i="16"/>
  <c r="G875" i="16"/>
  <c r="G889" i="16"/>
  <c r="G900" i="16"/>
  <c r="G903" i="16"/>
  <c r="G907" i="16"/>
  <c r="G921" i="16"/>
  <c r="G932" i="16"/>
  <c r="G935" i="16"/>
  <c r="G939" i="16"/>
  <c r="G953" i="16"/>
  <c r="G964" i="16"/>
  <c r="G967" i="16"/>
  <c r="G971" i="16"/>
  <c r="G985" i="16"/>
  <c r="G996" i="16"/>
  <c r="G999" i="16"/>
  <c r="G1003" i="16"/>
  <c r="G1017" i="16"/>
  <c r="G1028" i="16"/>
  <c r="G1031" i="16"/>
  <c r="G1035" i="16"/>
  <c r="G227" i="16"/>
  <c r="G12" i="16"/>
  <c r="A52" i="16"/>
  <c r="A91" i="16" s="1"/>
  <c r="D3" i="16"/>
  <c r="G10" i="16"/>
  <c r="G235" i="16"/>
  <c r="G8" i="16"/>
  <c r="G219" i="16"/>
  <c r="G243" i="16"/>
  <c r="G250" i="16"/>
  <c r="G269" i="16"/>
  <c r="G275" i="16"/>
  <c r="G248" i="16"/>
  <c r="G261" i="16"/>
  <c r="G268" i="16"/>
  <c r="G291" i="16"/>
  <c r="G245" i="16"/>
  <c r="G259" i="16"/>
  <c r="G265" i="16"/>
  <c r="G251" i="16"/>
  <c r="G276" i="16"/>
  <c r="G364" i="16"/>
  <c r="G273" i="16"/>
  <c r="G281" i="16"/>
  <c r="G289" i="16"/>
  <c r="G297" i="16"/>
  <c r="G305" i="16"/>
  <c r="G313" i="16"/>
  <c r="G321" i="16"/>
  <c r="G329" i="16"/>
  <c r="G337" i="16"/>
  <c r="G345" i="16"/>
  <c r="G353" i="16"/>
  <c r="G255" i="16"/>
  <c r="G263" i="16"/>
  <c r="G271" i="16"/>
  <c r="G279" i="16"/>
  <c r="G287" i="16"/>
  <c r="G295" i="16"/>
  <c r="G303" i="16"/>
  <c r="G311" i="16"/>
  <c r="G319" i="16"/>
  <c r="G327" i="16"/>
  <c r="G335" i="16"/>
  <c r="G343" i="16"/>
  <c r="G351" i="16"/>
  <c r="G359" i="16"/>
  <c r="G246" i="16"/>
  <c r="G254" i="16"/>
  <c r="G262" i="16"/>
  <c r="G270" i="16"/>
  <c r="G278" i="16"/>
  <c r="G286" i="16"/>
  <c r="G294" i="16"/>
  <c r="G302" i="16"/>
  <c r="G310" i="16"/>
  <c r="G318" i="16"/>
  <c r="G326" i="16"/>
  <c r="G334" i="16"/>
  <c r="G342" i="16"/>
  <c r="G350" i="16"/>
  <c r="G358" i="16"/>
  <c r="G285" i="16"/>
  <c r="G293" i="16"/>
  <c r="G301" i="16"/>
  <c r="G309" i="16"/>
  <c r="G317" i="16"/>
  <c r="G325" i="16"/>
  <c r="G333" i="16"/>
  <c r="G341" i="16"/>
  <c r="G349" i="16"/>
  <c r="G357" i="16"/>
  <c r="G366" i="16"/>
  <c r="G284" i="16"/>
  <c r="G292" i="16"/>
  <c r="G300" i="16"/>
  <c r="G308" i="16"/>
  <c r="G316" i="16"/>
  <c r="G324" i="16"/>
  <c r="G332" i="16"/>
  <c r="G340" i="16"/>
  <c r="G348" i="16"/>
  <c r="G356" i="16"/>
  <c r="G365" i="16"/>
  <c r="G431" i="16"/>
  <c r="G439" i="16"/>
  <c r="G447" i="16"/>
  <c r="G455" i="16"/>
  <c r="G463" i="16"/>
  <c r="G471" i="16"/>
  <c r="G479" i="16"/>
  <c r="G487" i="16"/>
  <c r="G495" i="16"/>
  <c r="G503" i="16"/>
  <c r="G511" i="16"/>
  <c r="G519" i="16"/>
  <c r="G527" i="16"/>
  <c r="G535" i="16"/>
  <c r="G543" i="16"/>
  <c r="G551" i="16"/>
  <c r="G559" i="16"/>
  <c r="G567" i="16"/>
  <c r="G575" i="16"/>
  <c r="G597" i="16"/>
  <c r="G430" i="16"/>
  <c r="G438" i="16"/>
  <c r="G446" i="16"/>
  <c r="G454" i="16"/>
  <c r="G462" i="16"/>
  <c r="G470" i="16"/>
  <c r="G478" i="16"/>
  <c r="G486" i="16"/>
  <c r="G494" i="16"/>
  <c r="G501" i="16"/>
  <c r="G509" i="16"/>
  <c r="G517" i="16"/>
  <c r="G525" i="16"/>
  <c r="G533" i="16"/>
  <c r="G541" i="16"/>
  <c r="G428" i="16"/>
  <c r="G436" i="16"/>
  <c r="G444" i="16"/>
  <c r="G452" i="16"/>
  <c r="G460" i="16"/>
  <c r="G468" i="16"/>
  <c r="G476" i="16"/>
  <c r="G484" i="16"/>
  <c r="G492" i="16"/>
  <c r="G500" i="16"/>
  <c r="G508" i="16"/>
  <c r="G516" i="16"/>
  <c r="G524" i="16"/>
  <c r="G532" i="16"/>
  <c r="G540" i="16"/>
  <c r="G548" i="16"/>
  <c r="G556" i="16"/>
  <c r="G564" i="16"/>
  <c r="G572" i="16"/>
  <c r="G427" i="16"/>
  <c r="G435" i="16"/>
  <c r="G443" i="16"/>
  <c r="G451" i="16"/>
  <c r="G459" i="16"/>
  <c r="G467" i="16"/>
  <c r="G475" i="16"/>
  <c r="G483" i="16"/>
  <c r="G491" i="16"/>
  <c r="G499" i="16"/>
  <c r="G507" i="16"/>
  <c r="G515" i="16"/>
  <c r="G523" i="16"/>
  <c r="G531" i="16"/>
  <c r="G539" i="16"/>
  <c r="G547" i="16"/>
  <c r="G563" i="16"/>
  <c r="G571" i="16"/>
  <c r="G426" i="16"/>
  <c r="G434" i="16"/>
  <c r="G442" i="16"/>
  <c r="G450" i="16"/>
  <c r="G458" i="16"/>
  <c r="G466" i="16"/>
  <c r="G474" i="16"/>
  <c r="G482" i="16"/>
  <c r="G490" i="16"/>
  <c r="G498" i="16"/>
  <c r="G506" i="16"/>
  <c r="G514" i="16"/>
  <c r="G522" i="16"/>
  <c r="G530" i="16"/>
  <c r="G538" i="16"/>
  <c r="G546" i="16"/>
  <c r="G554" i="16"/>
  <c r="G562" i="16"/>
  <c r="G570" i="16"/>
  <c r="G661" i="16"/>
  <c r="G709" i="16"/>
  <c r="G660" i="16"/>
  <c r="G669" i="16"/>
  <c r="G693" i="16"/>
  <c r="G717" i="16"/>
  <c r="G735" i="16"/>
  <c r="G784" i="16"/>
  <c r="G733" i="16"/>
  <c r="G801" i="16"/>
  <c r="G737" i="16"/>
  <c r="G741" i="16"/>
  <c r="G835" i="16"/>
  <c r="G815" i="16"/>
  <c r="G819" i="16"/>
  <c r="G863" i="16"/>
  <c r="G867" i="16"/>
  <c r="G885" i="16"/>
  <c r="G917" i="16"/>
  <c r="G949" i="16"/>
  <c r="G981" i="16"/>
  <c r="G1013" i="16"/>
  <c r="G1045" i="16"/>
  <c r="G869" i="16"/>
  <c r="G901" i="16"/>
  <c r="G933" i="16"/>
  <c r="G965" i="16"/>
  <c r="G997" i="16"/>
  <c r="G1029" i="16"/>
  <c r="G861" i="16"/>
  <c r="A140" i="16" l="1"/>
  <c r="A179" i="16" s="1"/>
  <c r="A220" i="16" s="1"/>
  <c r="A258" i="16" l="1"/>
  <c r="A298" i="16" l="1"/>
  <c r="A340" i="16" l="1"/>
  <c r="A381" i="16" l="1"/>
  <c r="A421" i="16" s="1"/>
  <c r="A458" i="16" s="1"/>
  <c r="A498" i="16" s="1"/>
  <c r="A542" i="16" l="1"/>
  <c r="A580" i="16" s="1"/>
  <c r="A617" i="16" s="1"/>
  <c r="A650" i="16" s="1"/>
  <c r="A686" i="16" s="1"/>
  <c r="A724" i="16" s="1"/>
  <c r="A754" i="16" s="1"/>
  <c r="A786" i="16" s="1"/>
  <c r="A808" i="16" s="1"/>
  <c r="A816" i="16" s="1"/>
  <c r="A830" i="16" s="1"/>
  <c r="G408" i="7" l="1"/>
  <c r="L14" i="7" l="1"/>
  <c r="L15" i="7"/>
  <c r="L16" i="7"/>
  <c r="L17" i="7"/>
  <c r="L18" i="7"/>
  <c r="K13" i="7"/>
  <c r="K408" i="7" l="1"/>
  <c r="L13" i="7"/>
  <c r="L409" i="7" l="1"/>
  <c r="J408" i="7" l="1"/>
  <c r="I7" i="7" s="1"/>
  <c r="L408" i="7" l="1"/>
  <c r="I4" i="7"/>
  <c r="P16" i="7" s="1"/>
  <c r="P14" i="7" l="1"/>
  <c r="P15" i="7"/>
  <c r="P133" i="7"/>
  <c r="P155" i="7"/>
  <c r="P130" i="7"/>
  <c r="P168" i="7"/>
  <c r="P151" i="7"/>
  <c r="P134" i="7"/>
  <c r="P164" i="7"/>
  <c r="P147" i="7"/>
  <c r="P149" i="7"/>
  <c r="P160" i="7"/>
  <c r="P143" i="7"/>
  <c r="P156" i="7"/>
  <c r="P139" i="7"/>
  <c r="P71" i="7"/>
  <c r="P152" i="7"/>
  <c r="P135" i="7"/>
  <c r="P148" i="7"/>
  <c r="P170" i="7"/>
  <c r="P169" i="7"/>
  <c r="P144" i="7"/>
  <c r="P140" i="7"/>
  <c r="P162" i="7"/>
  <c r="P161" i="7"/>
  <c r="P136" i="7"/>
  <c r="P157" i="7"/>
  <c r="P132" i="7"/>
  <c r="P154" i="7"/>
  <c r="P153" i="7"/>
  <c r="P158" i="7"/>
  <c r="P141" i="7"/>
  <c r="P146" i="7"/>
  <c r="P145" i="7"/>
  <c r="P167" i="7"/>
  <c r="P150" i="7"/>
  <c r="P163" i="7"/>
  <c r="P138" i="7"/>
  <c r="P137" i="7"/>
  <c r="P159" i="7"/>
  <c r="P142" i="7"/>
  <c r="P129" i="7"/>
  <c r="P127" i="7"/>
  <c r="P126" i="7"/>
  <c r="P125" i="7"/>
  <c r="P124" i="7"/>
  <c r="P128" i="7"/>
  <c r="P33" i="7"/>
  <c r="P94" i="7"/>
  <c r="P24" i="7"/>
  <c r="P104" i="7"/>
  <c r="P105" i="7"/>
  <c r="P119" i="7"/>
  <c r="P95" i="7"/>
  <c r="P103" i="7"/>
  <c r="P111" i="7"/>
  <c r="P93" i="7"/>
  <c r="P58" i="7"/>
  <c r="P117" i="7"/>
  <c r="P98" i="7"/>
  <c r="P91" i="7"/>
  <c r="P100" i="7"/>
  <c r="P109" i="7"/>
  <c r="P112" i="7"/>
  <c r="P120" i="7"/>
  <c r="P118" i="7"/>
  <c r="P53" i="7"/>
  <c r="P121" i="7"/>
  <c r="P115" i="7"/>
  <c r="P106" i="7"/>
  <c r="P113" i="7"/>
  <c r="P97" i="7"/>
  <c r="P114" i="7"/>
  <c r="P122" i="7"/>
  <c r="P108" i="7"/>
  <c r="P123" i="7"/>
  <c r="P110" i="7"/>
  <c r="P92" i="7"/>
  <c r="P102" i="7"/>
  <c r="P107" i="7"/>
  <c r="P101" i="7"/>
  <c r="P116" i="7"/>
  <c r="P96" i="7"/>
  <c r="P99" i="7"/>
  <c r="P39" i="7"/>
  <c r="P41" i="7"/>
  <c r="P36" i="7"/>
  <c r="P29" i="7"/>
  <c r="P46" i="7"/>
  <c r="P31" i="7"/>
  <c r="P48" i="7"/>
  <c r="P64" i="7"/>
  <c r="P72" i="7"/>
  <c r="P56" i="7"/>
  <c r="P47" i="7"/>
  <c r="P35" i="7"/>
  <c r="P19" i="7"/>
  <c r="P25" i="7"/>
  <c r="P88" i="7"/>
  <c r="P63" i="7"/>
  <c r="P78" i="7"/>
  <c r="P55" i="7"/>
  <c r="P37" i="7"/>
  <c r="P42" i="7"/>
  <c r="P84" i="7"/>
  <c r="P73" i="7"/>
  <c r="P80" i="7"/>
  <c r="P38" i="7"/>
  <c r="P85" i="7"/>
  <c r="P67" i="7"/>
  <c r="P76" i="7"/>
  <c r="P20" i="7"/>
  <c r="P82" i="7"/>
  <c r="P52" i="7"/>
  <c r="P62" i="7"/>
  <c r="P70" i="7"/>
  <c r="P86" i="7"/>
  <c r="P32" i="7"/>
  <c r="P26" i="7"/>
  <c r="P81" i="7"/>
  <c r="P87" i="7"/>
  <c r="P79" i="7"/>
  <c r="P45" i="7"/>
  <c r="P22" i="7"/>
  <c r="P28" i="7"/>
  <c r="P40" i="7"/>
  <c r="P44" i="7"/>
  <c r="P21" i="7"/>
  <c r="P43" i="7"/>
  <c r="P49" i="7"/>
  <c r="P23" i="7"/>
  <c r="P59" i="7"/>
  <c r="P30" i="7"/>
  <c r="P27" i="7"/>
  <c r="P69" i="7"/>
  <c r="P34" i="7"/>
  <c r="P54" i="7"/>
  <c r="P74" i="7"/>
  <c r="P66" i="7"/>
  <c r="P60" i="7"/>
  <c r="P90" i="7"/>
  <c r="P77" i="7"/>
  <c r="P75" i="7"/>
  <c r="P83" i="7"/>
  <c r="P61" i="7"/>
  <c r="P68" i="7"/>
  <c r="P57" i="7"/>
  <c r="P51" i="7"/>
  <c r="P65" i="7"/>
  <c r="P50" i="7"/>
  <c r="P89" i="7"/>
  <c r="P17" i="7"/>
  <c r="P18" i="7"/>
  <c r="I5" i="7"/>
  <c r="L12" i="7"/>
  <c r="J4" i="7"/>
  <c r="I147" i="7" l="1"/>
  <c r="I156" i="7"/>
  <c r="I164" i="7"/>
  <c r="I78" i="7"/>
  <c r="K6" i="7"/>
  <c r="I6" i="7"/>
  <c r="J6" i="7" s="1"/>
  <c r="K5" i="7"/>
  <c r="I31" i="7"/>
  <c r="U13" i="7"/>
  <c r="I39" i="7"/>
  <c r="I33" i="7"/>
  <c r="I41" i="7"/>
  <c r="I36" i="7"/>
  <c r="I29" i="7"/>
  <c r="I46" i="7"/>
  <c r="I19" i="7"/>
  <c r="I48" i="7"/>
  <c r="I47" i="7"/>
  <c r="I37" i="7"/>
  <c r="I24" i="7"/>
  <c r="I35" i="7"/>
  <c r="I25" i="7"/>
  <c r="I26" i="7"/>
  <c r="I42" i="7"/>
  <c r="I40" i="7"/>
  <c r="I51" i="7"/>
  <c r="I27" i="7"/>
  <c r="I28" i="7"/>
  <c r="I43" i="7"/>
  <c r="I38" i="7"/>
  <c r="I34" i="7"/>
  <c r="I21" i="7"/>
  <c r="I45" i="7"/>
  <c r="I44" i="7"/>
  <c r="I49" i="7"/>
  <c r="I23" i="7"/>
  <c r="I22" i="7"/>
  <c r="I20" i="7"/>
  <c r="I50" i="7"/>
  <c r="I30" i="7"/>
  <c r="I32" i="7"/>
  <c r="I18" i="7"/>
  <c r="I15" i="7"/>
  <c r="I17" i="7"/>
  <c r="I16" i="7"/>
  <c r="I14" i="7"/>
  <c r="I237" i="7"/>
  <c r="I180" i="7"/>
  <c r="I132" i="7"/>
  <c r="I212" i="7"/>
  <c r="I172" i="7"/>
  <c r="I220" i="7"/>
  <c r="I188" i="7"/>
  <c r="I148" i="7"/>
  <c r="I196" i="7"/>
  <c r="I140" i="7"/>
  <c r="I204" i="7"/>
  <c r="I236" i="7"/>
  <c r="I226" i="7"/>
  <c r="I145" i="7"/>
  <c r="I201" i="7"/>
  <c r="I186" i="7"/>
  <c r="I151" i="7"/>
  <c r="I174" i="7"/>
  <c r="I209" i="7"/>
  <c r="I217" i="7"/>
  <c r="I181" i="7"/>
  <c r="I193" i="7"/>
  <c r="I227" i="7"/>
  <c r="I155" i="7"/>
  <c r="I218" i="7"/>
  <c r="I210" i="7"/>
  <c r="I171" i="7"/>
  <c r="I162" i="7"/>
  <c r="I137" i="7"/>
  <c r="I208" i="7"/>
  <c r="I138" i="7"/>
  <c r="I143" i="7"/>
  <c r="I166" i="7"/>
  <c r="I200" i="7"/>
  <c r="I176" i="7"/>
  <c r="I173" i="7"/>
  <c r="I192" i="7"/>
  <c r="I211" i="7"/>
  <c r="I139" i="7"/>
  <c r="I135" i="7"/>
  <c r="I197" i="7"/>
  <c r="I225" i="7"/>
  <c r="I94" i="7"/>
  <c r="I168" i="7"/>
  <c r="I233" i="7"/>
  <c r="I230" i="7"/>
  <c r="I158" i="7"/>
  <c r="I160" i="7"/>
  <c r="I144" i="7"/>
  <c r="I165" i="7"/>
  <c r="I152" i="7"/>
  <c r="I203" i="7"/>
  <c r="I131" i="7"/>
  <c r="I215" i="7"/>
  <c r="I194" i="7"/>
  <c r="I185" i="7"/>
  <c r="I178" i="7"/>
  <c r="I231" i="7"/>
  <c r="I216" i="7"/>
  <c r="I222" i="7"/>
  <c r="I150" i="7"/>
  <c r="I199" i="7"/>
  <c r="I207" i="7"/>
  <c r="I157" i="7"/>
  <c r="I223" i="7"/>
  <c r="I195" i="7"/>
  <c r="I190" i="7"/>
  <c r="I177" i="7"/>
  <c r="I232" i="7"/>
  <c r="I191" i="7"/>
  <c r="I184" i="7"/>
  <c r="I214" i="7"/>
  <c r="I142" i="7"/>
  <c r="I213" i="7"/>
  <c r="I167" i="7"/>
  <c r="I149" i="7"/>
  <c r="I175" i="7"/>
  <c r="I187" i="7"/>
  <c r="I161" i="7"/>
  <c r="I202" i="7"/>
  <c r="I205" i="7"/>
  <c r="I169" i="7"/>
  <c r="I88" i="7"/>
  <c r="I159" i="7"/>
  <c r="I136" i="7"/>
  <c r="I206" i="7"/>
  <c r="I134" i="7"/>
  <c r="I141" i="7"/>
  <c r="I221" i="7"/>
  <c r="I133" i="7"/>
  <c r="I229" i="7"/>
  <c r="I179" i="7"/>
  <c r="I153" i="7"/>
  <c r="I170" i="7"/>
  <c r="I234" i="7"/>
  <c r="I183" i="7"/>
  <c r="I182" i="7"/>
  <c r="I154" i="7"/>
  <c r="I146" i="7"/>
  <c r="I189" i="7"/>
  <c r="I130" i="7"/>
  <c r="I235" i="7"/>
  <c r="I163" i="7"/>
  <c r="I126" i="7"/>
  <c r="I86" i="7"/>
  <c r="I89" i="7"/>
  <c r="I98" i="7"/>
  <c r="I115" i="7"/>
  <c r="I102" i="7"/>
  <c r="I119" i="7"/>
  <c r="I81" i="7"/>
  <c r="I90" i="7"/>
  <c r="I107" i="7"/>
  <c r="I124" i="7"/>
  <c r="I111" i="7"/>
  <c r="I128" i="7"/>
  <c r="I74" i="7"/>
  <c r="I82" i="7"/>
  <c r="I99" i="7"/>
  <c r="I116" i="7"/>
  <c r="I103" i="7"/>
  <c r="I120" i="7"/>
  <c r="I129" i="7"/>
  <c r="I83" i="7"/>
  <c r="I91" i="7"/>
  <c r="I108" i="7"/>
  <c r="I125" i="7"/>
  <c r="I112" i="7"/>
  <c r="I121" i="7"/>
  <c r="I75" i="7"/>
  <c r="I92" i="7"/>
  <c r="I100" i="7"/>
  <c r="I117" i="7"/>
  <c r="I95" i="7"/>
  <c r="I113" i="7"/>
  <c r="I122" i="7"/>
  <c r="I84" i="7"/>
  <c r="I101" i="7"/>
  <c r="I109" i="7"/>
  <c r="I87" i="7"/>
  <c r="I104" i="7"/>
  <c r="I114" i="7"/>
  <c r="I76" i="7"/>
  <c r="I93" i="7"/>
  <c r="I79" i="7"/>
  <c r="I96" i="7"/>
  <c r="I105" i="7"/>
  <c r="I123" i="7"/>
  <c r="I85" i="7"/>
  <c r="I118" i="7"/>
  <c r="I80" i="7"/>
  <c r="I97" i="7"/>
  <c r="I106" i="7"/>
  <c r="I77" i="7"/>
  <c r="I110" i="7"/>
  <c r="I127" i="7"/>
  <c r="I64" i="7"/>
  <c r="I56" i="7"/>
  <c r="I71" i="7"/>
  <c r="I63" i="7"/>
  <c r="I55" i="7"/>
  <c r="I72" i="7"/>
  <c r="I52" i="7"/>
  <c r="I70" i="7"/>
  <c r="I66" i="7"/>
  <c r="I67" i="7"/>
  <c r="I68" i="7"/>
  <c r="I61" i="7"/>
  <c r="I73" i="7"/>
  <c r="I62" i="7"/>
  <c r="I57" i="7"/>
  <c r="I60" i="7"/>
  <c r="I59" i="7"/>
  <c r="I58" i="7"/>
  <c r="I69" i="7"/>
  <c r="I65" i="7"/>
  <c r="I54" i="7"/>
  <c r="I53" i="7"/>
  <c r="P10" i="7"/>
  <c r="J5" i="7"/>
  <c r="V13" i="7" l="1"/>
  <c r="Y13" i="7"/>
  <c r="I8" i="7"/>
  <c r="I9" i="7" s="1"/>
  <c r="I408" i="7"/>
  <c r="A289" i="7" l="1"/>
  <c r="A268" i="7"/>
  <c r="A340" i="7"/>
  <c r="A401" i="7"/>
  <c r="A352" i="7"/>
  <c r="A250" i="7"/>
  <c r="A249" i="7"/>
  <c r="A376" i="7"/>
  <c r="A314" i="7"/>
  <c r="A334" i="7"/>
  <c r="A403" i="7"/>
  <c r="A277" i="7"/>
  <c r="A255" i="7"/>
  <c r="A339" i="7"/>
  <c r="A395" i="7"/>
  <c r="A357" i="7"/>
  <c r="A293" i="7"/>
  <c r="A402" i="7"/>
  <c r="A325" i="7"/>
  <c r="A295" i="7"/>
  <c r="A385" i="7"/>
  <c r="A270" i="7"/>
  <c r="A347" i="7"/>
  <c r="A260" i="7"/>
  <c r="A377" i="7"/>
  <c r="A303" i="7"/>
  <c r="A244" i="7"/>
  <c r="A368" i="7"/>
  <c r="A349" i="7"/>
  <c r="A354" i="7"/>
  <c r="A355" i="7"/>
  <c r="A333" i="7"/>
  <c r="A353" i="7"/>
  <c r="A359" i="7"/>
  <c r="A252" i="7"/>
  <c r="A361" i="7"/>
  <c r="A367" i="7"/>
  <c r="A382" i="7"/>
  <c r="A311" i="7"/>
  <c r="A386" i="7"/>
  <c r="A338" i="7"/>
  <c r="A279" i="7"/>
  <c r="A387" i="7"/>
  <c r="A285" i="7"/>
  <c r="A396" i="7"/>
  <c r="A262" i="7"/>
  <c r="A280" i="7"/>
  <c r="A363" i="7"/>
  <c r="A406" i="7"/>
  <c r="A379" i="7"/>
  <c r="A378" i="7"/>
  <c r="A241" i="7"/>
  <c r="A297" i="7"/>
  <c r="A327" i="7"/>
  <c r="A320" i="7"/>
  <c r="A291" i="7"/>
  <c r="A296" i="7"/>
  <c r="A324" i="7"/>
  <c r="A251" i="7"/>
  <c r="A300" i="7"/>
  <c r="A374" i="7"/>
  <c r="A323" i="7"/>
  <c r="A369" i="7"/>
  <c r="A370" i="7"/>
  <c r="A245" i="7"/>
  <c r="A375" i="7"/>
  <c r="A309" i="7"/>
  <c r="A301" i="7"/>
  <c r="A283" i="7"/>
  <c r="A341" i="7"/>
  <c r="A381" i="7"/>
  <c r="A247" i="7"/>
  <c r="A298" i="7"/>
  <c r="A290" i="7"/>
  <c r="A365" i="7"/>
  <c r="A335" i="7"/>
  <c r="A383" i="7"/>
  <c r="A321" i="7"/>
  <c r="A265" i="7"/>
  <c r="A253" i="7"/>
  <c r="A319" i="7"/>
  <c r="A358" i="7"/>
  <c r="A332" i="7"/>
  <c r="A398" i="7"/>
  <c r="A302" i="7"/>
  <c r="A273" i="7"/>
  <c r="A254" i="7"/>
  <c r="A257" i="7"/>
  <c r="A313" i="7"/>
  <c r="A271" i="7"/>
  <c r="A312" i="7"/>
  <c r="A284" i="7"/>
  <c r="A389" i="7"/>
  <c r="A400" i="7"/>
  <c r="A326" i="7"/>
  <c r="A329" i="7"/>
  <c r="A263" i="7"/>
  <c r="A243" i="7"/>
  <c r="A306" i="7"/>
  <c r="A258" i="7"/>
  <c r="A350" i="7"/>
  <c r="A261" i="7"/>
  <c r="A344" i="7"/>
  <c r="A373" i="7"/>
  <c r="A364" i="7"/>
  <c r="A310" i="7"/>
  <c r="A242" i="7"/>
  <c r="A282" i="7"/>
  <c r="A278" i="7"/>
  <c r="A399" i="7"/>
  <c r="A328" i="7"/>
  <c r="A343" i="7"/>
  <c r="A362" i="7"/>
  <c r="A330" i="7"/>
  <c r="A405" i="7"/>
  <c r="A372" i="7"/>
  <c r="A356" i="7"/>
  <c r="A281" i="7"/>
  <c r="A315" i="7"/>
  <c r="A348" i="7"/>
  <c r="A351" i="7"/>
  <c r="A269" i="7"/>
  <c r="A274" i="7"/>
  <c r="A404" i="7"/>
  <c r="A264" i="7"/>
  <c r="A388" i="7"/>
  <c r="A307" i="7"/>
  <c r="A392" i="7"/>
  <c r="A292" i="7"/>
  <c r="A371" i="7"/>
  <c r="A308" i="7"/>
  <c r="A380" i="7"/>
  <c r="A318" i="7"/>
  <c r="A267" i="7"/>
  <c r="A294" i="7"/>
  <c r="A286" i="7"/>
  <c r="A360" i="7"/>
  <c r="A336" i="7"/>
  <c r="A304" i="7"/>
  <c r="A287" i="7"/>
  <c r="A272" i="7"/>
  <c r="A256" i="7"/>
  <c r="A246" i="7"/>
  <c r="A390" i="7"/>
  <c r="A299" i="7"/>
  <c r="A337" i="7"/>
  <c r="A342" i="7"/>
  <c r="A397" i="7"/>
  <c r="A305" i="7"/>
  <c r="A393" i="7"/>
  <c r="A384" i="7"/>
  <c r="A346" i="7"/>
  <c r="A248" i="7"/>
  <c r="A331" i="7"/>
  <c r="A317" i="7"/>
  <c r="A322" i="7"/>
  <c r="A276" i="7"/>
  <c r="A266" i="7"/>
  <c r="A259" i="7"/>
  <c r="A288" i="7"/>
  <c r="A275" i="7"/>
  <c r="A391" i="7"/>
  <c r="A366" i="7"/>
  <c r="A394" i="7"/>
  <c r="A316" i="7"/>
  <c r="A345" i="7"/>
  <c r="A13" i="7" l="1"/>
  <c r="M408" i="7" l="1" a="1"/>
  <c r="M408" i="7" s="1"/>
  <c r="S40" i="7" l="1"/>
  <c r="S39" i="7"/>
  <c r="S38" i="7"/>
  <c r="S37" i="7"/>
  <c r="S36" i="7"/>
  <c r="S35" i="7"/>
  <c r="S34" i="7"/>
  <c r="S33" i="7"/>
  <c r="S32" i="7"/>
  <c r="S31" i="7"/>
  <c r="U31" i="7" s="1"/>
  <c r="S30" i="7"/>
  <c r="S29" i="7"/>
  <c r="U29" i="7" s="1"/>
  <c r="S28" i="7"/>
  <c r="S27" i="7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R14" i="7" s="1"/>
  <c r="R26" i="7" l="1"/>
  <c r="V26" i="7" s="1"/>
  <c r="U26" i="7"/>
  <c r="Y26" i="7" s="1"/>
  <c r="W26" i="7"/>
  <c r="R27" i="7"/>
  <c r="U27" i="7"/>
  <c r="Y27" i="7" s="1"/>
  <c r="W27" i="7"/>
  <c r="R28" i="7"/>
  <c r="U28" i="7"/>
  <c r="Y28" i="7" s="1"/>
  <c r="W28" i="7"/>
  <c r="T30" i="7"/>
  <c r="X30" i="7" s="1"/>
  <c r="R30" i="7"/>
  <c r="V30" i="7" s="1"/>
  <c r="U30" i="7"/>
  <c r="Y30" i="7" s="1"/>
  <c r="W30" i="7"/>
  <c r="R15" i="7"/>
  <c r="W15" i="7"/>
  <c r="U15" i="7"/>
  <c r="Y15" i="7" s="1"/>
  <c r="U14" i="7"/>
  <c r="Y14" i="7" s="1"/>
  <c r="W14" i="7"/>
  <c r="R17" i="7"/>
  <c r="W17" i="7"/>
  <c r="U17" i="7"/>
  <c r="Y17" i="7" s="1"/>
  <c r="R18" i="7"/>
  <c r="U18" i="7"/>
  <c r="Y18" i="7" s="1"/>
  <c r="W18" i="7"/>
  <c r="R25" i="7"/>
  <c r="U25" i="7"/>
  <c r="Y25" i="7" s="1"/>
  <c r="W25" i="7"/>
  <c r="R16" i="7"/>
  <c r="W16" i="7"/>
  <c r="U16" i="7"/>
  <c r="Y16" i="7" s="1"/>
  <c r="T32" i="7"/>
  <c r="X32" i="7" s="1"/>
  <c r="R32" i="7"/>
  <c r="V32" i="7" s="1"/>
  <c r="U32" i="7"/>
  <c r="Y32" i="7" s="1"/>
  <c r="W32" i="7"/>
  <c r="R19" i="7"/>
  <c r="W19" i="7"/>
  <c r="U19" i="7"/>
  <c r="Y19" i="7" s="1"/>
  <c r="R20" i="7"/>
  <c r="W20" i="7"/>
  <c r="U20" i="7"/>
  <c r="Y20" i="7" s="1"/>
  <c r="R21" i="7"/>
  <c r="U21" i="7"/>
  <c r="Y21" i="7" s="1"/>
  <c r="W21" i="7"/>
  <c r="R22" i="7"/>
  <c r="W22" i="7"/>
  <c r="U22" i="7"/>
  <c r="Y22" i="7" s="1"/>
  <c r="R23" i="7"/>
  <c r="U23" i="7"/>
  <c r="Y23" i="7" s="1"/>
  <c r="W23" i="7"/>
  <c r="R24" i="7"/>
  <c r="W24" i="7"/>
  <c r="U24" i="7"/>
  <c r="Y24" i="7" s="1"/>
  <c r="V21" i="7" l="1"/>
  <c r="V18" i="7"/>
  <c r="V24" i="7"/>
  <c r="V23" i="7"/>
  <c r="V22" i="7"/>
  <c r="V19" i="7"/>
  <c r="V28" i="7"/>
  <c r="V15" i="7"/>
  <c r="V16" i="7"/>
  <c r="V25" i="7"/>
  <c r="V17" i="7"/>
  <c r="W12" i="7"/>
  <c r="V14" i="7"/>
  <c r="V20" i="7"/>
  <c r="V27" i="7"/>
  <c r="V12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Nghiaht</author>
    <author>nghiaht</author>
  </authors>
  <commentList>
    <comment ref="D3" authorId="0" shapeId="0" xr:uid="{00000000-0006-0000-0000-000001000000}">
      <text>
        <r>
          <rPr>
            <b/>
            <sz val="9"/>
            <rFont val="Tahoma"/>
            <family val="2"/>
            <charset val="163"/>
          </rPr>
          <t>Nghiaht:</t>
        </r>
        <r>
          <rPr>
            <sz val="9"/>
            <rFont val="Tahoma"/>
            <family val="2"/>
            <charset val="163"/>
          </rPr>
          <t xml:space="preserve">
Nhập tên Khách hàng</t>
        </r>
      </text>
    </comment>
    <comment ref="I3" authorId="0" shapeId="0" xr:uid="{00000000-0006-0000-0000-000002000000}">
      <text>
        <r>
          <rPr>
            <b/>
            <sz val="9"/>
            <rFont val="Tahoma"/>
            <family val="2"/>
            <charset val="163"/>
          </rPr>
          <t>Nghiaht:</t>
        </r>
        <r>
          <rPr>
            <sz val="9"/>
            <rFont val="Tahoma"/>
            <family val="2"/>
            <charset val="163"/>
          </rPr>
          <t xml:space="preserve">
Nhập số lượng sản phẩm chuyền sản xuất</t>
        </r>
      </text>
    </comment>
    <comment ref="D4" authorId="0" shapeId="0" xr:uid="{00000000-0006-0000-0000-000003000000}">
      <text>
        <r>
          <rPr>
            <b/>
            <sz val="9"/>
            <rFont val="Tahoma"/>
            <family val="2"/>
            <charset val="163"/>
          </rPr>
          <t>Nghiaht:</t>
        </r>
        <r>
          <rPr>
            <sz val="9"/>
            <rFont val="Tahoma"/>
            <family val="2"/>
            <charset val="163"/>
          </rPr>
          <t xml:space="preserve">
Nhập tên Mã Hàng</t>
        </r>
      </text>
    </comment>
    <comment ref="D5" authorId="0" shapeId="0" xr:uid="{00000000-0006-0000-0000-000004000000}">
      <text>
        <r>
          <rPr>
            <b/>
            <sz val="9"/>
            <rFont val="Tahoma"/>
            <family val="2"/>
            <charset val="163"/>
          </rPr>
          <t>Nghiaht:</t>
        </r>
        <r>
          <rPr>
            <sz val="9"/>
            <rFont val="Tahoma"/>
            <family val="2"/>
            <charset val="163"/>
          </rPr>
          <t xml:space="preserve">
Nhập tên chuyền sản xuất</t>
        </r>
      </text>
    </comment>
    <comment ref="D7" authorId="0" shapeId="0" xr:uid="{00000000-0006-0000-0000-000005000000}">
      <text>
        <r>
          <rPr>
            <b/>
            <sz val="9"/>
            <rFont val="Tahoma"/>
            <family val="2"/>
            <charset val="163"/>
          </rPr>
          <t>Nghiaht:</t>
        </r>
        <r>
          <rPr>
            <sz val="9"/>
            <rFont val="Tahoma"/>
            <family val="2"/>
            <charset val="163"/>
          </rPr>
          <t xml:space="preserve">
Nhập tổng nhân sự chuyền</t>
        </r>
      </text>
    </comment>
    <comment ref="D8" authorId="0" shapeId="0" xr:uid="{00000000-0006-0000-0000-000006000000}">
      <text>
        <r>
          <rPr>
            <b/>
            <sz val="9"/>
            <rFont val="Tahoma"/>
            <family val="2"/>
            <charset val="163"/>
          </rPr>
          <t>Nghiaht:</t>
        </r>
        <r>
          <rPr>
            <sz val="9"/>
            <rFont val="Tahoma"/>
            <family val="2"/>
            <charset val="163"/>
          </rPr>
          <t xml:space="preserve">
Nếu muốn tính NS theo nhịp SX, thì nhập nhịp ở ô P1, Nhập tổng nhân sự tham gia sản xuất trực tiếp. Trừ Quản lý</t>
        </r>
      </text>
    </comment>
    <comment ref="D9" authorId="0" shapeId="0" xr:uid="{00000000-0006-0000-0000-000007000000}">
      <text>
        <r>
          <rPr>
            <b/>
            <sz val="9"/>
            <rFont val="Tahoma"/>
            <family val="2"/>
            <charset val="163"/>
          </rPr>
          <t>Nghiaht:</t>
        </r>
        <r>
          <rPr>
            <sz val="9"/>
            <rFont val="Tahoma"/>
            <family val="2"/>
            <charset val="163"/>
          </rPr>
          <t xml:space="preserve">
Nhập số giờ làm việc trong ngày</t>
        </r>
      </text>
    </comment>
    <comment ref="R9" authorId="0" shapeId="0" xr:uid="{6BAEAEBF-5324-4299-8D3B-02DEC4011859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Nhu cầu theo qui trình để tổng hợp MMTB theo tháng - Quý</t>
        </r>
      </text>
    </comment>
    <comment ref="A11" authorId="0" shapeId="0" xr:uid="{C58EAB9C-181A-4AC1-9056-5F1DD7500AB4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Cột này đánh số Mã Công đoạn và tên CN để điền bên sheet PhancongLd
=IF(M13="","",COUNTIFS($M$13:M13,M13,$G$13:G13,"&gt;0"))</t>
        </r>
      </text>
    </comment>
    <comment ref="B11" authorId="0" shapeId="0" xr:uid="{00000000-0006-0000-0000-000008000000}">
      <text>
        <r>
          <rPr>
            <b/>
            <sz val="9"/>
            <rFont val="Tahoma"/>
            <family val="2"/>
            <charset val="163"/>
          </rPr>
          <t>Nghiaht:</t>
        </r>
        <r>
          <rPr>
            <sz val="9"/>
            <rFont val="Tahoma"/>
            <family val="2"/>
            <charset val="163"/>
          </rPr>
          <t xml:space="preserve">
Mã công đoạn không trùng nhau,đây là mã số CĐ tính lương. Nếu thấy tô vàng là trùng nhau</t>
        </r>
      </text>
    </comment>
    <comment ref="C11" authorId="1" shapeId="0" xr:uid="{00000000-0006-0000-0000-000009000000}">
      <text>
        <r>
          <rPr>
            <b/>
            <sz val="8"/>
            <rFont val="Tahoma"/>
            <family val="2"/>
            <charset val="163"/>
          </rPr>
          <t>nghiaht:</t>
        </r>
        <r>
          <rPr>
            <sz val="8"/>
            <rFont val="Tahoma"/>
            <family val="2"/>
            <charset val="163"/>
          </rPr>
          <t xml:space="preserve">
Nhập dử liệu tên Công đoạn vào</t>
        </r>
      </text>
    </comment>
    <comment ref="D1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Bậc 1 Gọt lộn,Đo cắt..
Bậc 2 Thợ Phụ, Ủi,Xén
Bậc 3 Vắt sổ 3 chỉ,4 Chỉ chi tiết rời
Bậc 4 VS4C,VS5C,1K ĐH,Tra mí diểu
Bậc 5 Đúp,Tra vành nón,Diểu TP 1 lớp
Bậc 6 Tra DK,Đúp áo 2 lớp, Diểu 2 Lớp, May lai 2 lớp</t>
        </r>
      </text>
    </comment>
    <comment ref="E11" authorId="0" shapeId="0" xr:uid="{BA31323B-A725-48F8-821E-2E99E36D5EE9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BP IE nhập theo QT : cự ly máy, cử chuyên dùng, Phụ trợ </t>
        </r>
      </text>
    </comment>
    <comment ref="F11" authorId="0" shapeId="0" xr:uid="{D59B3478-C710-4C16-B3A7-86BBCAE3519B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Click chọn MMTB trong danh sách có sẳn. Nếu thiếu mở Sheet ẩn CodeMMTB thêm vào</t>
        </r>
      </text>
    </comment>
    <comment ref="G11" authorId="0" shapeId="0" xr:uid="{D62CB282-B9ED-44D6-8BF2-F01062486AA5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SAM do IE Cty cung cấp theo Giá CM truy xuất bên Quy Trình</t>
        </r>
      </text>
    </comment>
    <comment ref="H1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Lấy bên bảng bậc thợ từ U:AA để nhân hệ số đơn giá
=IFERROR(IF(OR(D13=0,B13=0),"",INDEX($AA$2:$AG$2,MATCH(D13,$AA$1:$AG$1,0))),"")</t>
        </r>
      </text>
    </comment>
    <comment ref="I1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Nhân sự của từng công đoạn</t>
        </r>
      </text>
    </comment>
    <comment ref="J11" authorId="1" shapeId="0" xr:uid="{00000000-0006-0000-0000-00000E000000}">
      <text>
        <r>
          <rPr>
            <b/>
            <sz val="8"/>
            <rFont val="Tahoma"/>
            <family val="2"/>
            <charset val="163"/>
          </rPr>
          <t>nghiaht:</t>
        </r>
        <r>
          <rPr>
            <sz val="8"/>
            <rFont val="Tahoma"/>
            <family val="2"/>
            <charset val="163"/>
          </rPr>
          <t xml:space="preserve">
Đơn giá = SAM X Giá Đồng/giây
Bấm chọn chế độ Đgiá SAM Hay Đgiá CBC</t>
        </r>
      </text>
    </comment>
    <comment ref="K11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Nhận hiệu suất mong muốn để xếp chuyền đồng loạt. Nếu cần từng máy thì nhập vào từng công đoạn</t>
        </r>
      </text>
    </comment>
    <comment ref="L11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SAM qui đổi theo hiệu suất khi xếp chuyền giảm được sai biệt lớn cũng như tính Lương, hạn chế SAM Cty không sát thực tế</t>
        </r>
      </text>
    </comment>
    <comment ref="M11" authorId="0" shapeId="0" xr:uid="{8B44B413-ADF0-48B0-B8AF-1133ACE85C37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Nhập Tên Công nhân may công đoạn vào</t>
        </r>
      </text>
    </comment>
    <comment ref="N11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Nhập Thời Gian CBC vào để tính CBC</t>
        </r>
      </text>
    </comment>
    <comment ref="P11" authorId="0" shapeId="0" xr:uid="{F511F21B-7324-4E3A-B4B9-144BCA35460B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Hiệu suất sử dụng máy theo SAM. Cung cấp cân đối máy hằng năm</t>
        </r>
      </text>
    </comment>
    <comment ref="R11" authorId="0" shapeId="0" xr:uid="{EA6BE9C8-20E4-4110-A40F-BED352E11786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Stt tự động</t>
        </r>
      </text>
    </comment>
    <comment ref="S11" authorId="0" shapeId="0" xr:uid="{DAB6ECA3-D9D0-4F0A-81A2-4DCA29870C47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Công thức mãng tự điền MMTB</t>
        </r>
      </text>
    </comment>
    <comment ref="T11" authorId="0" shapeId="0" xr:uid="{00000000-0006-0000-0000-000013000000}">
      <text>
        <r>
          <rPr>
            <b/>
            <sz val="9"/>
            <rFont val="Tahoma"/>
            <family val="2"/>
            <charset val="163"/>
          </rPr>
          <t>Nghiaht:</t>
        </r>
        <r>
          <rPr>
            <sz val="9"/>
            <rFont val="Tahoma"/>
            <family val="2"/>
            <charset val="163"/>
          </rPr>
          <t xml:space="preserve">
Nếu chọn Code MMTB nó sẽ lấy cột Code MMTB, ngược lại nó lấy Nhu Cầu CC+DC,MMTB</t>
        </r>
      </text>
    </comment>
    <comment ref="U11" authorId="0" shapeId="0" xr:uid="{00000000-0006-0000-0000-000014000000}">
      <text>
        <r>
          <rPr>
            <b/>
            <sz val="9"/>
            <rFont val="Tahoma"/>
            <family val="2"/>
            <charset val="163"/>
          </rPr>
          <t>Nghiaht:</t>
        </r>
        <r>
          <rPr>
            <sz val="9"/>
            <rFont val="Tahoma"/>
            <family val="2"/>
            <charset val="163"/>
          </rPr>
          <t xml:space="preserve">
Cộng tổng thời gian / chia cho nhịp sản xuất = Slg máy</t>
        </r>
      </text>
    </comment>
    <comment ref="V11" authorId="0" shapeId="0" xr:uid="{00000000-0006-0000-0000-000015000000}">
      <text>
        <r>
          <rPr>
            <b/>
            <sz val="9"/>
            <rFont val="Tahoma"/>
            <family val="2"/>
            <charset val="163"/>
          </rPr>
          <t>Nghiaht:</t>
        </r>
        <r>
          <rPr>
            <sz val="9"/>
            <rFont val="Tahoma"/>
            <family val="2"/>
            <charset val="163"/>
          </rPr>
          <t xml:space="preserve">
Làm tròn Slg máy cần dùng</t>
        </r>
      </text>
    </comment>
    <comment ref="W11" authorId="0" shapeId="0" xr:uid="{BE78BF1A-637F-4C02-BDDB-5573F298DFBF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Hiệu suất sử dụng máy theo SAM. Cung cấp cân đối máy hằng năm</t>
        </r>
      </text>
    </comment>
    <comment ref="K12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Nhập hiệu suất cần đạt theo kế hoạch để sắp xếp chuyền layout. Nếu bỏ trống nó sẽ lấy SAM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Nghiaht</author>
    <author>Huynh Trong Nghia</author>
  </authors>
  <commentList>
    <comment ref="K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Tổng hợp đánh giá tay nghề sử dụng máy</t>
        </r>
      </text>
    </comment>
    <comment ref="AL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Tay nghề sử dụng máy</t>
        </r>
      </text>
    </comment>
    <comment ref="BF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Tay Nghề Thực hiện May các công đoạn</t>
        </r>
      </text>
    </comment>
    <comment ref="C6" authorId="1" shapeId="0" xr:uid="{00000000-0006-0000-0300-000004000000}">
      <text>
        <r>
          <rPr>
            <b/>
            <sz val="9"/>
            <color indexed="81"/>
            <rFont val="Tahoma"/>
            <family val="2"/>
          </rPr>
          <t>Huynh Trong Nghia:</t>
        </r>
        <r>
          <rPr>
            <sz val="9"/>
            <color indexed="81"/>
            <rFont val="Tahoma"/>
            <family val="2"/>
          </rPr>
          <t xml:space="preserve">
Nhập mã số vào, không cần gỏ số 0 ở đầu.
Nếu có CN mới vào thì gỏ tiếp tục phía dưới</t>
        </r>
      </text>
    </comment>
    <comment ref="D6" authorId="1" shapeId="0" xr:uid="{00000000-0006-0000-0300-000005000000}">
      <text>
        <r>
          <rPr>
            <b/>
            <sz val="9"/>
            <color indexed="81"/>
            <rFont val="Tahoma"/>
            <family val="2"/>
          </rPr>
          <t>Huynh Trong Nghia:</t>
        </r>
        <r>
          <rPr>
            <sz val="9"/>
            <color indexed="81"/>
            <rFont val="Tahoma"/>
            <family val="2"/>
          </rPr>
          <t xml:space="preserve">
Nhập Họ tên vào</t>
        </r>
      </text>
    </comment>
    <comment ref="E6" authorId="1" shapeId="0" xr:uid="{00000000-0006-0000-0300-000006000000}">
      <text>
        <r>
          <rPr>
            <b/>
            <sz val="9"/>
            <color indexed="81"/>
            <rFont val="Tahoma"/>
            <family val="2"/>
          </rPr>
          <t>Huynh Trong Nghia:</t>
        </r>
        <r>
          <rPr>
            <sz val="9"/>
            <color indexed="81"/>
            <rFont val="Tahoma"/>
            <family val="2"/>
          </rPr>
          <t xml:space="preserve">
Nhập Tổ vào</t>
        </r>
      </text>
    </comment>
    <comment ref="F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Truy cập bảng lương SP có trợ giá chia cho số giờ làm việc</t>
        </r>
      </text>
    </comment>
    <comment ref="H6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Phần này máy tự tính sau khi có dữ liệu</t>
        </r>
      </text>
    </comment>
    <comment ref="AM7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Nghiaht: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<sst xmlns="http://schemas.openxmlformats.org/spreadsheetml/2006/main" count="7326" uniqueCount="2095">
  <si>
    <t>Khách Hàng (Buyer)</t>
  </si>
  <si>
    <t>Số Lượng (Qty)</t>
  </si>
  <si>
    <t>Mã Hàng (Style)</t>
  </si>
  <si>
    <t>Tổng Thời Gian</t>
  </si>
  <si>
    <t>Chuyền SX (Line Prod)</t>
  </si>
  <si>
    <t>Nhịp Sản Xuất</t>
  </si>
  <si>
    <t>Lần SX</t>
  </si>
  <si>
    <t>Định mức Sản lượng</t>
  </si>
  <si>
    <t>Nhân Sự (Person)</t>
  </si>
  <si>
    <t>Tổng đơn giá</t>
  </si>
  <si>
    <t>Nhân Sự SX (Prod.Person)</t>
  </si>
  <si>
    <t>Tổng Đơn Giá theo ĐM</t>
  </si>
  <si>
    <t>Thời Gian Làm Việc (Hour/Day)</t>
  </si>
  <si>
    <t>Đơn Giá Bình Quân</t>
  </si>
  <si>
    <t>Xóa</t>
  </si>
  <si>
    <t>STT</t>
  </si>
  <si>
    <t>Bước công việc</t>
  </si>
  <si>
    <t>Bậc thợ</t>
  </si>
  <si>
    <t>Hệ số bậc thợ</t>
  </si>
  <si>
    <t>Nhu cầu CC+DC,MMTB</t>
  </si>
  <si>
    <t>Thời gian chuẩn</t>
  </si>
  <si>
    <t>Đơn giá chuẩn</t>
  </si>
  <si>
    <t>Ghi Chú</t>
  </si>
  <si>
    <t>Slg Máy</t>
  </si>
  <si>
    <t>No</t>
  </si>
  <si>
    <t>Type Of Opereration</t>
  </si>
  <si>
    <t>Level</t>
  </si>
  <si>
    <t>Worker Rank</t>
  </si>
  <si>
    <t>Kind machines</t>
  </si>
  <si>
    <t>SAM Time</t>
  </si>
  <si>
    <t>Price</t>
  </si>
  <si>
    <t>Note</t>
  </si>
  <si>
    <t>1K</t>
  </si>
  <si>
    <t>VS5C</t>
  </si>
  <si>
    <t>Stt</t>
  </si>
  <si>
    <t>Full Name</t>
  </si>
  <si>
    <t>Code</t>
  </si>
  <si>
    <t>VS3C</t>
  </si>
  <si>
    <t>Số hiệu: KT.HD/17.02</t>
  </si>
  <si>
    <t>Ngày ban hành:
03/12/2021</t>
  </si>
  <si>
    <t>Nhân Viên IE</t>
  </si>
  <si>
    <t>Phó giám đốc KTCN</t>
  </si>
  <si>
    <t>Phó tổng giám đốc</t>
  </si>
  <si>
    <t>Hiệu Suất Yêu Cầu</t>
  </si>
  <si>
    <t>SAM Theo HS Yêu Cầu</t>
  </si>
  <si>
    <t>Nhân Sự</t>
  </si>
  <si>
    <t>Person</t>
  </si>
  <si>
    <t>X</t>
  </si>
  <si>
    <t>NHU CẦU MÁY MÓC THIẾT BỊ</t>
  </si>
  <si>
    <t>Nhu Cầu MMTB QT</t>
  </si>
  <si>
    <t>MMTB tự động tính theo QT</t>
  </si>
  <si>
    <t>Thời Gian CBC</t>
  </si>
  <si>
    <t>Mã Số</t>
  </si>
  <si>
    <t>Họ và tên</t>
  </si>
  <si>
    <t>Tổ</t>
  </si>
  <si>
    <t>LươngSP/Giờ</t>
  </si>
  <si>
    <t>Bậc</t>
  </si>
  <si>
    <t>Tổng hợp</t>
  </si>
  <si>
    <t>01 Kim</t>
  </si>
  <si>
    <t>02 Kim</t>
  </si>
  <si>
    <t>Vắt Sổ</t>
  </si>
  <si>
    <t>Kansai đánh bông</t>
  </si>
  <si>
    <t>Kansai lưng</t>
  </si>
  <si>
    <t>Chuyên Dùng Bọ - Khuy - Nút</t>
  </si>
  <si>
    <t>4 Kim 6C</t>
  </si>
  <si>
    <t>KHÁC</t>
  </si>
  <si>
    <t>Truyxuat</t>
  </si>
  <si>
    <t>Line</t>
  </si>
  <si>
    <t>Salary Hour</t>
  </si>
  <si>
    <t>Giỏi</t>
  </si>
  <si>
    <t>Trung Bình</t>
  </si>
  <si>
    <t>Yếu</t>
  </si>
  <si>
    <t>Phụ Chuyền</t>
  </si>
  <si>
    <t>Lấy Dấu</t>
  </si>
  <si>
    <t>Khuy-Nút</t>
  </si>
  <si>
    <t>Ủi</t>
  </si>
  <si>
    <t>Seam</t>
  </si>
  <si>
    <t>Rập Cải Tiến</t>
  </si>
  <si>
    <t>Chi Tiết BTP</t>
  </si>
  <si>
    <t>Cụm Nón</t>
  </si>
  <si>
    <t>Cụm Túi</t>
  </si>
  <si>
    <t>Cụm Áo lót</t>
  </si>
  <si>
    <t>Lắp Ráp</t>
  </si>
  <si>
    <t>Tra tay tròn thành phẩm</t>
  </si>
  <si>
    <t>Diểu trang trí</t>
  </si>
  <si>
    <t>Tra Dây Kéo</t>
  </si>
  <si>
    <t>Cụm Đúp Lót</t>
  </si>
  <si>
    <t>Cụm Hoàn Chỉnh</t>
  </si>
  <si>
    <t>Diểu TP</t>
  </si>
  <si>
    <t>Cơ Động</t>
  </si>
  <si>
    <t>302247</t>
  </si>
  <si>
    <t>Nguyễn Thảo Minh Thuy</t>
  </si>
  <si>
    <t>LINE1</t>
  </si>
  <si>
    <t>200080</t>
  </si>
  <si>
    <t>Nguyễn Thị Thu Thủy</t>
  </si>
  <si>
    <t>200083</t>
  </si>
  <si>
    <t>Phùng Thị Út Linh</t>
  </si>
  <si>
    <t>200085</t>
  </si>
  <si>
    <t>Ninh Nữ Anh Thư</t>
  </si>
  <si>
    <t>200086</t>
  </si>
  <si>
    <t>Phạm Thị Sen</t>
  </si>
  <si>
    <t>200087</t>
  </si>
  <si>
    <t>Đạo Nữ Thu Thảo</t>
  </si>
  <si>
    <t>200090</t>
  </si>
  <si>
    <t>Thiên Thị Hồng Đào</t>
  </si>
  <si>
    <t>200095</t>
  </si>
  <si>
    <t>Nguyễn Thị Mỹ Linh</t>
  </si>
  <si>
    <t>200096</t>
  </si>
  <si>
    <t>Nguyễn Thị Mỹ Hương</t>
  </si>
  <si>
    <t>200097</t>
  </si>
  <si>
    <t>Đinh Thị Hồng Phúc</t>
  </si>
  <si>
    <t>200100</t>
  </si>
  <si>
    <t>Nguyễn Thị Thắm</t>
  </si>
  <si>
    <t>200101</t>
  </si>
  <si>
    <t>Thành Thị Lệ Nhung</t>
  </si>
  <si>
    <t>200112</t>
  </si>
  <si>
    <t>Ngụy Thị Ánh Tuyệt</t>
  </si>
  <si>
    <t>200177</t>
  </si>
  <si>
    <t>Trần Thị Kim Hiền</t>
  </si>
  <si>
    <t>200203</t>
  </si>
  <si>
    <t>Lộ Nữ Ánh Huy</t>
  </si>
  <si>
    <t>200213</t>
  </si>
  <si>
    <t>Phạm Thị Kim Phượng</t>
  </si>
  <si>
    <t>200333</t>
  </si>
  <si>
    <t>Dương Thị Mỹ Châu</t>
  </si>
  <si>
    <t>200335</t>
  </si>
  <si>
    <t>Lê Thị Mai Thảo</t>
  </si>
  <si>
    <t>200337</t>
  </si>
  <si>
    <t>Katơr Thị Loan</t>
  </si>
  <si>
    <t>200374</t>
  </si>
  <si>
    <t>Trương Thị Thùy Trang</t>
  </si>
  <si>
    <t>200381</t>
  </si>
  <si>
    <t>Chu Thị Thanh Hương</t>
  </si>
  <si>
    <t>200619</t>
  </si>
  <si>
    <t>Trần Thị Thủy Chung</t>
  </si>
  <si>
    <t>200841</t>
  </si>
  <si>
    <t>Đạo Thị Phúc Hạnh</t>
  </si>
  <si>
    <t>201194</t>
  </si>
  <si>
    <t>Nguyễn Thị Hồng Nhân</t>
  </si>
  <si>
    <t>201344</t>
  </si>
  <si>
    <t>Nguyễn Thị Lệ Hồng</t>
  </si>
  <si>
    <t>201580</t>
  </si>
  <si>
    <t>Từ Thị Thu Hà</t>
  </si>
  <si>
    <t>201813</t>
  </si>
  <si>
    <t>Dương Thị Kim Hằng</t>
  </si>
  <si>
    <t>201862</t>
  </si>
  <si>
    <t>Trần Thị Xuân Tiên</t>
  </si>
  <si>
    <t>201948</t>
  </si>
  <si>
    <t>Kiều Thị Thoạn</t>
  </si>
  <si>
    <t>201950</t>
  </si>
  <si>
    <t>Lê Thị Kim Cương</t>
  </si>
  <si>
    <t>201977</t>
  </si>
  <si>
    <t>Nguyễn Thị Hồng Quyên</t>
  </si>
  <si>
    <t>202008</t>
  </si>
  <si>
    <t>Lê Thị Thanh Tuyền</t>
  </si>
  <si>
    <t>202011</t>
  </si>
  <si>
    <t>Phan Thị Thoa</t>
  </si>
  <si>
    <t>202013</t>
  </si>
  <si>
    <t>Phan Thị Hạnh</t>
  </si>
  <si>
    <t>210301</t>
  </si>
  <si>
    <t>Lê Văn Phong</t>
  </si>
  <si>
    <t>210478</t>
  </si>
  <si>
    <t>Võ Ngọc Tuấn</t>
  </si>
  <si>
    <t>302123</t>
  </si>
  <si>
    <t>Từ Thị Trồng</t>
  </si>
  <si>
    <t>302129</t>
  </si>
  <si>
    <t>Phú Trượng Anh Thi</t>
  </si>
  <si>
    <t>302207</t>
  </si>
  <si>
    <t>Nguyễn Thị Mộng Nhi</t>
  </si>
  <si>
    <t>302257</t>
  </si>
  <si>
    <t>Lâm Thị Hồng Thiên</t>
  </si>
  <si>
    <t>302258</t>
  </si>
  <si>
    <t>312181</t>
  </si>
  <si>
    <t>Trần Văn Minh</t>
  </si>
  <si>
    <t>312653</t>
  </si>
  <si>
    <t>Mai Vin</t>
  </si>
  <si>
    <t>302701</t>
  </si>
  <si>
    <t>Hán Thị Kim Hạnh</t>
  </si>
  <si>
    <t>200114</t>
  </si>
  <si>
    <t>Đàng Thị Kim Vân</t>
  </si>
  <si>
    <t>LINE2</t>
  </si>
  <si>
    <t>200115</t>
  </si>
  <si>
    <t>Kiều Thạch Ngọc Tú</t>
  </si>
  <si>
    <t>200118</t>
  </si>
  <si>
    <t>Nguyễn Thị Kim Chinh</t>
  </si>
  <si>
    <t>200119</t>
  </si>
  <si>
    <t>Kiều Thị Mỹ Nhiên</t>
  </si>
  <si>
    <t>200120</t>
  </si>
  <si>
    <t>Nguyễn Thị Kim Ngọc</t>
  </si>
  <si>
    <t>200121</t>
  </si>
  <si>
    <t>Đỗ Thị Minh Anh</t>
  </si>
  <si>
    <t>200123</t>
  </si>
  <si>
    <t>Lê Thị Kim Hết</t>
  </si>
  <si>
    <t>200125</t>
  </si>
  <si>
    <t>Đàng Nữ Mộng Tuyết</t>
  </si>
  <si>
    <t>200126</t>
  </si>
  <si>
    <t>Đạo Thị Hoàng Anh</t>
  </si>
  <si>
    <t>200129</t>
  </si>
  <si>
    <t>Từ Thị Văn Vũ</t>
  </si>
  <si>
    <t>200131</t>
  </si>
  <si>
    <t>Nguyễn Thị Kim Kiều</t>
  </si>
  <si>
    <t>200132</t>
  </si>
  <si>
    <t>Ngư Thị Hồng Lâm</t>
  </si>
  <si>
    <t>200134</t>
  </si>
  <si>
    <t>Dương Thị Hồng</t>
  </si>
  <si>
    <t>200135</t>
  </si>
  <si>
    <t>Nguyễn Thị Phi</t>
  </si>
  <si>
    <t>200138</t>
  </si>
  <si>
    <t>Nguyễn Thị Tròn</t>
  </si>
  <si>
    <t>200473</t>
  </si>
  <si>
    <t>Nguyễn Thanh Trinh</t>
  </si>
  <si>
    <t>200476</t>
  </si>
  <si>
    <t>Đinh Thị Hồng Loan</t>
  </si>
  <si>
    <t>200696</t>
  </si>
  <si>
    <t>Lương Thị Kim Thủy</t>
  </si>
  <si>
    <t>201395</t>
  </si>
  <si>
    <t>Nguyễn Thị Hoa</t>
  </si>
  <si>
    <t>201445</t>
  </si>
  <si>
    <t>Nguyễn Thị Thủy</t>
  </si>
  <si>
    <t>201518</t>
  </si>
  <si>
    <t>Dương Thị Hồng Vy</t>
  </si>
  <si>
    <t>201525</t>
  </si>
  <si>
    <t>Đạo Thị Thanh Huyền</t>
  </si>
  <si>
    <t>201716</t>
  </si>
  <si>
    <t>Đạo Thị Hiếu Thảo</t>
  </si>
  <si>
    <t>201923</t>
  </si>
  <si>
    <t>Phạm Thị Kim Châu</t>
  </si>
  <si>
    <t>201960</t>
  </si>
  <si>
    <t>Nguyễn Thị Thu Nguyệt</t>
  </si>
  <si>
    <t>211608</t>
  </si>
  <si>
    <t>Dương Thanh Lượm</t>
  </si>
  <si>
    <t>211618</t>
  </si>
  <si>
    <t>Đào Văn Nam</t>
  </si>
  <si>
    <t>211967</t>
  </si>
  <si>
    <t>Ngụy Ngọc Thanh</t>
  </si>
  <si>
    <t>302098</t>
  </si>
  <si>
    <t>Trần Thị Tha</t>
  </si>
  <si>
    <t>302236</t>
  </si>
  <si>
    <t>Quãng Thị Chịnh</t>
  </si>
  <si>
    <t>302237</t>
  </si>
  <si>
    <t>Đổng Thị Út</t>
  </si>
  <si>
    <t>302384</t>
  </si>
  <si>
    <t>Cao Thị Phụng</t>
  </si>
  <si>
    <t>312502</t>
  </si>
  <si>
    <t>Trần Thanh Nam</t>
  </si>
  <si>
    <t>302527</t>
  </si>
  <si>
    <t>Nguyễn Thị Vuông</t>
  </si>
  <si>
    <t>302689</t>
  </si>
  <si>
    <t>Vũ Thị Hồng Loan</t>
  </si>
  <si>
    <t>302700</t>
  </si>
  <si>
    <t>Đổng Thị Khanh</t>
  </si>
  <si>
    <t>312710</t>
  </si>
  <si>
    <t xml:space="preserve">Lê Văn Khang </t>
  </si>
  <si>
    <t>302722</t>
  </si>
  <si>
    <t>Thạch Thị Thanh Thủy</t>
  </si>
  <si>
    <t>302723</t>
  </si>
  <si>
    <t>Thành Thị Mát</t>
  </si>
  <si>
    <t>210309</t>
  </si>
  <si>
    <t>Bùi Văn Chúng</t>
  </si>
  <si>
    <t>LINE3</t>
  </si>
  <si>
    <t>201802</t>
  </si>
  <si>
    <t>Trần Thị Thanh Lan</t>
  </si>
  <si>
    <t>200082</t>
  </si>
  <si>
    <t>Bích Thị Thanh Hiền</t>
  </si>
  <si>
    <t>200109</t>
  </si>
  <si>
    <t>Tài Thị Dà Nun</t>
  </si>
  <si>
    <t>200147</t>
  </si>
  <si>
    <t>Nguyễn Thị Thu Thuế</t>
  </si>
  <si>
    <t>200148</t>
  </si>
  <si>
    <t>Châu Nữ Hoài Trâm</t>
  </si>
  <si>
    <t>200150</t>
  </si>
  <si>
    <t>Quảng Thị Hồng Duyên</t>
  </si>
  <si>
    <t>200153</t>
  </si>
  <si>
    <t>Quảng Thị Nhứt</t>
  </si>
  <si>
    <t>200155</t>
  </si>
  <si>
    <t>Danh Thị Kim Tính</t>
  </si>
  <si>
    <t>200159</t>
  </si>
  <si>
    <t>Dương Thị Thảo</t>
  </si>
  <si>
    <t>200161</t>
  </si>
  <si>
    <t>Trần Thị Mỹ Nữ</t>
  </si>
  <si>
    <t>200168</t>
  </si>
  <si>
    <t>Trần Thị Kim Phượng</t>
  </si>
  <si>
    <t>200214</t>
  </si>
  <si>
    <t>Lê Thị Ngọc Lan</t>
  </si>
  <si>
    <t>200255</t>
  </si>
  <si>
    <t>Văn Thị Thu Huyền</t>
  </si>
  <si>
    <t>200345</t>
  </si>
  <si>
    <t>Trần Thị Hồng Châm</t>
  </si>
  <si>
    <t>200432</t>
  </si>
  <si>
    <t>Đạo Thị Kim Ngân</t>
  </si>
  <si>
    <t>200596</t>
  </si>
  <si>
    <t>Thiên Thị Mai Thi</t>
  </si>
  <si>
    <t>200667</t>
  </si>
  <si>
    <t>Phan Thị Lưu Huỳnh</t>
  </si>
  <si>
    <t>200689</t>
  </si>
  <si>
    <t>Nguyễn Thị Như Trang</t>
  </si>
  <si>
    <t>201289</t>
  </si>
  <si>
    <t>Vạn Thị Kim Chi</t>
  </si>
  <si>
    <t>201300</t>
  </si>
  <si>
    <t>Lộ Thị Mỹ Hồng Khoát</t>
  </si>
  <si>
    <t>201392</t>
  </si>
  <si>
    <t>Lưu Thị Thảo Uyên</t>
  </si>
  <si>
    <t>201567</t>
  </si>
  <si>
    <t>Trần Thị Thu Trang</t>
  </si>
  <si>
    <t>201591</t>
  </si>
  <si>
    <t>Võ Thị Như Thy</t>
  </si>
  <si>
    <t>201607</t>
  </si>
  <si>
    <t>Nguyễn Thị Yên</t>
  </si>
  <si>
    <t>201999</t>
  </si>
  <si>
    <t>Mai Thị Thanh Trúc</t>
  </si>
  <si>
    <t>202042</t>
  </si>
  <si>
    <t>Nguyễn Thị Hoài Huyền Luận</t>
  </si>
  <si>
    <t>210305</t>
  </si>
  <si>
    <t>Đặng Thành Lộc</t>
  </si>
  <si>
    <t>210307</t>
  </si>
  <si>
    <t>Nguyễn Công Minh</t>
  </si>
  <si>
    <t>210310</t>
  </si>
  <si>
    <t>Nguyễn Ngọc Duy Khánh</t>
  </si>
  <si>
    <t>211521</t>
  </si>
  <si>
    <t>Lượng Thành Minh An</t>
  </si>
  <si>
    <t>302050</t>
  </si>
  <si>
    <t>Lý Thị Như Ái</t>
  </si>
  <si>
    <t>302051</t>
  </si>
  <si>
    <t>Trần Thái Thu Vân</t>
  </si>
  <si>
    <t>302052</t>
  </si>
  <si>
    <t>Lý Thị Như Yếm</t>
  </si>
  <si>
    <t>302183</t>
  </si>
  <si>
    <t>Ngư Thị Mỹ Biến</t>
  </si>
  <si>
    <t>302208</t>
  </si>
  <si>
    <t>Nguyễn Thị Muội</t>
  </si>
  <si>
    <t>302254</t>
  </si>
  <si>
    <t>Mai Minh Thư</t>
  </si>
  <si>
    <t>302320</t>
  </si>
  <si>
    <t>Đoàn Thị Xuân Viên</t>
  </si>
  <si>
    <t>302321</t>
  </si>
  <si>
    <t>Huỳnh Thị Thảo</t>
  </si>
  <si>
    <t>302328</t>
  </si>
  <si>
    <t>Đạt Thị Ninh Thuận</t>
  </si>
  <si>
    <t>302329</t>
  </si>
  <si>
    <t>Đỗ Thị Hoàng Anh</t>
  </si>
  <si>
    <t>302386</t>
  </si>
  <si>
    <t>Tạ Nữ Yến Nhi</t>
  </si>
  <si>
    <t>302508</t>
  </si>
  <si>
    <t>302554</t>
  </si>
  <si>
    <t>Nguyễn Thị Thanh Xuân</t>
  </si>
  <si>
    <t>302613</t>
  </si>
  <si>
    <t>Trần Thị Tâm</t>
  </si>
  <si>
    <t>302671</t>
  </si>
  <si>
    <t>Trần Giang Minh Hồng</t>
  </si>
  <si>
    <t>302672</t>
  </si>
  <si>
    <t>Phạm Thị Ngọc Hòa</t>
  </si>
  <si>
    <t>302703</t>
  </si>
  <si>
    <t>Huỳnh Thị Yến Quy</t>
  </si>
  <si>
    <t>302755</t>
  </si>
  <si>
    <t>200066</t>
  </si>
  <si>
    <t>Trần Thị Cảnh</t>
  </si>
  <si>
    <t>LINE4</t>
  </si>
  <si>
    <t>200646</t>
  </si>
  <si>
    <t>Nguyễn Thị Hồng Liên</t>
  </si>
  <si>
    <t>200175</t>
  </si>
  <si>
    <t>Lê Thị Mỹ</t>
  </si>
  <si>
    <t>200179</t>
  </si>
  <si>
    <t>Năng Thị Ái</t>
  </si>
  <si>
    <t>200181</t>
  </si>
  <si>
    <t>Văn Vương Thuỷ Tuyết Nguyệt</t>
  </si>
  <si>
    <t>200183</t>
  </si>
  <si>
    <t>Quảng Thị Phước Thông</t>
  </si>
  <si>
    <t>200187</t>
  </si>
  <si>
    <t>Bá Thị Tiến</t>
  </si>
  <si>
    <t>200188</t>
  </si>
  <si>
    <t>Lê Thị Thu Thảo</t>
  </si>
  <si>
    <t>200189</t>
  </si>
  <si>
    <t>Đạo Thị Kim Luyến</t>
  </si>
  <si>
    <t>200190</t>
  </si>
  <si>
    <t>Nguyễn Thị Hồng Hiếu</t>
  </si>
  <si>
    <t>200192</t>
  </si>
  <si>
    <t>Châu Thị Lộc</t>
  </si>
  <si>
    <t>200194</t>
  </si>
  <si>
    <t>Sử Thị Kim</t>
  </si>
  <si>
    <t>200195</t>
  </si>
  <si>
    <t>Nguyễn Thị Bích Chi</t>
  </si>
  <si>
    <t>200199</t>
  </si>
  <si>
    <t>Đổng Thị Như Diễm</t>
  </si>
  <si>
    <t>200204</t>
  </si>
  <si>
    <t>Báo Thị Kim Mỹ</t>
  </si>
  <si>
    <t>200243</t>
  </si>
  <si>
    <t>Lâm Nữ Thu Thẩm</t>
  </si>
  <si>
    <t>200349</t>
  </si>
  <si>
    <t>Tài Nữ Lệ Thảo</t>
  </si>
  <si>
    <t>200350</t>
  </si>
  <si>
    <t>Vạn Thị Hồng Thắm</t>
  </si>
  <si>
    <t>200512</t>
  </si>
  <si>
    <t>Nguyễn Thị Lộc</t>
  </si>
  <si>
    <t>200546</t>
  </si>
  <si>
    <t>Hứa Thị Triệu</t>
  </si>
  <si>
    <t>200558</t>
  </si>
  <si>
    <t>Đỗ Thị Linh</t>
  </si>
  <si>
    <t>200576</t>
  </si>
  <si>
    <t>Nguyễn Thị Cúc</t>
  </si>
  <si>
    <t>201458</t>
  </si>
  <si>
    <t>Nguyễn Thị Kim Sin</t>
  </si>
  <si>
    <t>201472</t>
  </si>
  <si>
    <t>Mai Thị Kim Anh</t>
  </si>
  <si>
    <t>201699</t>
  </si>
  <si>
    <t>Trượng Thị Kim Vân</t>
  </si>
  <si>
    <t>201708</t>
  </si>
  <si>
    <t>Nguyễn Thị Nhật Lệ</t>
  </si>
  <si>
    <t>201767</t>
  </si>
  <si>
    <t>Ngư Thị Mỹ Út</t>
  </si>
  <si>
    <t>201779</t>
  </si>
  <si>
    <t>Nguyễn Thị Thanh Trâm</t>
  </si>
  <si>
    <t>201789</t>
  </si>
  <si>
    <t>201829</t>
  </si>
  <si>
    <t>Mai Thị Kim Duyên</t>
  </si>
  <si>
    <t>202033</t>
  </si>
  <si>
    <t>Lê Thị Phương Lịch</t>
  </si>
  <si>
    <t>202051</t>
  </si>
  <si>
    <t>Mai Thị Truyền</t>
  </si>
  <si>
    <t>210308</t>
  </si>
  <si>
    <t>Nguyễn Bá Vương</t>
  </si>
  <si>
    <t>210454</t>
  </si>
  <si>
    <t>Trần Minh Tú</t>
  </si>
  <si>
    <t>210467</t>
  </si>
  <si>
    <t>Nguyễn Phúc Đạt</t>
  </si>
  <si>
    <t>211463</t>
  </si>
  <si>
    <t>Trần Ngọc Anh</t>
  </si>
  <si>
    <t>211524</t>
  </si>
  <si>
    <t>Trần Văn Tròn</t>
  </si>
  <si>
    <t>211822</t>
  </si>
  <si>
    <t>Thạch Châu Kiệt</t>
  </si>
  <si>
    <t>302212</t>
  </si>
  <si>
    <t>Lê Thị Xuân Can</t>
  </si>
  <si>
    <t>200583</t>
  </si>
  <si>
    <t>Võ Hải Yến</t>
  </si>
  <si>
    <t>LINE5</t>
  </si>
  <si>
    <t>200067</t>
  </si>
  <si>
    <t>Trần Thị Thu</t>
  </si>
  <si>
    <t>200193</t>
  </si>
  <si>
    <t>Trần Thị Mỹ Hoa</t>
  </si>
  <si>
    <t>200207</t>
  </si>
  <si>
    <t xml:space="preserve">Nguyễn Thị Thu Thạch </t>
  </si>
  <si>
    <t>200216</t>
  </si>
  <si>
    <t>Nguyễn Thị  Thu Vương</t>
  </si>
  <si>
    <t>200217</t>
  </si>
  <si>
    <t>Lê Kim Ngọc</t>
  </si>
  <si>
    <t>200218</t>
  </si>
  <si>
    <t>Nguyễn Thị Cúc Hoa</t>
  </si>
  <si>
    <t>200221</t>
  </si>
  <si>
    <t>Dương Thị Ngọc Bích</t>
  </si>
  <si>
    <t>200222</t>
  </si>
  <si>
    <t>Nguyễn Thị Tuyết Nhi</t>
  </si>
  <si>
    <t>200223</t>
  </si>
  <si>
    <t>Đỗ Thị Thanh Quê</t>
  </si>
  <si>
    <t>200224</t>
  </si>
  <si>
    <t>Nguyễn Thị Hồng Nhung</t>
  </si>
  <si>
    <t>200225</t>
  </si>
  <si>
    <t>Huỳnh Thị Tuyết Trâm</t>
  </si>
  <si>
    <t>200232</t>
  </si>
  <si>
    <t>Nguyễn Thị Mai</t>
  </si>
  <si>
    <t>200233</t>
  </si>
  <si>
    <t>Lâm Thị Mỹ Ngọc Khoản</t>
  </si>
  <si>
    <t>200334</t>
  </si>
  <si>
    <t>Quảng Thị Diễm Tân</t>
  </si>
  <si>
    <t>200367</t>
  </si>
  <si>
    <t xml:space="preserve">Phan Thị Thanh Phương </t>
  </si>
  <si>
    <t>200562</t>
  </si>
  <si>
    <t>Nguyễn Thị Kim Hồng</t>
  </si>
  <si>
    <t>200783</t>
  </si>
  <si>
    <t>Lê Thị Thảo Trang</t>
  </si>
  <si>
    <t>200842</t>
  </si>
  <si>
    <t>Ngô Thị Thanh Kiều</t>
  </si>
  <si>
    <t>201191</t>
  </si>
  <si>
    <t>Phạm Thị Minh Nguyệt</t>
  </si>
  <si>
    <t>201239</t>
  </si>
  <si>
    <t>Nguyễn Thị Ngọc Thảo</t>
  </si>
  <si>
    <t>201523</t>
  </si>
  <si>
    <t>Hoàng Thị Nhật</t>
  </si>
  <si>
    <t>201573</t>
  </si>
  <si>
    <t>Nguyễn Thị Diễm My</t>
  </si>
  <si>
    <t>201592</t>
  </si>
  <si>
    <t>Nguyễn Thị Hồng Đẹp</t>
  </si>
  <si>
    <t>201638</t>
  </si>
  <si>
    <t>Trương Thị Hồng Vân</t>
  </si>
  <si>
    <t>201815</t>
  </si>
  <si>
    <t>Hàm Nữ Ngọc Huyện</t>
  </si>
  <si>
    <t>201851</t>
  </si>
  <si>
    <t>Phạm Thị Mỹ Châu</t>
  </si>
  <si>
    <t>202045</t>
  </si>
  <si>
    <t>Nguyễn Vũ Giang Hà</t>
  </si>
  <si>
    <t>202074</t>
  </si>
  <si>
    <t>Lê Thị Kim Trang</t>
  </si>
  <si>
    <t>210690</t>
  </si>
  <si>
    <t>Lê Duy Khánh</t>
  </si>
  <si>
    <t>302102</t>
  </si>
  <si>
    <t>Bùi Thị Ven</t>
  </si>
  <si>
    <t>302249</t>
  </si>
  <si>
    <t>Nguyễn Thị Kim Liên</t>
  </si>
  <si>
    <t>302451</t>
  </si>
  <si>
    <t>Lê Thị Bích Thủy</t>
  </si>
  <si>
    <t>302464</t>
  </si>
  <si>
    <t xml:space="preserve">Thiều Thị Thanh Thùy </t>
  </si>
  <si>
    <t>302499</t>
  </si>
  <si>
    <t>Nguyễn Thị Bích Trâm</t>
  </si>
  <si>
    <t>302520</t>
  </si>
  <si>
    <t>Nguyễn Thị Thanh Quy</t>
  </si>
  <si>
    <t>312587</t>
  </si>
  <si>
    <t>Trần Ngọc Sơn</t>
  </si>
  <si>
    <t>302624</t>
  </si>
  <si>
    <t>Hán Thị Vui</t>
  </si>
  <si>
    <t>302650</t>
  </si>
  <si>
    <t>Trần Nguyễn Thị Quàng Quanh</t>
  </si>
  <si>
    <t>302724</t>
  </si>
  <si>
    <t>Nguyễn Thị Bé Liên</t>
  </si>
  <si>
    <t>302725</t>
  </si>
  <si>
    <t>Nguyễn Thị Ngọc Son</t>
  </si>
  <si>
    <t>200573</t>
  </si>
  <si>
    <t>Võ Thị Mỹ Tiên</t>
  </si>
  <si>
    <t>LINE6</t>
  </si>
  <si>
    <t>201963</t>
  </si>
  <si>
    <t>Nguyễn Thị Trúc My</t>
  </si>
  <si>
    <t>200106</t>
  </si>
  <si>
    <t>Vạn Ngọc Diễm My</t>
  </si>
  <si>
    <t>200156</t>
  </si>
  <si>
    <t>Đạo Thị Y la</t>
  </si>
  <si>
    <t>200236</t>
  </si>
  <si>
    <t>Lê Thị Huệ</t>
  </si>
  <si>
    <t>200242</t>
  </si>
  <si>
    <t>Mai Xuân Thi</t>
  </si>
  <si>
    <t>200244</t>
  </si>
  <si>
    <t>Quảng Thị Kim Nhung</t>
  </si>
  <si>
    <t>200245</t>
  </si>
  <si>
    <t>Kiều Thạch Mỹ Tiên</t>
  </si>
  <si>
    <t>200247</t>
  </si>
  <si>
    <t>Tô Thị Hồng Yến</t>
  </si>
  <si>
    <t>200251</t>
  </si>
  <si>
    <t>Châu Nữ Bảo Yến</t>
  </si>
  <si>
    <t>200253</t>
  </si>
  <si>
    <t>Phạm Thị Thúy</t>
  </si>
  <si>
    <t>200256</t>
  </si>
  <si>
    <t>Nguyễn Thị Mỹ Tiên</t>
  </si>
  <si>
    <t>200263</t>
  </si>
  <si>
    <t>Đỗ Thị Mỹ Thư</t>
  </si>
  <si>
    <t>200358</t>
  </si>
  <si>
    <t>Trần Thị Thanh Dung</t>
  </si>
  <si>
    <t>200359</t>
  </si>
  <si>
    <t>Bùi Thị Kim Sương</t>
  </si>
  <si>
    <t>200368</t>
  </si>
  <si>
    <t>Từ Thị Thu Thảo</t>
  </si>
  <si>
    <t>200398</t>
  </si>
  <si>
    <t>Trương Thị Mỹ Linh</t>
  </si>
  <si>
    <t>200544</t>
  </si>
  <si>
    <t>Trượng Thị Thanh Thúy</t>
  </si>
  <si>
    <t>200661</t>
  </si>
  <si>
    <t>Hán Thị Mai Truy</t>
  </si>
  <si>
    <t>200677</t>
  </si>
  <si>
    <t>Nguyễn Thị Bảo Trân</t>
  </si>
  <si>
    <t>200680</t>
  </si>
  <si>
    <t>Mai Thị A Nhi</t>
  </si>
  <si>
    <t>201200</t>
  </si>
  <si>
    <t>Nguyễn Đặng Kim Nhi</t>
  </si>
  <si>
    <t>201241</t>
  </si>
  <si>
    <t>Lê Thị Kim Kỷ</t>
  </si>
  <si>
    <t>201301</t>
  </si>
  <si>
    <t>Phạm Thị Nữ</t>
  </si>
  <si>
    <t>201732</t>
  </si>
  <si>
    <t>Dương Thị Bích Huyền</t>
  </si>
  <si>
    <t>202001</t>
  </si>
  <si>
    <t>Vạn Thị Kim Mận</t>
  </si>
  <si>
    <t>210313</t>
  </si>
  <si>
    <t>Nguyễn Văn Trọng</t>
  </si>
  <si>
    <t>210314</t>
  </si>
  <si>
    <t>Tài Hoàng Cơ</t>
  </si>
  <si>
    <t>211384</t>
  </si>
  <si>
    <t>Võ Tùng Dương</t>
  </si>
  <si>
    <t>302125</t>
  </si>
  <si>
    <t>Phạm Thị Như Yến</t>
  </si>
  <si>
    <t>302132</t>
  </si>
  <si>
    <t>Nguyễn Thị Thanh Loan</t>
  </si>
  <si>
    <t>302135</t>
  </si>
  <si>
    <t>Phạm Thị Ngân</t>
  </si>
  <si>
    <t>302391</t>
  </si>
  <si>
    <t>Châu Thị Mỹ Duyên</t>
  </si>
  <si>
    <t>302484</t>
  </si>
  <si>
    <t>Lê Thị Ngọc Sương</t>
  </si>
  <si>
    <t>302528</t>
  </si>
  <si>
    <t>Quảng Thị Hồng Gấm</t>
  </si>
  <si>
    <t>302620</t>
  </si>
  <si>
    <t>Dương Thị Ngọc Quy</t>
  </si>
  <si>
    <t>302667</t>
  </si>
  <si>
    <t>Nguyễn Thị Hồng Hoa</t>
  </si>
  <si>
    <t>302704</t>
  </si>
  <si>
    <t>Nguyễn Thị Thanh Khương</t>
  </si>
  <si>
    <t>200110</t>
  </si>
  <si>
    <t>Thành Nữ Kim Thu Thủy</t>
  </si>
  <si>
    <t>LINE7</t>
  </si>
  <si>
    <t>200356</t>
  </si>
  <si>
    <t>Nguyễn Đào Hoạ Minh</t>
  </si>
  <si>
    <t>200737</t>
  </si>
  <si>
    <t>Lê Hồng Thư</t>
  </si>
  <si>
    <t>200371</t>
  </si>
  <si>
    <t>Trượng Thị Ngụy Ngọc Tâm</t>
  </si>
  <si>
    <t>200373</t>
  </si>
  <si>
    <t>Nguyễn Thị Minh Thư</t>
  </si>
  <si>
    <t>200376</t>
  </si>
  <si>
    <t>Nguyễn Thị Thong</t>
  </si>
  <si>
    <t>200382</t>
  </si>
  <si>
    <t>Nguyễn Thị Thu Uyên</t>
  </si>
  <si>
    <t>200383</t>
  </si>
  <si>
    <t>Trần Thị Bích Chi</t>
  </si>
  <si>
    <t>200386</t>
  </si>
  <si>
    <t>Nguyễn Thị Mỹ Khánh</t>
  </si>
  <si>
    <t>200387</t>
  </si>
  <si>
    <t>Đoàn Thị Nở</t>
  </si>
  <si>
    <t>200393</t>
  </si>
  <si>
    <t>Ngô Thị Thảo</t>
  </si>
  <si>
    <t>200394</t>
  </si>
  <si>
    <t>Đổng Thị Kim Cương</t>
  </si>
  <si>
    <t>200400</t>
  </si>
  <si>
    <t>Hán Thị Nội</t>
  </si>
  <si>
    <t>200404</t>
  </si>
  <si>
    <t>Võ Thị Thanh Thư</t>
  </si>
  <si>
    <t>200407</t>
  </si>
  <si>
    <t>Nguyễn Hồng Nụ</t>
  </si>
  <si>
    <t>200560</t>
  </si>
  <si>
    <t>Đạo Thị Lét</t>
  </si>
  <si>
    <t>200572</t>
  </si>
  <si>
    <t>Võ Thị Bé</t>
  </si>
  <si>
    <t>200577</t>
  </si>
  <si>
    <t>Nguyễn Thị Thuyền</t>
  </si>
  <si>
    <t>200673</t>
  </si>
  <si>
    <t>Hồ Thị Hoa Hồng</t>
  </si>
  <si>
    <t>200684</t>
  </si>
  <si>
    <t>Ngô Thanh Xuân</t>
  </si>
  <si>
    <t>201195</t>
  </si>
  <si>
    <t>Nguyễn Thị Kim Quyên</t>
  </si>
  <si>
    <t>201204</t>
  </si>
  <si>
    <t>Nguyễn Thị Ngọc Hân</t>
  </si>
  <si>
    <t>201511</t>
  </si>
  <si>
    <t>Đàng Thị Phê</t>
  </si>
  <si>
    <t>201514</t>
  </si>
  <si>
    <t>Phạm Thị Bích Kiều My</t>
  </si>
  <si>
    <t>201546</t>
  </si>
  <si>
    <t>Tạ Thị Xưởng</t>
  </si>
  <si>
    <t>201619</t>
  </si>
  <si>
    <t>Nguyễn Thị Trúc</t>
  </si>
  <si>
    <t>202012</t>
  </si>
  <si>
    <t>Trần Hoàng Anh</t>
  </si>
  <si>
    <t>210457</t>
  </si>
  <si>
    <t>Phú Ngọc Trương</t>
  </si>
  <si>
    <t>211555</t>
  </si>
  <si>
    <t>Thạch Vũ Trên</t>
  </si>
  <si>
    <t>211833</t>
  </si>
  <si>
    <t>Nguyễn Thành Hoài</t>
  </si>
  <si>
    <t>211919</t>
  </si>
  <si>
    <t>Huỳnh Tấn Chương</t>
  </si>
  <si>
    <t>302116</t>
  </si>
  <si>
    <t>Mai Xuân Lụa</t>
  </si>
  <si>
    <t>302243</t>
  </si>
  <si>
    <t>Nguyễn Thị Phương Trinh</t>
  </si>
  <si>
    <t>302262</t>
  </si>
  <si>
    <t>Hồ Thị Hằng</t>
  </si>
  <si>
    <t>302263</t>
  </si>
  <si>
    <t>Đàng Thị Thanh Thảo</t>
  </si>
  <si>
    <t>302265</t>
  </si>
  <si>
    <t>Nguyễn Thị Chi</t>
  </si>
  <si>
    <t>302392</t>
  </si>
  <si>
    <t>Lê Thị Thúy Phụng</t>
  </si>
  <si>
    <t>312496</t>
  </si>
  <si>
    <t>Nguyễn Ngọc Phương</t>
  </si>
  <si>
    <t>302522</t>
  </si>
  <si>
    <t>Phạm Thị Trang</t>
  </si>
  <si>
    <t>302756</t>
  </si>
  <si>
    <t>Lê Thị Thanh Thùy</t>
  </si>
  <si>
    <t>201196</t>
  </si>
  <si>
    <t>Nguyễn Thị Ngọc Lan</t>
  </si>
  <si>
    <t>LINE8</t>
  </si>
  <si>
    <t>200409</t>
  </si>
  <si>
    <t>Trần Thị Tiểu Nhiên</t>
  </si>
  <si>
    <t>200413</t>
  </si>
  <si>
    <t>Trần Thị Phi Nữ</t>
  </si>
  <si>
    <t>200418</t>
  </si>
  <si>
    <t>Thành Thị Ngọc Giàu</t>
  </si>
  <si>
    <t>200419</t>
  </si>
  <si>
    <t>Lượng Thị Mỹ Mướt</t>
  </si>
  <si>
    <t>200420</t>
  </si>
  <si>
    <t>Thuận Thị Miền</t>
  </si>
  <si>
    <t>200421</t>
  </si>
  <si>
    <t>Nguyễn Thị Chung</t>
  </si>
  <si>
    <t>200423</t>
  </si>
  <si>
    <t>Lượng Thị Tiêm</t>
  </si>
  <si>
    <t>200424</t>
  </si>
  <si>
    <t>Thành Thị Hồng</t>
  </si>
  <si>
    <t>200430</t>
  </si>
  <si>
    <t>Nguyễn Thị Phương Trâm</t>
  </si>
  <si>
    <t>200440</t>
  </si>
  <si>
    <t>Quảng Thị Phương Trạm</t>
  </si>
  <si>
    <t>200442</t>
  </si>
  <si>
    <t>Nguyễn Thị Ngọc Linh</t>
  </si>
  <si>
    <t>200516</t>
  </si>
  <si>
    <t>Đổng Thị Trúc Nhi</t>
  </si>
  <si>
    <t>200553</t>
  </si>
  <si>
    <t>Lê Thị Xuân Nguyệt</t>
  </si>
  <si>
    <t>200569</t>
  </si>
  <si>
    <t>Nguyễn Thị Duyên</t>
  </si>
  <si>
    <t>200579</t>
  </si>
  <si>
    <t>Dương Thị Xuân</t>
  </si>
  <si>
    <t>201291</t>
  </si>
  <si>
    <t>Mang Thị Kim Thi</t>
  </si>
  <si>
    <t>201439</t>
  </si>
  <si>
    <t>Nguyễn Thị Thanh Thơ</t>
  </si>
  <si>
    <t>201489</t>
  </si>
  <si>
    <t>Mã Thị Kim Hương</t>
  </si>
  <si>
    <t>201519</t>
  </si>
  <si>
    <t>Vạn Thị Thân</t>
  </si>
  <si>
    <t>201593</t>
  </si>
  <si>
    <t>Trần Thị Đào</t>
  </si>
  <si>
    <t>201859</t>
  </si>
  <si>
    <t>Trịnh Thị Hương</t>
  </si>
  <si>
    <t>201896</t>
  </si>
  <si>
    <t>Trần Thủy Tiên</t>
  </si>
  <si>
    <t>202027</t>
  </si>
  <si>
    <t>Huỳnh Thị Vân</t>
  </si>
  <si>
    <t>202036</t>
  </si>
  <si>
    <t>Nguyễn Thị Ngọc Dung</t>
  </si>
  <si>
    <t>210460</t>
  </si>
  <si>
    <t>Huỳnh Đức Thiệp</t>
  </si>
  <si>
    <t>211560</t>
  </si>
  <si>
    <t>Nguyễn Quốc Huy</t>
  </si>
  <si>
    <t>212007</t>
  </si>
  <si>
    <t>Đặng Trọng Nghĩa</t>
  </si>
  <si>
    <t>312235</t>
  </si>
  <si>
    <t>Ngô Văn Lâm</t>
  </si>
  <si>
    <t>302338</t>
  </si>
  <si>
    <t>Nguyễn Thị Mỹ Lệ</t>
  </si>
  <si>
    <t>302394</t>
  </si>
  <si>
    <t>Đổng Thị Kim Bông</t>
  </si>
  <si>
    <t>302395</t>
  </si>
  <si>
    <t>Phạm Thị Kim Chi</t>
  </si>
  <si>
    <t>302545</t>
  </si>
  <si>
    <t>Trương Thị Thi</t>
  </si>
  <si>
    <t>302591</t>
  </si>
  <si>
    <t>Đạo Thị Lan Chi</t>
  </si>
  <si>
    <t>302604</t>
  </si>
  <si>
    <t>Nguyễn Thị Lùng</t>
  </si>
  <si>
    <t>302618</t>
  </si>
  <si>
    <t xml:space="preserve">Nguyễn Thị Thanh Ngân </t>
  </si>
  <si>
    <t>302633</t>
  </si>
  <si>
    <t>Nguyễn Thị Đào</t>
  </si>
  <si>
    <t>302651</t>
  </si>
  <si>
    <t xml:space="preserve">Lê Thỵ Hoàng Vân </t>
  </si>
  <si>
    <t>302726</t>
  </si>
  <si>
    <t>Hán Thị Kim Thoại</t>
  </si>
  <si>
    <t>302734</t>
  </si>
  <si>
    <t xml:space="preserve">Jalê Thị Trang </t>
  </si>
  <si>
    <t>302735</t>
  </si>
  <si>
    <t>Ngô Lê Bích Trâm</t>
  </si>
  <si>
    <t>302757</t>
  </si>
  <si>
    <t>Đặng Thị Phước Lai</t>
  </si>
  <si>
    <t>202082</t>
  </si>
  <si>
    <t>Nguyễn Thị Thương</t>
  </si>
  <si>
    <t>LINE9</t>
  </si>
  <si>
    <t>201981</t>
  </si>
  <si>
    <t>Nguyễn Hoàng Yến Nhi</t>
  </si>
  <si>
    <t>200130</t>
  </si>
  <si>
    <t>Sử Thị Mỹ Dệt</t>
  </si>
  <si>
    <t>200264</t>
  </si>
  <si>
    <t>Đàng Thị Diễm</t>
  </si>
  <si>
    <t>200342</t>
  </si>
  <si>
    <t>Hán Thị Mộng Nhị</t>
  </si>
  <si>
    <t>200499</t>
  </si>
  <si>
    <t>Trần Thị Như Hằng</t>
  </si>
  <si>
    <t>200502</t>
  </si>
  <si>
    <t>Nguyễn Thị Thuận</t>
  </si>
  <si>
    <t>200507</t>
  </si>
  <si>
    <t>Trần Hoàng Phi Yến</t>
  </si>
  <si>
    <t>200508</t>
  </si>
  <si>
    <t>Phạm Thị Trúc Anh</t>
  </si>
  <si>
    <t>200510</t>
  </si>
  <si>
    <t>Huỳnh Thị Bảo Trân</t>
  </si>
  <si>
    <t>200518</t>
  </si>
  <si>
    <t>Trần Thị Ngọc Hằng</t>
  </si>
  <si>
    <t>200525</t>
  </si>
  <si>
    <t>Đặng Thị Mỹ Dung</t>
  </si>
  <si>
    <t>200533</t>
  </si>
  <si>
    <t>Nguyễn Thị Hồng Diệu</t>
  </si>
  <si>
    <t>200539</t>
  </si>
  <si>
    <t>Dương Thị Mỹ Nhẹ</t>
  </si>
  <si>
    <t>200611</t>
  </si>
  <si>
    <t>Kiều Thị Song Hàng</t>
  </si>
  <si>
    <t>201479</t>
  </si>
  <si>
    <t>201667</t>
  </si>
  <si>
    <t>Nguyễn Thị Hồng Thắm</t>
  </si>
  <si>
    <t>201679</t>
  </si>
  <si>
    <t>Quảng Thị Hạng</t>
  </si>
  <si>
    <t>201709</t>
  </si>
  <si>
    <t>Nguyễn Thị Lắm</t>
  </si>
  <si>
    <t>210524</t>
  </si>
  <si>
    <t>Nguyễn Duy Hoàng</t>
  </si>
  <si>
    <t>210529</t>
  </si>
  <si>
    <t>Hán Văn Tuyên</t>
  </si>
  <si>
    <t>302103</t>
  </si>
  <si>
    <t>Nguyễn Thị Tiên</t>
  </si>
  <si>
    <t>302105</t>
  </si>
  <si>
    <t>Nguyễn Thị Mỉnh</t>
  </si>
  <si>
    <t>302126</t>
  </si>
  <si>
    <t>Nguyễn Thị Thanh Thủy</t>
  </si>
  <si>
    <t>302150</t>
  </si>
  <si>
    <t>Nguyễn Thị Bích Vân</t>
  </si>
  <si>
    <t>302223</t>
  </si>
  <si>
    <t>Hán Đổng Hoàng Ngân</t>
  </si>
  <si>
    <t>302322</t>
  </si>
  <si>
    <t>Bùi Thị Mỹ Yến</t>
  </si>
  <si>
    <t>302341</t>
  </si>
  <si>
    <t>Lê Thị Kim Ngân</t>
  </si>
  <si>
    <t>302342</t>
  </si>
  <si>
    <t>Nguyễn Ngọc Yến</t>
  </si>
  <si>
    <t>302343</t>
  </si>
  <si>
    <t>Nguyễn Thị Thu Thơ</t>
  </si>
  <si>
    <t>302344</t>
  </si>
  <si>
    <t>Đặng Thị Thanh Sơn</t>
  </si>
  <si>
    <t>302382</t>
  </si>
  <si>
    <t>Nguyễn Thị Kim Hiếu</t>
  </si>
  <si>
    <t>302467</t>
  </si>
  <si>
    <t>Trần Thị Ngọc Hưởng</t>
  </si>
  <si>
    <t>302483</t>
  </si>
  <si>
    <t>Đổng Thị Quý</t>
  </si>
  <si>
    <t>302500</t>
  </si>
  <si>
    <t>Đinh Thị Thanh Loan</t>
  </si>
  <si>
    <t>302506</t>
  </si>
  <si>
    <t>Nguyễn Thị Hải Nam</t>
  </si>
  <si>
    <t>302542</t>
  </si>
  <si>
    <t>Tăng Thị Thó</t>
  </si>
  <si>
    <t>302543</t>
  </si>
  <si>
    <t>Nguyễn Thị Lan Hương</t>
  </si>
  <si>
    <t>302594</t>
  </si>
  <si>
    <t>Mai Thị Kim Nương</t>
  </si>
  <si>
    <t>302668</t>
  </si>
  <si>
    <t>Nguyễn Thị Dung</t>
  </si>
  <si>
    <t>302736</t>
  </si>
  <si>
    <t>Nguyễn Thị Kim Yến</t>
  </si>
  <si>
    <t>200064</t>
  </si>
  <si>
    <t>Lê Thị Hân</t>
  </si>
  <si>
    <t>LINE10</t>
  </si>
  <si>
    <t>201559</t>
  </si>
  <si>
    <t>Nguyễn Thị Thùy Trang</t>
  </si>
  <si>
    <t>200615</t>
  </si>
  <si>
    <t>Thành Thị Kim Cáo</t>
  </si>
  <si>
    <t>200647</t>
  </si>
  <si>
    <t>Thập Nữ Châu Luôn</t>
  </si>
  <si>
    <t>200648</t>
  </si>
  <si>
    <t>Trần Thị Hạnh</t>
  </si>
  <si>
    <t>200662</t>
  </si>
  <si>
    <t>Tài Thị Mỹ Trinh</t>
  </si>
  <si>
    <t>200665</t>
  </si>
  <si>
    <t>200669</t>
  </si>
  <si>
    <t>Trần Thị Kim Ngân</t>
  </si>
  <si>
    <t>200670</t>
  </si>
  <si>
    <t>Nguyễn Thị Mỹ Diễm</t>
  </si>
  <si>
    <t>200672</t>
  </si>
  <si>
    <t>Trần Thị Oanh Kiều</t>
  </si>
  <si>
    <t>200674</t>
  </si>
  <si>
    <t>Phan Thanh Hiệp</t>
  </si>
  <si>
    <t>200675</t>
  </si>
  <si>
    <t>Lê Thị Mỹ Linh</t>
  </si>
  <si>
    <t>200678</t>
  </si>
  <si>
    <t>200681</t>
  </si>
  <si>
    <t>Trượng Thị Như Thúy</t>
  </si>
  <si>
    <t>200682</t>
  </si>
  <si>
    <t>Nguyễn Thị Phượng</t>
  </si>
  <si>
    <t>200685</t>
  </si>
  <si>
    <t>Trượng Thị Dạ</t>
  </si>
  <si>
    <t>200692</t>
  </si>
  <si>
    <t>Sầm Thị Phụng</t>
  </si>
  <si>
    <t>200694</t>
  </si>
  <si>
    <t>Kiều Nữ Mai Tuyên</t>
  </si>
  <si>
    <t>200834</t>
  </si>
  <si>
    <t>Lê Thị Thu Thùy</t>
  </si>
  <si>
    <t>201000</t>
  </si>
  <si>
    <t>Lê Thị Mỹ Nguyệt</t>
  </si>
  <si>
    <t>201464</t>
  </si>
  <si>
    <t>Nguyễn Thị Thúy Hiền</t>
  </si>
  <si>
    <t>201662</t>
  </si>
  <si>
    <t>Đàng Nữ Gia Ngọc</t>
  </si>
  <si>
    <t>201777</t>
  </si>
  <si>
    <t>Đạo Thị Vời</t>
  </si>
  <si>
    <t>201911</t>
  </si>
  <si>
    <t>Lê Thị Thùy An</t>
  </si>
  <si>
    <t>210306</t>
  </si>
  <si>
    <t>Đàng Công Huân</t>
  </si>
  <si>
    <t>302186</t>
  </si>
  <si>
    <t>Hán Thị Mỹ Chuyên</t>
  </si>
  <si>
    <t>302213</t>
  </si>
  <si>
    <t>Đàng Thị Mỹ Diễm</t>
  </si>
  <si>
    <t>312218</t>
  </si>
  <si>
    <t>Trần Hữu Nghĩa</t>
  </si>
  <si>
    <t>302269</t>
  </si>
  <si>
    <t>Võ Thị Tú Quon</t>
  </si>
  <si>
    <t>302323</t>
  </si>
  <si>
    <t>Ngô Thị Hồng Lắm</t>
  </si>
  <si>
    <t>302324</t>
  </si>
  <si>
    <t>Quảng Thị Thùy Trang</t>
  </si>
  <si>
    <t>302325</t>
  </si>
  <si>
    <t>Nguyễn Hoàng Thúy Vân</t>
  </si>
  <si>
    <t>302461</t>
  </si>
  <si>
    <t>Lê Thị Hồng Hoa</t>
  </si>
  <si>
    <t>302590</t>
  </si>
  <si>
    <t>Lê Thị Hồng Thắm</t>
  </si>
  <si>
    <t>302660</t>
  </si>
  <si>
    <t>Trần Thị Kim Huệ</t>
  </si>
  <si>
    <t>312678</t>
  </si>
  <si>
    <t>Nguyễn Tấn Khoa</t>
  </si>
  <si>
    <t>302721</t>
  </si>
  <si>
    <t>Nguyễn Thị Bé Thúy</t>
  </si>
  <si>
    <t>302737</t>
  </si>
  <si>
    <t>Võ Thị Thanh Trúc</t>
  </si>
  <si>
    <t>302738</t>
  </si>
  <si>
    <t>Lê Thị Bích Phương</t>
  </si>
  <si>
    <t>302739</t>
  </si>
  <si>
    <t>Lê Nguyễn Trùng Dương</t>
  </si>
  <si>
    <t>200338</t>
  </si>
  <si>
    <t>Lưu Thị Ngọc Trăng</t>
  </si>
  <si>
    <t>LINE11</t>
  </si>
  <si>
    <t>200890</t>
  </si>
  <si>
    <t>Cao Trúc Hồng</t>
  </si>
  <si>
    <t>201958</t>
  </si>
  <si>
    <t>Vương Thị Hường</t>
  </si>
  <si>
    <t>200891</t>
  </si>
  <si>
    <t>Nguyễn Thị Hôn</t>
  </si>
  <si>
    <t>200893</t>
  </si>
  <si>
    <t>Đạo Thị Lũy</t>
  </si>
  <si>
    <t>200897</t>
  </si>
  <si>
    <t>Nguyễn Thị Lê</t>
  </si>
  <si>
    <t>200900</t>
  </si>
  <si>
    <t>Nguyễn Thị Viên</t>
  </si>
  <si>
    <t>200901</t>
  </si>
  <si>
    <t>Trương Thị Ngọc</t>
  </si>
  <si>
    <t>200906</t>
  </si>
  <si>
    <t>Tô Thị Kim Quyên</t>
  </si>
  <si>
    <t>200914</t>
  </si>
  <si>
    <t>Nguyễn Thị Huệ</t>
  </si>
  <si>
    <t>200918</t>
  </si>
  <si>
    <t>Bùi Thị Thúy Liền</t>
  </si>
  <si>
    <t>200921</t>
  </si>
  <si>
    <t>Nguyễn Thị Phương Tiền</t>
  </si>
  <si>
    <t>200924</t>
  </si>
  <si>
    <t>Mai Thị Ngọc Giàu</t>
  </si>
  <si>
    <t>200974</t>
  </si>
  <si>
    <t>Sử Thị Kim Ái</t>
  </si>
  <si>
    <t>200979</t>
  </si>
  <si>
    <t>Nguyễn Thị Thanh Vẫn</t>
  </si>
  <si>
    <t>201003</t>
  </si>
  <si>
    <t>Phùng Thị Quy</t>
  </si>
  <si>
    <t>201005</t>
  </si>
  <si>
    <t>Bùi Kim Hạnh</t>
  </si>
  <si>
    <t>201574</t>
  </si>
  <si>
    <t>Dương Thị Bảo Duyên</t>
  </si>
  <si>
    <t>201603</t>
  </si>
  <si>
    <t>Cù Thị Mỹ Truyền</t>
  </si>
  <si>
    <t>201972</t>
  </si>
  <si>
    <t>Trương Thị Thảo</t>
  </si>
  <si>
    <t>202010</t>
  </si>
  <si>
    <t>202091</t>
  </si>
  <si>
    <t>Phú Thị Tươi</t>
  </si>
  <si>
    <t>202092</t>
  </si>
  <si>
    <t>Trương Thị Nghĩa</t>
  </si>
  <si>
    <t>202096</t>
  </si>
  <si>
    <t>Tô Thị Ngọc Mai</t>
  </si>
  <si>
    <t>211549</t>
  </si>
  <si>
    <t>Phạm Văn Sang</t>
  </si>
  <si>
    <t>211659</t>
  </si>
  <si>
    <t>Dương Vương</t>
  </si>
  <si>
    <t>212089</t>
  </si>
  <si>
    <t>Vạn Ngọc Ninh</t>
  </si>
  <si>
    <t>302140</t>
  </si>
  <si>
    <t>Mai Nguyễn Thị Trọng Nghĩa</t>
  </si>
  <si>
    <t>302160</t>
  </si>
  <si>
    <t>Nguyễn Thị Bảo Trâm</t>
  </si>
  <si>
    <t>302163</t>
  </si>
  <si>
    <t>Phan Thị Thu Hà</t>
  </si>
  <si>
    <t>302173</t>
  </si>
  <si>
    <t>Đoàn Thị Liễu</t>
  </si>
  <si>
    <t>302227</t>
  </si>
  <si>
    <t>Nguyễn Thị Mỹ Hoa</t>
  </si>
  <si>
    <t>302347</t>
  </si>
  <si>
    <t>Châu Thị Kim Thoa</t>
  </si>
  <si>
    <t>302398</t>
  </si>
  <si>
    <t>302399</t>
  </si>
  <si>
    <t>Lê Thị Huyền</t>
  </si>
  <si>
    <t>302479</t>
  </si>
  <si>
    <t>Phú Thị Kiềm</t>
  </si>
  <si>
    <t>302577</t>
  </si>
  <si>
    <t>Quảng Thị Thu Hà</t>
  </si>
  <si>
    <t>201978</t>
  </si>
  <si>
    <t>Nguyễn Thị Yến Ngọc</t>
  </si>
  <si>
    <t>LINE12</t>
  </si>
  <si>
    <t>201015</t>
  </si>
  <si>
    <t>Nguyễn Trần Yến Nhi</t>
  </si>
  <si>
    <t>200686</t>
  </si>
  <si>
    <t>Đổng Thị Kim Thuần</t>
  </si>
  <si>
    <t>200822</t>
  </si>
  <si>
    <t>Hải Thị Quyền</t>
  </si>
  <si>
    <t>200826</t>
  </si>
  <si>
    <t>Đàng Thị Mỹ Vi</t>
  </si>
  <si>
    <t>200827</t>
  </si>
  <si>
    <t>Quảng Thị Vi Bình</t>
  </si>
  <si>
    <t>200829</t>
  </si>
  <si>
    <t>Đạo Thị Kim</t>
  </si>
  <si>
    <t>200832</t>
  </si>
  <si>
    <t>Vạn Thị Hàn Yến Ni</t>
  </si>
  <si>
    <t>200853</t>
  </si>
  <si>
    <t>Nguyễn Thị Bích Tiền</t>
  </si>
  <si>
    <t>200856</t>
  </si>
  <si>
    <t>Dương Thị Thúy Kiều</t>
  </si>
  <si>
    <t>200859</t>
  </si>
  <si>
    <t>Lê Thị Mỹ Tiên</t>
  </si>
  <si>
    <t>200884</t>
  </si>
  <si>
    <t>Huỳnh Thị Thùy Đan</t>
  </si>
  <si>
    <t>200885</t>
  </si>
  <si>
    <t>Huỳnh Ngọc Noel</t>
  </si>
  <si>
    <t>200887</t>
  </si>
  <si>
    <t>Trần Thị Thân</t>
  </si>
  <si>
    <t>200888</t>
  </si>
  <si>
    <t>Võ Thị Ngọc Trâm</t>
  </si>
  <si>
    <t>200926</t>
  </si>
  <si>
    <t>Tài Thị Mỹ Phương</t>
  </si>
  <si>
    <t>200995</t>
  </si>
  <si>
    <t>Nguyễn Thị Lư</t>
  </si>
  <si>
    <t>201011</t>
  </si>
  <si>
    <t>Bùi Nhật My</t>
  </si>
  <si>
    <t>201033</t>
  </si>
  <si>
    <t>201034</t>
  </si>
  <si>
    <t>Sử Thị Kim Liên</t>
  </si>
  <si>
    <t>201036</t>
  </si>
  <si>
    <t>Phan Thị Thanh Trúc</t>
  </si>
  <si>
    <t>201146</t>
  </si>
  <si>
    <t>Sử Quế Châu</t>
  </si>
  <si>
    <t>201512</t>
  </si>
  <si>
    <t>Đổng Thị Tuyết Nhung</t>
  </si>
  <si>
    <t>201595</t>
  </si>
  <si>
    <t>Nguyễn Thị Hậu</t>
  </si>
  <si>
    <t>201661</t>
  </si>
  <si>
    <t>201725</t>
  </si>
  <si>
    <t>Lê Võ Tường Vân</t>
  </si>
  <si>
    <t>201885</t>
  </si>
  <si>
    <t>Đàng Thị Thanh Nga</t>
  </si>
  <si>
    <t>201984</t>
  </si>
  <si>
    <t>Hán Thị Thế Liêm</t>
  </si>
  <si>
    <t>210976</t>
  </si>
  <si>
    <t>Châu Văn Lai</t>
  </si>
  <si>
    <t>211002</t>
  </si>
  <si>
    <t>Lâm Văn Hiếu</t>
  </si>
  <si>
    <t>211023</t>
  </si>
  <si>
    <t>Ngô Anh Cường</t>
  </si>
  <si>
    <t>211628</t>
  </si>
  <si>
    <t>Sầm Sa Vinh</t>
  </si>
  <si>
    <t>302107</t>
  </si>
  <si>
    <t>Hồ Trúc Thanh</t>
  </si>
  <si>
    <t>302215</t>
  </si>
  <si>
    <t>Nguyễn Thị Thu Hiếu</t>
  </si>
  <si>
    <t>302225</t>
  </si>
  <si>
    <t>Võ Thị Thu Hà</t>
  </si>
  <si>
    <t>302238</t>
  </si>
  <si>
    <t>Lê Huỳnh Trân</t>
  </si>
  <si>
    <t>302239</t>
  </si>
  <si>
    <t>Nguyễn Thị Ngọc Trâm</t>
  </si>
  <si>
    <t>302348</t>
  </si>
  <si>
    <t>Đổng Thị Kim Thanh</t>
  </si>
  <si>
    <t>302400</t>
  </si>
  <si>
    <t>Trần Thị Ngọc Châu</t>
  </si>
  <si>
    <t>302443</t>
  </si>
  <si>
    <t>Lê Thị Tiếp Thu</t>
  </si>
  <si>
    <t>200063</t>
  </si>
  <si>
    <t>Bùi Thị Ngọc Hạnh</t>
  </si>
  <si>
    <t>LINE13</t>
  </si>
  <si>
    <t>200592</t>
  </si>
  <si>
    <t>Đổng Thị Kim Tuyến</t>
  </si>
  <si>
    <t>200750</t>
  </si>
  <si>
    <t>Nguyễn Thị Tho</t>
  </si>
  <si>
    <t>200753</t>
  </si>
  <si>
    <t>Huỳnh Thị Thảo Nhi</t>
  </si>
  <si>
    <t>200757</t>
  </si>
  <si>
    <t>Bùi Thị Như Ý</t>
  </si>
  <si>
    <t>200761</t>
  </si>
  <si>
    <t>Miễu Nữ Thu Hồng</t>
  </si>
  <si>
    <t>200762</t>
  </si>
  <si>
    <t>Vạn Thị Gấm</t>
  </si>
  <si>
    <t>200768</t>
  </si>
  <si>
    <t>Quảng Thị Hồng Văn</t>
  </si>
  <si>
    <t>200778</t>
  </si>
  <si>
    <t>Phạm Thị Trang Đài</t>
  </si>
  <si>
    <t>200779</t>
  </si>
  <si>
    <t>Sử Thị Kim Tươi</t>
  </si>
  <si>
    <t>200788</t>
  </si>
  <si>
    <t>Vũ Thị Ngọc Trâm</t>
  </si>
  <si>
    <t>200789</t>
  </si>
  <si>
    <t>Lê Thị Xuân Tuyết</t>
  </si>
  <si>
    <t>200791</t>
  </si>
  <si>
    <t>Đổng Thị Tuyết</t>
  </si>
  <si>
    <t>200844</t>
  </si>
  <si>
    <t>Nguyễn Thị Trinh</t>
  </si>
  <si>
    <t>200927</t>
  </si>
  <si>
    <t>Nguyễn Thùy Thục Quyên</t>
  </si>
  <si>
    <t>200939</t>
  </si>
  <si>
    <t>Não Thị Diễm Quỳnh</t>
  </si>
  <si>
    <t>201016</t>
  </si>
  <si>
    <t>Trần Thị Thanh Xuân</t>
  </si>
  <si>
    <t>201138</t>
  </si>
  <si>
    <t>Thành Thị Mộng Tiên</t>
  </si>
  <si>
    <t>201402</t>
  </si>
  <si>
    <t>Võ Thị Trà My</t>
  </si>
  <si>
    <t>201429</t>
  </si>
  <si>
    <t>Trương Thị Diệu Hòa</t>
  </si>
  <si>
    <t>201587</t>
  </si>
  <si>
    <t>Bùi Bình Nguyên</t>
  </si>
  <si>
    <t>201651</t>
  </si>
  <si>
    <t>Dương Thị Diệu My</t>
  </si>
  <si>
    <t>201739</t>
  </si>
  <si>
    <t>Đạo Thị Thẩm</t>
  </si>
  <si>
    <t>201740</t>
  </si>
  <si>
    <t>Trần Anh Thư</t>
  </si>
  <si>
    <t>201751</t>
  </si>
  <si>
    <t>Thạch Vũ Kim Trâm</t>
  </si>
  <si>
    <t>201921</t>
  </si>
  <si>
    <t>Nguyễn Thị Mát</t>
  </si>
  <si>
    <t>201983</t>
  </si>
  <si>
    <t>Thiên Thảo My</t>
  </si>
  <si>
    <t>202076</t>
  </si>
  <si>
    <t>Đàng Thị Thanh Lý</t>
  </si>
  <si>
    <t>210741</t>
  </si>
  <si>
    <t>Nguyễn Văn Tình</t>
  </si>
  <si>
    <t>210765</t>
  </si>
  <si>
    <t>Nguyễn Minh Đô</t>
  </si>
  <si>
    <t>302134</t>
  </si>
  <si>
    <t>Lê Thị Linh</t>
  </si>
  <si>
    <t>302137</t>
  </si>
  <si>
    <t>Nguyễn Thị Phương</t>
  </si>
  <si>
    <t>312259</t>
  </si>
  <si>
    <t>Lê Văn Nho</t>
  </si>
  <si>
    <t>302292</t>
  </si>
  <si>
    <t>Cao Thị Thanh Thùy</t>
  </si>
  <si>
    <t>302316</t>
  </si>
  <si>
    <t>Lâm Thị Thanh Tiến</t>
  </si>
  <si>
    <t>302427</t>
  </si>
  <si>
    <t>Trịnh Thị Bích My</t>
  </si>
  <si>
    <t>302448</t>
  </si>
  <si>
    <t>Nguyễn Thị Nhi</t>
  </si>
  <si>
    <t>302466</t>
  </si>
  <si>
    <t>Trần Đặng Kiều Tuyên</t>
  </si>
  <si>
    <t>302477</t>
  </si>
  <si>
    <t>Châu Hồng Thỏa</t>
  </si>
  <si>
    <t>302504</t>
  </si>
  <si>
    <t>Quảng Thị Kim Hưởng</t>
  </si>
  <si>
    <t>312608</t>
  </si>
  <si>
    <t>Nguyễn Thanh Sang</t>
  </si>
  <si>
    <t>312677</t>
  </si>
  <si>
    <t>Lê Văn Đăng</t>
  </si>
  <si>
    <t>302740</t>
  </si>
  <si>
    <t>Nguyễn Thị Mai Lan</t>
  </si>
  <si>
    <t>302761</t>
  </si>
  <si>
    <t>Nguyễn Hoàng Qúy</t>
  </si>
  <si>
    <t>200401</t>
  </si>
  <si>
    <t>Nguyễn Thị Hồng Hạnh</t>
  </si>
  <si>
    <t>LINE14</t>
  </si>
  <si>
    <t>302381</t>
  </si>
  <si>
    <t>Đàng Thị Kim Bến</t>
  </si>
  <si>
    <t>201042</t>
  </si>
  <si>
    <t>Trần Thị Loan</t>
  </si>
  <si>
    <t>201045</t>
  </si>
  <si>
    <t>Hán Thị Kim Yến</t>
  </si>
  <si>
    <t>201047</t>
  </si>
  <si>
    <t>Nại Thị Trâm</t>
  </si>
  <si>
    <t>201053</t>
  </si>
  <si>
    <t>Đàng Thị Liên</t>
  </si>
  <si>
    <t>201055</t>
  </si>
  <si>
    <t>Trần Thị Ánh Nguyệt</t>
  </si>
  <si>
    <t>201062</t>
  </si>
  <si>
    <t>Dương Thị Mỹ Hương</t>
  </si>
  <si>
    <t>201064</t>
  </si>
  <si>
    <t>Lê Thị Kim Tiếm</t>
  </si>
  <si>
    <t>201066</t>
  </si>
  <si>
    <t>Bùi Thị Bích Ngọc</t>
  </si>
  <si>
    <t>201068</t>
  </si>
  <si>
    <t>Đổng Thị Kim Tài</t>
  </si>
  <si>
    <t>201069</t>
  </si>
  <si>
    <t>Quảng Thị Kim Trể</t>
  </si>
  <si>
    <t>201070</t>
  </si>
  <si>
    <t>Trịnh Thị Nga</t>
  </si>
  <si>
    <t>201072</t>
  </si>
  <si>
    <t>Nguyễn Thị Châu Đoan</t>
  </si>
  <si>
    <t>201084</t>
  </si>
  <si>
    <t>Vạn Thị Nhâm</t>
  </si>
  <si>
    <t>201087</t>
  </si>
  <si>
    <t>201091</t>
  </si>
  <si>
    <t>Nguyễn Thị Kim Tiến</t>
  </si>
  <si>
    <t>201096</t>
  </si>
  <si>
    <t xml:space="preserve">Nguyễn Thị Huyền Vân </t>
  </si>
  <si>
    <t>201097</t>
  </si>
  <si>
    <t>Đinh Thị Kim Liên</t>
  </si>
  <si>
    <t>201105</t>
  </si>
  <si>
    <t>Phạm Thị Hẵn</t>
  </si>
  <si>
    <t>201107</t>
  </si>
  <si>
    <t>Lê Thị Ngọc Thư</t>
  </si>
  <si>
    <t>201109</t>
  </si>
  <si>
    <t>Hà Mỹ Dung</t>
  </si>
  <si>
    <t>201111</t>
  </si>
  <si>
    <t>Đàng Thị Nhiên</t>
  </si>
  <si>
    <t>201144</t>
  </si>
  <si>
    <t>Trần Thịnh Thảo</t>
  </si>
  <si>
    <t>201181</t>
  </si>
  <si>
    <t>Kiều Thị Hồng Tím</t>
  </si>
  <si>
    <t>201184</t>
  </si>
  <si>
    <t>Dương Thị Hòa</t>
  </si>
  <si>
    <t>201185</t>
  </si>
  <si>
    <t>Châu Thị Ánh Pha</t>
  </si>
  <si>
    <t>202078</t>
  </si>
  <si>
    <t>Quảng Nữ Kiều Loan</t>
  </si>
  <si>
    <t>211760</t>
  </si>
  <si>
    <t>Hồ Lê Qúy Dương</t>
  </si>
  <si>
    <t>212055</t>
  </si>
  <si>
    <t>Ngô Văn Nam</t>
  </si>
  <si>
    <t>302110</t>
  </si>
  <si>
    <t>Thành Thị Kim Huệ</t>
  </si>
  <si>
    <t>302111</t>
  </si>
  <si>
    <t>Nguyễn Thị Mỹ Duyên</t>
  </si>
  <si>
    <t>302161</t>
  </si>
  <si>
    <t>Nguyễn Thị Nương</t>
  </si>
  <si>
    <t>302172</t>
  </si>
  <si>
    <t>Trượng Thị Hòa</t>
  </si>
  <si>
    <t>302204</t>
  </si>
  <si>
    <t>Châu Nữ Mỹ Dư</t>
  </si>
  <si>
    <t>302241</t>
  </si>
  <si>
    <t>Nguyễn Thị Sáu</t>
  </si>
  <si>
    <t>302270</t>
  </si>
  <si>
    <t>Huỳnh Thị Hải</t>
  </si>
  <si>
    <t>302480</t>
  </si>
  <si>
    <t>Trần Thị Ngọc Sử</t>
  </si>
  <si>
    <t>200537</t>
  </si>
  <si>
    <t>LINE15</t>
  </si>
  <si>
    <t>201242</t>
  </si>
  <si>
    <t>Nguyễn Thị Hồng Tuyền</t>
  </si>
  <si>
    <t>201085</t>
  </si>
  <si>
    <t>Vạn Thị Kính</t>
  </si>
  <si>
    <t>201089</t>
  </si>
  <si>
    <t>Đàng Thị Môi</t>
  </si>
  <si>
    <t>201102</t>
  </si>
  <si>
    <t>Hứa Thị Tách</t>
  </si>
  <si>
    <t>201110</t>
  </si>
  <si>
    <t>Lê Thị Thúy</t>
  </si>
  <si>
    <t>201119</t>
  </si>
  <si>
    <t>Trần Thị Mỹ Quyền</t>
  </si>
  <si>
    <t>201158</t>
  </si>
  <si>
    <t>Năng Thị Kim Hoa</t>
  </si>
  <si>
    <t>201159</t>
  </si>
  <si>
    <t>Trượng Thị Hồng Yến</t>
  </si>
  <si>
    <t>201160</t>
  </si>
  <si>
    <t>Đổng Thị Thu Thêm</t>
  </si>
  <si>
    <t>201163</t>
  </si>
  <si>
    <t>Trần Thị Ngọc Anh</t>
  </si>
  <si>
    <t>201164</t>
  </si>
  <si>
    <t>Đạo Thị Xuân Hoàng</t>
  </si>
  <si>
    <t>201165</t>
  </si>
  <si>
    <t>Hàm Thị Thanh</t>
  </si>
  <si>
    <t>201170</t>
  </si>
  <si>
    <t>Ngụy Thị Cẩm Tiên</t>
  </si>
  <si>
    <t>201173</t>
  </si>
  <si>
    <t>Kiều Thị Tại</t>
  </si>
  <si>
    <t>201176</t>
  </si>
  <si>
    <t>Lưu Thị Kim Truyện</t>
  </si>
  <si>
    <t>201222</t>
  </si>
  <si>
    <t>Hán Thị Nữ Hạ</t>
  </si>
  <si>
    <t>201232</t>
  </si>
  <si>
    <t>Hán Thị Phương</t>
  </si>
  <si>
    <t>201234</t>
  </si>
  <si>
    <t>Võ Thị Kim Ái</t>
  </si>
  <si>
    <t>201247</t>
  </si>
  <si>
    <t>Tài Thị Lệ Bích</t>
  </si>
  <si>
    <t>201311</t>
  </si>
  <si>
    <t>Nguyễn Thị Diễm</t>
  </si>
  <si>
    <t>201345</t>
  </si>
  <si>
    <t>Lê Thị Ngọc Oanh</t>
  </si>
  <si>
    <t>201551</t>
  </si>
  <si>
    <t>Nguyễn Thị Nga</t>
  </si>
  <si>
    <t>201839</t>
  </si>
  <si>
    <t>Kim Thị Thỉnh</t>
  </si>
  <si>
    <t>201912</t>
  </si>
  <si>
    <t>Nguyễn Thị Bích Diểm</t>
  </si>
  <si>
    <t>201933</t>
  </si>
  <si>
    <t>Lưu Thị Trúc Lam</t>
  </si>
  <si>
    <t>201982</t>
  </si>
  <si>
    <t>Lê Thị Hòa</t>
  </si>
  <si>
    <t>201994</t>
  </si>
  <si>
    <t>Võ Thị Nguyên Ly</t>
  </si>
  <si>
    <t>202026</t>
  </si>
  <si>
    <t>Lê Ngọc Hân</t>
  </si>
  <si>
    <t>211310</t>
  </si>
  <si>
    <t>Nguyễn Văn Nhường</t>
  </si>
  <si>
    <t>211633</t>
  </si>
  <si>
    <t>Tài Anh Thi</t>
  </si>
  <si>
    <t>302196</t>
  </si>
  <si>
    <t>Hà Thị Thu Hiền</t>
  </si>
  <si>
    <t>312112</t>
  </si>
  <si>
    <t>Trần Đức Phong</t>
  </si>
  <si>
    <t>302330</t>
  </si>
  <si>
    <t>Nguyễn Thị Dược</t>
  </si>
  <si>
    <t>302352</t>
  </si>
  <si>
    <t>Lưu Thị Hồng Nhung</t>
  </si>
  <si>
    <t>312489</t>
  </si>
  <si>
    <t>Hồ Sĩ Đan</t>
  </si>
  <si>
    <t>302750</t>
  </si>
  <si>
    <t>Ngô Thị Bảo</t>
  </si>
  <si>
    <t>201922</t>
  </si>
  <si>
    <t>Nguyễn Thị Thanh Thúy</t>
  </si>
  <si>
    <t>LINE16</t>
  </si>
  <si>
    <t>200463</t>
  </si>
  <si>
    <t>Lê Thị Mai Trinh</t>
  </si>
  <si>
    <t>201218</t>
  </si>
  <si>
    <t>Đặng Thị Hồng Xốm</t>
  </si>
  <si>
    <t>201219</t>
  </si>
  <si>
    <t>Dương Thị Ngọc Diệp</t>
  </si>
  <si>
    <t>201220</t>
  </si>
  <si>
    <t>Nguyễn Thị Nguyệt</t>
  </si>
  <si>
    <t>201228</t>
  </si>
  <si>
    <t>Hán Thị Ngọc Linh</t>
  </si>
  <si>
    <t>201235</t>
  </si>
  <si>
    <t>Lê Thị Út</t>
  </si>
  <si>
    <t>201253</t>
  </si>
  <si>
    <t>Quảng Thị Trâm</t>
  </si>
  <si>
    <t>201254</t>
  </si>
  <si>
    <t>Nguyễn Thị Ngọc Thu</t>
  </si>
  <si>
    <t>201267</t>
  </si>
  <si>
    <t>Trượng Thị Kim Trung</t>
  </si>
  <si>
    <t>201279</t>
  </si>
  <si>
    <t>Tài Thị Như Thủy</t>
  </si>
  <si>
    <t>201285</t>
  </si>
  <si>
    <t>Nguyễn Thị Minh Thu</t>
  </si>
  <si>
    <t>201305</t>
  </si>
  <si>
    <t>Nguyễn Thị Thanh Trường</t>
  </si>
  <si>
    <t>201346</t>
  </si>
  <si>
    <t>Lê Thị Phú</t>
  </si>
  <si>
    <t>201780</t>
  </si>
  <si>
    <t>Tài Thị Mộng Trúc</t>
  </si>
  <si>
    <t>201934</t>
  </si>
  <si>
    <t>Trượng Thị Như Phụng</t>
  </si>
  <si>
    <t>201938</t>
  </si>
  <si>
    <t>Lưu Thị Kim Hương</t>
  </si>
  <si>
    <t>201951</t>
  </si>
  <si>
    <t>Trần Thị Thuận</t>
  </si>
  <si>
    <t>201986</t>
  </si>
  <si>
    <t>Trương Thái Ngân</t>
  </si>
  <si>
    <t>201998</t>
  </si>
  <si>
    <t>Lưu Thị Kim Hòa</t>
  </si>
  <si>
    <t>211248</t>
  </si>
  <si>
    <t>Lê Ngọc Dũng</t>
  </si>
  <si>
    <t>211717</t>
  </si>
  <si>
    <t>Nguyễn Đình Thất</t>
  </si>
  <si>
    <t>302127</t>
  </si>
  <si>
    <t>Nguyễn Thị Như Hảo</t>
  </si>
  <si>
    <t>302155</t>
  </si>
  <si>
    <t>Trần Thị Kim Liên</t>
  </si>
  <si>
    <t>302158</t>
  </si>
  <si>
    <t>Hán Thị Mỹ Châm</t>
  </si>
  <si>
    <t>302162</t>
  </si>
  <si>
    <t>Tạ Thị Ngọc Trâm</t>
  </si>
  <si>
    <t>302216</t>
  </si>
  <si>
    <t>Đàng Thị Mỹ Châu</t>
  </si>
  <si>
    <t>302217</t>
  </si>
  <si>
    <t>Lê Thị Hằng Thu</t>
  </si>
  <si>
    <t>312141</t>
  </si>
  <si>
    <t>Nguyễn Kim Danh</t>
  </si>
  <si>
    <t>302242</t>
  </si>
  <si>
    <t>Nguyễn Thị Xuân Thảo</t>
  </si>
  <si>
    <t>302511</t>
  </si>
  <si>
    <t>Phạm Thị Thu Thủy</t>
  </si>
  <si>
    <t>302764</t>
  </si>
  <si>
    <t>302765</t>
  </si>
  <si>
    <t>Hán Nữ Thùy Nhi</t>
  </si>
  <si>
    <t>201302</t>
  </si>
  <si>
    <t>Nguyễn Thị Trung Hiếu</t>
  </si>
  <si>
    <t>LINE17</t>
  </si>
  <si>
    <t>201715</t>
  </si>
  <si>
    <t>Thành Thị Ngọc Hoa</t>
  </si>
  <si>
    <t>200390</t>
  </si>
  <si>
    <t>Nguyễn Thị Thu Thảo</t>
  </si>
  <si>
    <t>200475</t>
  </si>
  <si>
    <t>Nguyễn Thành Thu Nhung</t>
  </si>
  <si>
    <t>201356</t>
  </si>
  <si>
    <t>Danh Thị Mỹ Kim Nhuyễn</t>
  </si>
  <si>
    <t>201359</t>
  </si>
  <si>
    <t>Trượng Thị Diễm My</t>
  </si>
  <si>
    <t>201360</t>
  </si>
  <si>
    <t>Đàng Thị Ngọc</t>
  </si>
  <si>
    <t>201364</t>
  </si>
  <si>
    <t>Trần Thị Hồng Phượng</t>
  </si>
  <si>
    <t>201373</t>
  </si>
  <si>
    <t>Huỳnh Thị Bích Lệ</t>
  </si>
  <si>
    <t>201394</t>
  </si>
  <si>
    <t>Não Nữ Bạch Tuyết</t>
  </si>
  <si>
    <t>201408</t>
  </si>
  <si>
    <t>Nguyễn Thị Kim Linh</t>
  </si>
  <si>
    <t>201415</t>
  </si>
  <si>
    <t>Hồ Thị Trinh</t>
  </si>
  <si>
    <t>201432</t>
  </si>
  <si>
    <t>Nại Thị Cẩm Tú</t>
  </si>
  <si>
    <t>201455</t>
  </si>
  <si>
    <t>Châu Lưu Nữ Hồng Nhung</t>
  </si>
  <si>
    <t>201468</t>
  </si>
  <si>
    <t>Lê Thị Minh Trâm</t>
  </si>
  <si>
    <t>201474</t>
  </si>
  <si>
    <t>Nguyễn Hồ Bảo Như</t>
  </si>
  <si>
    <t>201478</t>
  </si>
  <si>
    <t>Võ Thị Trúc Vi</t>
  </si>
  <si>
    <t>201535</t>
  </si>
  <si>
    <t>Đỗ Thị Hồng Yến</t>
  </si>
  <si>
    <t>201704</t>
  </si>
  <si>
    <t>Đạo Thị Gởi</t>
  </si>
  <si>
    <t>201711</t>
  </si>
  <si>
    <t>201783</t>
  </si>
  <si>
    <t>Lê Thị Kim Hương</t>
  </si>
  <si>
    <t>201838</t>
  </si>
  <si>
    <t>Não Thị Út</t>
  </si>
  <si>
    <t>211331</t>
  </si>
  <si>
    <t>Trần Quang Thái</t>
  </si>
  <si>
    <t>211365</t>
  </si>
  <si>
    <t>Chu Lê Thanh Phương</t>
  </si>
  <si>
    <t>211410</t>
  </si>
  <si>
    <t>Đạo Hoàng Ưng</t>
  </si>
  <si>
    <t>211660</t>
  </si>
  <si>
    <t>Trần Gia Luân</t>
  </si>
  <si>
    <t>211964</t>
  </si>
  <si>
    <t>Thành Tài Trang Trại</t>
  </si>
  <si>
    <t>302114</t>
  </si>
  <si>
    <t xml:space="preserve">Đỗ Thị Bích Ngân </t>
  </si>
  <si>
    <t>302164</t>
  </si>
  <si>
    <t>Nguyễn Thị Như Ý</t>
  </si>
  <si>
    <t>302203</t>
  </si>
  <si>
    <t>Lê Thị Thanh Thúy</t>
  </si>
  <si>
    <t>312128</t>
  </si>
  <si>
    <t>Đàng Năng Minh</t>
  </si>
  <si>
    <t>302401</t>
  </si>
  <si>
    <t>Lê Thị Ngọc Xuyến</t>
  </si>
  <si>
    <t>302402</t>
  </si>
  <si>
    <t>Dương Nguyễn Ngọc Quỳnh</t>
  </si>
  <si>
    <t>302487</t>
  </si>
  <si>
    <t>Huỳnh Thị Ngọc</t>
  </si>
  <si>
    <t>302741</t>
  </si>
  <si>
    <t>Châu Thị Kim Gọn</t>
  </si>
  <si>
    <t>302758</t>
  </si>
  <si>
    <t>Lê Thị Bích Như</t>
  </si>
  <si>
    <t>200254</t>
  </si>
  <si>
    <t xml:space="preserve">Cao Thị Lan </t>
  </si>
  <si>
    <t>LINE18</t>
  </si>
  <si>
    <t>201396</t>
  </si>
  <si>
    <t>Nguyễn Thị Linh Huy</t>
  </si>
  <si>
    <t>201437</t>
  </si>
  <si>
    <t>Lai Thị Dự</t>
  </si>
  <si>
    <t>201646</t>
  </si>
  <si>
    <t>Nguyễn Thị Thanh Tuyết</t>
  </si>
  <si>
    <t>201678</t>
  </si>
  <si>
    <t>Trần Diệu Vy</t>
  </si>
  <si>
    <t>201688</t>
  </si>
  <si>
    <t>201696</t>
  </si>
  <si>
    <t>Phạm Thị Mỹ Linh</t>
  </si>
  <si>
    <t>201697</t>
  </si>
  <si>
    <t>Trần Thị Mỹ Thân</t>
  </si>
  <si>
    <t>201784</t>
  </si>
  <si>
    <t>Vạn Thị Mỹ Hịp</t>
  </si>
  <si>
    <t>201786</t>
  </si>
  <si>
    <t>Diệp Lệ Thu Hiền</t>
  </si>
  <si>
    <t>201799</t>
  </si>
  <si>
    <t>Quảng Thị Thanh Diều</t>
  </si>
  <si>
    <t>201812</t>
  </si>
  <si>
    <t>Lưu Thị Kim Nhịn</t>
  </si>
  <si>
    <t>201820</t>
  </si>
  <si>
    <t>Trương Thị Nhàn</t>
  </si>
  <si>
    <t>201825</t>
  </si>
  <si>
    <t>Nguyễn Thị Diễm Thúy</t>
  </si>
  <si>
    <t>201498</t>
  </si>
  <si>
    <t>Huỳnh Thị Ngân Ly</t>
  </si>
  <si>
    <t>201865</t>
  </si>
  <si>
    <t>Tô Thị Kim Liên</t>
  </si>
  <si>
    <t>201872</t>
  </si>
  <si>
    <t>Võ Thị Minh Thư</t>
  </si>
  <si>
    <t>201883</t>
  </si>
  <si>
    <t>Nguyễn Thanh Thảo</t>
  </si>
  <si>
    <t>201987</t>
  </si>
  <si>
    <t>Dương Thị Kin</t>
  </si>
  <si>
    <t>202073</t>
  </si>
  <si>
    <t>Mai Thị Bội</t>
  </si>
  <si>
    <t>202094</t>
  </si>
  <si>
    <t>Đổng Thị Xuân Hồng</t>
  </si>
  <si>
    <t>211856</t>
  </si>
  <si>
    <t>Từ Ngọc Quỳnh</t>
  </si>
  <si>
    <t>212041</t>
  </si>
  <si>
    <t>Nguyễn Văn Tạo</t>
  </si>
  <si>
    <t>302152</t>
  </si>
  <si>
    <t>Lưu Thị Hồng Đà</t>
  </si>
  <si>
    <t>302153</t>
  </si>
  <si>
    <t>Kiều Thị Kim Đang</t>
  </si>
  <si>
    <t>302176</t>
  </si>
  <si>
    <t>Nguyễn Thị Kiều Diễm</t>
  </si>
  <si>
    <t>302271</t>
  </si>
  <si>
    <t>302403</t>
  </si>
  <si>
    <t>Huỳnh Hoa Thị Kim Chi</t>
  </si>
  <si>
    <t>302481</t>
  </si>
  <si>
    <t>Nguyễn Lê Như Quỳnh</t>
  </si>
  <si>
    <t>302510</t>
  </si>
  <si>
    <t>Lâm Thị Thu Hà</t>
  </si>
  <si>
    <t>302562</t>
  </si>
  <si>
    <t>Nguyễn Lê Phương Quỳnh</t>
  </si>
  <si>
    <t>302603</t>
  </si>
  <si>
    <t xml:space="preserve">Nguyễn Thị Huệ </t>
  </si>
  <si>
    <t>302706</t>
  </si>
  <si>
    <t>Nguyễn Thị Thanh Phương</t>
  </si>
  <si>
    <t>312707</t>
  </si>
  <si>
    <t>Nguyễn Hữu Trọng</t>
  </si>
  <si>
    <t>302762</t>
  </si>
  <si>
    <t>Ngô Thị Mai Hương</t>
  </si>
  <si>
    <t>302766</t>
  </si>
  <si>
    <t>Mai Thị Tươi</t>
  </si>
  <si>
    <t>302767</t>
  </si>
  <si>
    <t>Nguyễn Thị My</t>
  </si>
  <si>
    <t>302768</t>
  </si>
  <si>
    <t>Lê Thị Hạnh</t>
  </si>
  <si>
    <t>201583</t>
  </si>
  <si>
    <t>Lê Thị Thanh Dung</t>
  </si>
  <si>
    <t>LINE19</t>
  </si>
  <si>
    <t>212075</t>
  </si>
  <si>
    <t>Quảng Thành Quốc Vương</t>
  </si>
  <si>
    <t>302101</t>
  </si>
  <si>
    <t>Vương Thị Mỹ Hương</t>
  </si>
  <si>
    <t>302138</t>
  </si>
  <si>
    <t>Tài Nữ Lệ Dung</t>
  </si>
  <si>
    <t>302279</t>
  </si>
  <si>
    <t>Tô Thị Thanh Nhi</t>
  </si>
  <si>
    <t>302280</t>
  </si>
  <si>
    <t>Nguyễn Thị Hoàng Duyên</t>
  </si>
  <si>
    <t>302281</t>
  </si>
  <si>
    <t>Trần Thùy Trang</t>
  </si>
  <si>
    <t>302282</t>
  </si>
  <si>
    <t>Nguyễn Thị Kim Ngân</t>
  </si>
  <si>
    <t>302284</t>
  </si>
  <si>
    <t>Nguyễn Thị Ngọc Lệ</t>
  </si>
  <si>
    <t>302287</t>
  </si>
  <si>
    <t>Bùi Thị Phương Trinh</t>
  </si>
  <si>
    <t>302288</t>
  </si>
  <si>
    <t>Trần Thị Thành</t>
  </si>
  <si>
    <t>302289</t>
  </si>
  <si>
    <t>Nguyễn Thị Nhật Trinh</t>
  </si>
  <si>
    <t>302291</t>
  </si>
  <si>
    <t>Phạm Thị Trúc Hôm</t>
  </si>
  <si>
    <t>302293</t>
  </si>
  <si>
    <t>Thái Thị Thanh Thảo</t>
  </si>
  <si>
    <t>302294</t>
  </si>
  <si>
    <t>302296</t>
  </si>
  <si>
    <t>Lê Thị Thu Duyên</t>
  </si>
  <si>
    <t>302298</t>
  </si>
  <si>
    <t>Trương Thị Hiếu</t>
  </si>
  <si>
    <t>302299</t>
  </si>
  <si>
    <t>Phạm Thị Trinh</t>
  </si>
  <si>
    <t>302301</t>
  </si>
  <si>
    <t>Trần Thị Kim Uyên</t>
  </si>
  <si>
    <t>302303</t>
  </si>
  <si>
    <t>Mai Thị Thủy Tiên</t>
  </si>
  <si>
    <t>302304</t>
  </si>
  <si>
    <t>Lê Thị Quỳnh</t>
  </si>
  <si>
    <t>312306</t>
  </si>
  <si>
    <t>Kiều Thanh Phương</t>
  </si>
  <si>
    <t>302307</t>
  </si>
  <si>
    <t>Trần Thị Thanh Phương</t>
  </si>
  <si>
    <t>302308</t>
  </si>
  <si>
    <t>Trương Thị Ngọc Phượng</t>
  </si>
  <si>
    <t>302311</t>
  </si>
  <si>
    <t>Phan Trần Yến Nhi</t>
  </si>
  <si>
    <t>302312</t>
  </si>
  <si>
    <t>Dương Thị Minh Thư</t>
  </si>
  <si>
    <t>302313</t>
  </si>
  <si>
    <t>Đàng Thị Như Quỳnh</t>
  </si>
  <si>
    <t>302315</t>
  </si>
  <si>
    <t>Lưu Thị Thu Thảo</t>
  </si>
  <si>
    <t>302318</t>
  </si>
  <si>
    <t>Thạch Thị Thùy Trang</t>
  </si>
  <si>
    <t>302449</t>
  </si>
  <si>
    <t>Nguyễn Thị Bảo Hằng</t>
  </si>
  <si>
    <t>200774</t>
  </si>
  <si>
    <t>Trần Thị Nho</t>
  </si>
  <si>
    <t>LINE20</t>
  </si>
  <si>
    <t>202070</t>
  </si>
  <si>
    <t>Nguyễn Thị Thùy Linh</t>
  </si>
  <si>
    <t>302419</t>
  </si>
  <si>
    <t>Thái Thị Kim Huệ</t>
  </si>
  <si>
    <t>302420</t>
  </si>
  <si>
    <t>Hồ Thị Trúc Quyên</t>
  </si>
  <si>
    <t>302421</t>
  </si>
  <si>
    <t>Nguyễn Thị Bé</t>
  </si>
  <si>
    <t>302422</t>
  </si>
  <si>
    <t>Trương Thị Thanh Thủy</t>
  </si>
  <si>
    <t>302423</t>
  </si>
  <si>
    <t>Thành Thị Cẩm Tiên</t>
  </si>
  <si>
    <t>302424</t>
  </si>
  <si>
    <t>Đạo Thị Trâm Anh</t>
  </si>
  <si>
    <t>302426</t>
  </si>
  <si>
    <t>Nguyễn Kiều Uyển My</t>
  </si>
  <si>
    <t>302428</t>
  </si>
  <si>
    <t>Nguyễn Thị Kim Thanh</t>
  </si>
  <si>
    <t>302429</t>
  </si>
  <si>
    <t>Nguyễn Thị Thu Thuyền</t>
  </si>
  <si>
    <t>302430</t>
  </si>
  <si>
    <t>302432</t>
  </si>
  <si>
    <t>Trần Thị Kim Linh</t>
  </si>
  <si>
    <t>302434</t>
  </si>
  <si>
    <t>Đạo Thị Hồng Nhung</t>
  </si>
  <si>
    <t>302435</t>
  </si>
  <si>
    <t>Mã Thị Kim Thọ</t>
  </si>
  <si>
    <t>302436</t>
  </si>
  <si>
    <t>Trượng Lưu Kim Uy</t>
  </si>
  <si>
    <t>302437</t>
  </si>
  <si>
    <t>Tài Thị Kim Niệm</t>
  </si>
  <si>
    <t>302438</t>
  </si>
  <si>
    <t>Đạo Thị Thu Hà</t>
  </si>
  <si>
    <t>302465</t>
  </si>
  <si>
    <t>Trần Đặng Kiều Tuyền</t>
  </si>
  <si>
    <t>302473</t>
  </si>
  <si>
    <t>Trượng Bình Nữ Huân</t>
  </si>
  <si>
    <t>302474</t>
  </si>
  <si>
    <t>Bá Thị Ngọc Ánh</t>
  </si>
  <si>
    <t>312494</t>
  </si>
  <si>
    <t>Nguyễn Lê Anh Vũ</t>
  </si>
  <si>
    <t>312532</t>
  </si>
  <si>
    <t>Trần Khắc Linh</t>
  </si>
  <si>
    <t>302564</t>
  </si>
  <si>
    <t xml:space="preserve">Trần Thị Thanh Hồng </t>
  </si>
  <si>
    <t>302727</t>
  </si>
  <si>
    <t>Ngụy Thị Ngọc Uyển</t>
  </si>
  <si>
    <t>302733</t>
  </si>
  <si>
    <t xml:space="preserve">Nguyễn Thị Trang </t>
  </si>
  <si>
    <t>302742</t>
  </si>
  <si>
    <t>Trương Thị Ngọc Cơ</t>
  </si>
  <si>
    <t>302743</t>
  </si>
  <si>
    <t>Phan Thị Nhi</t>
  </si>
  <si>
    <t>302751</t>
  </si>
  <si>
    <t>Trần Nguyễn Thảo Nguyên</t>
  </si>
  <si>
    <t>312752</t>
  </si>
  <si>
    <t>Trần Công Trường</t>
  </si>
  <si>
    <t>302759</t>
  </si>
  <si>
    <t>Đạo Nữ Trung Thành</t>
  </si>
  <si>
    <t>302763</t>
  </si>
  <si>
    <t>Thế Thị Kim Doanh</t>
  </si>
  <si>
    <t>302433</t>
  </si>
  <si>
    <t>Thành Thị Mỹ Huyền</t>
  </si>
  <si>
    <t>LINE21</t>
  </si>
  <si>
    <t>302537</t>
  </si>
  <si>
    <t>302538</t>
  </si>
  <si>
    <t>Nguyễn Thị Đến</t>
  </si>
  <si>
    <t>302539</t>
  </si>
  <si>
    <t>Lê Thị Mỹ Chánh</t>
  </si>
  <si>
    <t>302540</t>
  </si>
  <si>
    <t>Lê Trần Nhật My</t>
  </si>
  <si>
    <t>302565</t>
  </si>
  <si>
    <t>Trương Thị Tuyết Lên</t>
  </si>
  <si>
    <t>312566</t>
  </si>
  <si>
    <t>Nguyễn Anh Minh</t>
  </si>
  <si>
    <t>302567</t>
  </si>
  <si>
    <t>Kiều Thị Yến Thi</t>
  </si>
  <si>
    <t>302584</t>
  </si>
  <si>
    <t>Nguyễn Thị Thanh Thảo</t>
  </si>
  <si>
    <t>302585</t>
  </si>
  <si>
    <t>Châu Thị Hoàn Thành</t>
  </si>
  <si>
    <t>302619</t>
  </si>
  <si>
    <t>Trương Nguyễn Thu Thảo</t>
  </si>
  <si>
    <t>302626</t>
  </si>
  <si>
    <t>Phạm Thị Nhật Nam</t>
  </si>
  <si>
    <t>302673</t>
  </si>
  <si>
    <t>Đổng Thị Kim Trụ</t>
  </si>
  <si>
    <t>302674</t>
  </si>
  <si>
    <t>Trần Thị Bích Nhung</t>
  </si>
  <si>
    <t>302686</t>
  </si>
  <si>
    <t>Nguyễn Nhật Quỳnh</t>
  </si>
  <si>
    <t>302687</t>
  </si>
  <si>
    <t>Nguyễn Thị Ngọc Hòa</t>
  </si>
  <si>
    <t>302692</t>
  </si>
  <si>
    <t>Thiên Thị Mỹ Yếm</t>
  </si>
  <si>
    <t>302694</t>
  </si>
  <si>
    <t>Châu Thị Trăm</t>
  </si>
  <si>
    <t>302695</t>
  </si>
  <si>
    <t>Đàng Thị Mỹ Nhẫn</t>
  </si>
  <si>
    <t>302697</t>
  </si>
  <si>
    <t>Thiết Thị Vi Lộc</t>
  </si>
  <si>
    <t>302698</t>
  </si>
  <si>
    <t>Phạm Thị Hiếu</t>
  </si>
  <si>
    <t>302744</t>
  </si>
  <si>
    <t>Não Thúy Hằng</t>
  </si>
  <si>
    <t>210072</t>
  </si>
  <si>
    <t>Phạm Văn Út</t>
  </si>
  <si>
    <t>LINE22</t>
  </si>
  <si>
    <t>312246</t>
  </si>
  <si>
    <t>Trần Đại Đoàn</t>
  </si>
  <si>
    <t>302625</t>
  </si>
  <si>
    <t>Lưu Thị Xuân Hóa</t>
  </si>
  <si>
    <t>312627</t>
  </si>
  <si>
    <t>Trần Quang Vinh</t>
  </si>
  <si>
    <t>312635</t>
  </si>
  <si>
    <t xml:space="preserve">Đoàn Văn Viên </t>
  </si>
  <si>
    <t>312696</t>
  </si>
  <si>
    <t>Nguyễn Hữu Tiên</t>
  </si>
  <si>
    <t>312720</t>
  </si>
  <si>
    <t>Phạm Thanh Tùng</t>
  </si>
  <si>
    <t>312754</t>
  </si>
  <si>
    <t>Huỳnh Đức Cường</t>
  </si>
  <si>
    <t>200559</t>
  </si>
  <si>
    <t>Đặng Thị Hồng Loan</t>
  </si>
  <si>
    <t>CĐ1</t>
  </si>
  <si>
    <t>200563</t>
  </si>
  <si>
    <t>Lê Thị Mỹ Lệ</t>
  </si>
  <si>
    <t>201183</t>
  </si>
  <si>
    <t>Nguyễn Thị Trai</t>
  </si>
  <si>
    <t>201442</t>
  </si>
  <si>
    <t>201515</t>
  </si>
  <si>
    <t>Nguyễn Thị Ngọc Hương</t>
  </si>
  <si>
    <t>201772</t>
  </si>
  <si>
    <t>Trương Thị Xuân Thanh</t>
  </si>
  <si>
    <t>201925</t>
  </si>
  <si>
    <t>Lê Bích Huệ</t>
  </si>
  <si>
    <t>211700</t>
  </si>
  <si>
    <t>Võ Văn Thao</t>
  </si>
  <si>
    <t>302512</t>
  </si>
  <si>
    <t>Nguyễn Thị Kim</t>
  </si>
  <si>
    <t>302557</t>
  </si>
  <si>
    <t>Nguyễn Thị Tình</t>
  </si>
  <si>
    <t>302598</t>
  </si>
  <si>
    <t>Thập Thị Kim Rằng</t>
  </si>
  <si>
    <t>302599</t>
  </si>
  <si>
    <t xml:space="preserve">Thành Thị Kim Ngăn </t>
  </si>
  <si>
    <t>302728</t>
  </si>
  <si>
    <t>Trần Thị Quyên</t>
  </si>
  <si>
    <t>302749</t>
  </si>
  <si>
    <t>Lê Thị Vâng</t>
  </si>
  <si>
    <t>200980</t>
  </si>
  <si>
    <t>Nguyễn Thị Minh Sang</t>
  </si>
  <si>
    <t>CĐ2</t>
  </si>
  <si>
    <t>201041</t>
  </si>
  <si>
    <t>Phạm Thị Thy</t>
  </si>
  <si>
    <t>201492</t>
  </si>
  <si>
    <t>Phạm Nguyên Hữu Tú Uyên</t>
  </si>
  <si>
    <t>201575</t>
  </si>
  <si>
    <t>Nguyễn Thị Thúy Kiều</t>
  </si>
  <si>
    <t>201737</t>
  </si>
  <si>
    <t>Bùi Thị Khuyên</t>
  </si>
  <si>
    <t>201792</t>
  </si>
  <si>
    <t>Hoàng Thị Hoài Hương</t>
  </si>
  <si>
    <t>202038</t>
  </si>
  <si>
    <t>Trần Thị Hồng Vẽ</t>
  </si>
  <si>
    <t>202085</t>
  </si>
  <si>
    <t>Huỳnh Thị Bạch Yến</t>
  </si>
  <si>
    <t>210481</t>
  </si>
  <si>
    <t>Hán Thanh Tĩnh</t>
  </si>
  <si>
    <t>210892</t>
  </si>
  <si>
    <t>Trần Thanh Tiến</t>
  </si>
  <si>
    <t>211681</t>
  </si>
  <si>
    <t>Cao Thiên Vũ</t>
  </si>
  <si>
    <t>302120</t>
  </si>
  <si>
    <t>Lâm Thị Thu Nguyệt</t>
  </si>
  <si>
    <t>312202</t>
  </si>
  <si>
    <t>Diệp Thế Nam</t>
  </si>
  <si>
    <t>302404</t>
  </si>
  <si>
    <t>Trần Thị Trinh</t>
  </si>
  <si>
    <t>302405</t>
  </si>
  <si>
    <t>Võ Thị Hồng Nhi</t>
  </si>
  <si>
    <t>312679</t>
  </si>
  <si>
    <t>Trần Thế Anh</t>
  </si>
  <si>
    <t>302745</t>
  </si>
  <si>
    <t>Châu Hồ Miên Thủy</t>
  </si>
  <si>
    <t>302746</t>
  </si>
  <si>
    <t>Nguyễn Thị Thư</t>
  </si>
  <si>
    <t>Chuyền Trưởng</t>
  </si>
  <si>
    <t>Tổng Hợp</t>
  </si>
  <si>
    <t>Hiệu Suất Sử Dụng</t>
  </si>
  <si>
    <t>VS4C</t>
  </si>
  <si>
    <t>TP</t>
  </si>
  <si>
    <t>Kansai</t>
  </si>
  <si>
    <t>4K6C</t>
  </si>
  <si>
    <t>Code MMTB</t>
  </si>
  <si>
    <t>Máy 1 Kim Điện tử</t>
  </si>
  <si>
    <t>1KC</t>
  </si>
  <si>
    <t>Máy 1 Kim cào</t>
  </si>
  <si>
    <t>1KCN</t>
  </si>
  <si>
    <t>Máy 1 Kim chống nhăn</t>
  </si>
  <si>
    <t>1KLai</t>
  </si>
  <si>
    <t>Máy 1 kim dùng lên lai quần</t>
  </si>
  <si>
    <t>1KMX</t>
  </si>
  <si>
    <t>Máy 1 Kim Móc Xích</t>
  </si>
  <si>
    <t>1KNho</t>
  </si>
  <si>
    <t>Máy 1 Kim Cùi chỏ đầu nhỏ</t>
  </si>
  <si>
    <t>1KTD</t>
  </si>
  <si>
    <t>Máy 1 Kim Thân dài</t>
  </si>
  <si>
    <t>1KXen</t>
  </si>
  <si>
    <t>Máy 1 Kim Xén Điện tử</t>
  </si>
  <si>
    <t>2K</t>
  </si>
  <si>
    <t>Máy 2 Kim Di động</t>
  </si>
  <si>
    <t>2KMX</t>
  </si>
  <si>
    <t>Máy 2 Kim móc xích</t>
  </si>
  <si>
    <t>3KMX</t>
  </si>
  <si>
    <t>Máy 3 Kim Móc xích</t>
  </si>
  <si>
    <t>Máy đánh bông 4K6C</t>
  </si>
  <si>
    <t>BHUT</t>
  </si>
  <si>
    <t>Bàn Hút</t>
  </si>
  <si>
    <t>Bo</t>
  </si>
  <si>
    <t>Máy Bọ</t>
  </si>
  <si>
    <t>BUI</t>
  </si>
  <si>
    <t>Bàn ủi Nhiệt</t>
  </si>
  <si>
    <t>CL50</t>
  </si>
  <si>
    <t>Máy làm lạnh nước CL-50</t>
  </si>
  <si>
    <t>Cuonsuon</t>
  </si>
  <si>
    <t>Máy cuốn sườn 3 Kim</t>
  </si>
  <si>
    <t>Dapnut</t>
  </si>
  <si>
    <t>Máy Dập nút Hơi</t>
  </si>
  <si>
    <t>Down</t>
  </si>
  <si>
    <t>Máy nhồi lông vũ</t>
  </si>
  <si>
    <t>EP</t>
  </si>
  <si>
    <t>Máy ép nhiệt</t>
  </si>
  <si>
    <t>EPCNL</t>
  </si>
  <si>
    <t>Máy Ép Nóng-Lạnh Khuôn Cong</t>
  </si>
  <si>
    <t>Epcong</t>
  </si>
  <si>
    <t>Epkeo</t>
  </si>
  <si>
    <t>Máy ép keo</t>
  </si>
  <si>
    <t>EPLAI</t>
  </si>
  <si>
    <t>Máy Ép Nóng Lai Tròn</t>
  </si>
  <si>
    <t>EPNL</t>
  </si>
  <si>
    <t>Máy ép Nóng Lạnh</t>
  </si>
  <si>
    <t>Đánh bông đầu trung</t>
  </si>
  <si>
    <t>Kansai12</t>
  </si>
  <si>
    <t>Kansai 12K</t>
  </si>
  <si>
    <t>Khuy</t>
  </si>
  <si>
    <t>Máy khuy thường Điện tử</t>
  </si>
  <si>
    <t>KhuyO</t>
  </si>
  <si>
    <t>Máy Khuy mắt phụng</t>
  </si>
  <si>
    <t>Laser</t>
  </si>
  <si>
    <t>Máy cắt Lazer</t>
  </si>
  <si>
    <t>LT35</t>
  </si>
  <si>
    <t>LT95</t>
  </si>
  <si>
    <t>Máy Lập trình khổ Lớn</t>
  </si>
  <si>
    <t>Maydot</t>
  </si>
  <si>
    <t>Máy Đột</t>
  </si>
  <si>
    <t>Nút</t>
  </si>
  <si>
    <t>Máy Đính Nút điện tử</t>
  </si>
  <si>
    <t>Quannut</t>
  </si>
  <si>
    <t xml:space="preserve">Máy Quấn Chân Nút </t>
  </si>
  <si>
    <t>Samlai</t>
  </si>
  <si>
    <t>Máy Săm Lai</t>
  </si>
  <si>
    <t>Máy Ép seam</t>
  </si>
  <si>
    <t>SeamDan</t>
  </si>
  <si>
    <t>Máy Dán Keo Đa Năng</t>
  </si>
  <si>
    <t>Seamxen</t>
  </si>
  <si>
    <t>Máy xén keo 2 mặt</t>
  </si>
  <si>
    <t>Testnuoc</t>
  </si>
  <si>
    <t>Máy test nước</t>
  </si>
  <si>
    <t>Troluc</t>
  </si>
  <si>
    <t>Bộ trợ lực</t>
  </si>
  <si>
    <t>Ultra</t>
  </si>
  <si>
    <t>Máy chằn Ultra</t>
  </si>
  <si>
    <t>Vắt sổ 4 chỉ</t>
  </si>
  <si>
    <t>VS4CN</t>
  </si>
  <si>
    <t>Vắt sổ 4 chỉ cùi nhỏ</t>
  </si>
  <si>
    <t>Vắt sổ 5 chỉ</t>
  </si>
  <si>
    <t>VS6C</t>
  </si>
  <si>
    <t>Vắt sổ 6 chỉ</t>
  </si>
  <si>
    <t>Ziczac</t>
  </si>
  <si>
    <t>Máy 1 Kim ZicZac</t>
  </si>
  <si>
    <t>CodeMMTB</t>
  </si>
  <si>
    <t>ChungLoaiMMTB</t>
  </si>
  <si>
    <t>Slg</t>
  </si>
  <si>
    <t>Nhân Sự May CĐ</t>
  </si>
  <si>
    <t>Name</t>
  </si>
  <si>
    <t>Đếm NS</t>
  </si>
  <si>
    <t>Thợ Phụ</t>
  </si>
  <si>
    <t>Ngày áp dụng: 
19/05/2025</t>
  </si>
  <si>
    <t>Lần ban hành:02</t>
  </si>
  <si>
    <t>Bàn</t>
  </si>
  <si>
    <t>Máy Lập trình Khung</t>
  </si>
  <si>
    <t>LTK</t>
  </si>
  <si>
    <t>Bàn Thợ Phụ</t>
  </si>
  <si>
    <t>Vắt sổ 3 chỉ</t>
  </si>
  <si>
    <t>Bổ sung MMTB vào ở cuối dòng</t>
  </si>
  <si>
    <t>SeamCan</t>
  </si>
  <si>
    <t>Máy cán Seam tự chế</t>
  </si>
  <si>
    <t>LT55</t>
  </si>
  <si>
    <t>Máy Lập Trình Khổ 80X35</t>
  </si>
  <si>
    <t>Máy Lập Trình Khổ 80X55</t>
  </si>
  <si>
    <t>Bộ Ủi BTP-TP</t>
  </si>
  <si>
    <t>BAUI</t>
  </si>
  <si>
    <t xml:space="preserve">Máy Nhiệt Khuôn Cong </t>
  </si>
  <si>
    <t>SAM</t>
  </si>
  <si>
    <r>
      <t xml:space="preserve">CÔNG TY TNHH ĐẦU TƯ QUỐC TẾ VIỆT SUN
BẢNG QUY TRÌNH ĐƠN GIÁ
</t>
    </r>
    <r>
      <rPr>
        <i/>
        <sz val="14"/>
        <rFont val="Times New Roman"/>
        <family val="1"/>
        <charset val="163"/>
      </rPr>
      <t>PROCESS WORKSHEET SEWN</t>
    </r>
  </si>
  <si>
    <t/>
  </si>
  <si>
    <t>CỤM ỦI</t>
  </si>
  <si>
    <t>Ủi DK túi hông+sườn+baget +TS x6</t>
  </si>
  <si>
    <t>Bàn ủi</t>
  </si>
  <si>
    <t>Ủi se mí cạnh lưng trên x1</t>
  </si>
  <si>
    <t>Ủi baget đôi x1</t>
  </si>
  <si>
    <t>Ủi bao túi hông x2+ TP baget</t>
  </si>
  <si>
    <t>Ủi +Xả dây tape trang trí lưng x1</t>
  </si>
  <si>
    <t>Ủi rẻ dây pasant x5</t>
  </si>
  <si>
    <t>Ủi pen TT x8</t>
  </si>
  <si>
    <t>Ủi lót túi sườn x2( L1)</t>
  </si>
  <si>
    <t>Ủi lót túi sườn x2( L2)</t>
  </si>
  <si>
    <t>Ủi cơi túi TS x1</t>
  </si>
  <si>
    <t>Ủi gấp bao túi TS x1+ Đặt rập</t>
  </si>
  <si>
    <t>Ủi se mí miệng túi hông x2</t>
  </si>
  <si>
    <t>CỤM ÉP NHIỆT</t>
  </si>
  <si>
    <t>Mồi nhãn đô thân sau Mammut x1</t>
  </si>
  <si>
    <t>Bàn ủi nhiệt</t>
  </si>
  <si>
    <t>Ép nhãn đô TS Mammut x1 (Nóng L1 15')</t>
  </si>
  <si>
    <t>Máy NL</t>
  </si>
  <si>
    <t>Ép nhãn đô TS Mammut x1 (Nóng L2 10') +bóc giấy+ đặt rập</t>
  </si>
  <si>
    <t>Mồi nhãn TT x1</t>
  </si>
  <si>
    <t>Ép nhãn TT x1 (Nóng L1 15')</t>
  </si>
  <si>
    <t>Ép nhãn TT x1 (Nóng L2-10')+ bóc giấy+ đặt rập</t>
  </si>
  <si>
    <t>Phà nhãn TT+ TS x2</t>
  </si>
  <si>
    <t>CỤM LẤY DẤU + CHUẨN BỊ</t>
  </si>
  <si>
    <t>Lấy dấu TS dưới x1(Phải)</t>
  </si>
  <si>
    <t>Đo +cắt dây tape lai quần x4</t>
  </si>
  <si>
    <t>Cắt Nhiệt</t>
  </si>
  <si>
    <t>Catnhiet</t>
  </si>
  <si>
    <t>Đo+cắt dây luồn lai quần x2</t>
  </si>
  <si>
    <t>Xỏ dây puler túi sườn x2</t>
  </si>
  <si>
    <t>Xỏ dây puler túi hông x2</t>
  </si>
  <si>
    <t>Xỏ dây puller túi sau x1</t>
  </si>
  <si>
    <t>Đo+ cắt pasant x5</t>
  </si>
  <si>
    <t>Tuốt Dk túi hông x2</t>
  </si>
  <si>
    <t>Tuốt Dk túi sườn x2</t>
  </si>
  <si>
    <t>Tuốt Dk túi sau x1</t>
  </si>
  <si>
    <t>CỤM PASANT</t>
  </si>
  <si>
    <t>Nối dây pasant x5</t>
  </si>
  <si>
    <t>May lộn dây pasant</t>
  </si>
  <si>
    <t>KS cử</t>
  </si>
  <si>
    <t>Diễu pasant x5</t>
  </si>
  <si>
    <t>CỤM THÂN TRƯỚC</t>
  </si>
  <si>
    <t>TÚI HÔNG ( DK có chặn 2 đầu)</t>
  </si>
  <si>
    <t>May nhãn con voi vào lót lớn ( trong)</t>
  </si>
  <si>
    <t>ĐH túi hông trái x1 ( TT + nẹp túi hông +tam giác sườn+ DK+ lót + baget đơn) +LD+ tháo DK+canh nhãn</t>
  </si>
  <si>
    <t xml:space="preserve">LTL </t>
  </si>
  <si>
    <t>ĐH túi hông phải x2(TT+ nẹp túi hông + tam giác sườn+DK+lót) +LD + tháo DK</t>
  </si>
  <si>
    <t>Gài Dk túi hông ( 2 lần) x2</t>
  </si>
  <si>
    <t>VS3C miệng túi hông x4+kéo DK</t>
  </si>
  <si>
    <t>VS3C CVN</t>
  </si>
  <si>
    <t>Diễu se mí miệng túi hông x2</t>
  </si>
  <si>
    <t>2K 3/16</t>
  </si>
  <si>
    <t>Đặt lót+ kê mí DK túi hông x2(qua lót)+ kéo Dk</t>
  </si>
  <si>
    <t>May lộn bao túi hông x2</t>
  </si>
  <si>
    <t>1K XÉN</t>
  </si>
  <si>
    <t>Lộn bao túi hông x2</t>
  </si>
  <si>
    <t>Diễu se mí bao túi hông x2</t>
  </si>
  <si>
    <t>Gỡ số bao túi hông x2</t>
  </si>
  <si>
    <t>Lượt túi hông vào lưng +sườn x2+ld</t>
  </si>
  <si>
    <t>Chốt cố định 2 đoạn miệng túi hông x2</t>
  </si>
  <si>
    <t>Chốt bọ miệng túi hông x4+ LD</t>
  </si>
  <si>
    <t>CỤM TÚI SƯỜN (TÚI THÔNG GIÓ)</t>
  </si>
  <si>
    <t>Mí đường giữa lót lưới túi sườn x 2</t>
  </si>
  <si>
    <t>ĐH túi sườn x2 (bỏ dk+ thân sau)</t>
  </si>
  <si>
    <t>LTL</t>
  </si>
  <si>
    <t>Gài dk túi sườn (1 lần) x2</t>
  </si>
  <si>
    <t>Bấm góc túi sườn x 2</t>
  </si>
  <si>
    <t xml:space="preserve">Chặn lưỡi gà túi sườn x2 </t>
  </si>
  <si>
    <t>Chốt 2 đầu dk túi sườn x2</t>
  </si>
  <si>
    <t>May lót lưới vào DK túi sườn x2+LD (L1)</t>
  </si>
  <si>
    <t>Lược đầu dưới dk túi sườn  x2</t>
  </si>
  <si>
    <t>VS3C 1 cạnh túi sườn+ kéo dk  x2</t>
  </si>
  <si>
    <t>Mí 2 cạnh túi sườn x2+kéo dk</t>
  </si>
  <si>
    <t>May lót lưới vào DK túi sườn cạnh ngoài x2+LD canh đx x2 +kéo Dk(L2)</t>
  </si>
  <si>
    <t>Lược đầu trên dk túi sườn  x2</t>
  </si>
  <si>
    <t>VS3C 1 đầu túi sườn x2</t>
  </si>
  <si>
    <t>Chốt VS túi sườn x2</t>
  </si>
  <si>
    <t>VS5C decoup TS dưới x2+LD</t>
  </si>
  <si>
    <t>Diễu decoup TS dưới x 2</t>
  </si>
  <si>
    <t>CỤM THÂN SAU</t>
  </si>
  <si>
    <t>Đh 2 đầu cơi túi TS x1</t>
  </si>
  <si>
    <t>1KĐH</t>
  </si>
  <si>
    <t>Gọt +Lộn +mốc góc cơi túi TS x1</t>
  </si>
  <si>
    <t xml:space="preserve">Đh túi TSx1 (TS + lót+ DK) + gỡ số+ canh nhãn+ tháo dk </t>
  </si>
  <si>
    <t xml:space="preserve">Mổ+ bấm lưỡi gà+ lộn túi TS x1 </t>
  </si>
  <si>
    <t>Gài dk túi TS x1(1 lần)</t>
  </si>
  <si>
    <t>Chốt đầu DK túi sau x1</t>
  </si>
  <si>
    <t>Chặn lưỡi gà túi TS x1</t>
  </si>
  <si>
    <t>Mí 1 cạnh dưới túi TS x1</t>
  </si>
  <si>
    <t>Lượt đường 2 DK túi sườn x1</t>
  </si>
  <si>
    <t>Mí 3 cạnh túi TS còn lại x1(qua cơi)+ chốt</t>
  </si>
  <si>
    <t>VS3C XQ bao túi TS x1</t>
  </si>
  <si>
    <t>VS5C đáy sau x1</t>
  </si>
  <si>
    <t>Diễu đáy sau x1</t>
  </si>
  <si>
    <t>2KMX 3/16</t>
  </si>
  <si>
    <t>Ráp đô Ts x1 canh dk +canh đx</t>
  </si>
  <si>
    <t>VS3C đô TS x1+kéo dk</t>
  </si>
  <si>
    <t>Mí đô TS</t>
  </si>
  <si>
    <t>LD đóng túi sau x1</t>
  </si>
  <si>
    <t>Đóng túi TS x1+canh dấu +đá góc</t>
  </si>
  <si>
    <t>CỤM BAGET</t>
  </si>
  <si>
    <t>Đặt rập khóa+ gọt  lộn baget đôi x1</t>
  </si>
  <si>
    <t>VS3C baget đôi x1</t>
  </si>
  <si>
    <t>VS3C baget chiếc 2 cạnh x1</t>
  </si>
  <si>
    <t xml:space="preserve">VS3C đáy TT ' bên dài, bên ngắn' x 2 </t>
  </si>
  <si>
    <t>Mí ẩn baget chiếc vào TT+ LD baget</t>
  </si>
  <si>
    <t>Tra dây kéo vào baget chiếc 2 đường+ LD baget x1</t>
  </si>
  <si>
    <t>Tra dk vào baget đôi x1 +lấy dấu</t>
  </si>
  <si>
    <t>Tra+ mí baget đôi vào TT+ bấm góc</t>
  </si>
  <si>
    <t>Chốt vs baget đôi x 1</t>
  </si>
  <si>
    <t>Ráp đáy TT 1 đường+ lấy dấu  x1</t>
  </si>
  <si>
    <t>Chốt bọ 2đ</t>
  </si>
  <si>
    <t xml:space="preserve">Diễu TP baget ( 2 đường)+ LD </t>
  </si>
  <si>
    <t>LTT</t>
  </si>
  <si>
    <t xml:space="preserve">Diễu đáy trước x1 </t>
  </si>
  <si>
    <t>CỤM LƯNG</t>
  </si>
  <si>
    <t>Xén cạnh lưng quần trên  +cạnh trong dưới x1</t>
  </si>
  <si>
    <t>Xén</t>
  </si>
  <si>
    <t>Chạy tape trang trí vào cạnh lưng dưới trong x1+ canh chỉ+ xã +cắt</t>
  </si>
  <si>
    <t>CỤM LẮP RÁP</t>
  </si>
  <si>
    <t>Đh pen thân trước x8</t>
  </si>
  <si>
    <t>Ráp sườn ngoài+ lấy dấu 4 điểm+ sang dấu 5 điểm+ canh đx x2 + LD túi hông + túi sườn+ Logo +Ld bọ túi hông</t>
  </si>
  <si>
    <t>Lượt nhãn sườn x2</t>
  </si>
  <si>
    <t>LD + gắn nhãn sườn +nhãn Care x1+đo</t>
  </si>
  <si>
    <t>Gắn tape vào sườn  x2+ Lấy dấu</t>
  </si>
  <si>
    <t xml:space="preserve">VS3C sườn ngoài x2+ kéo dk </t>
  </si>
  <si>
    <t>Mí ẩn 1 cạnh túi thông gió còn lại x2 (sau ráp sườn) +ld</t>
  </si>
  <si>
    <t>VS5C giàng trong x1+ canh đáy+ Ld canh đx</t>
  </si>
  <si>
    <t>Lộn quần x1(diễu giàng)</t>
  </si>
  <si>
    <t>Diễu giàng trong x1+Luồn ống</t>
  </si>
  <si>
    <t>Cuốn sườn 1K</t>
  </si>
  <si>
    <t>Lấy dấu gắn pasant 5 điểm</t>
  </si>
  <si>
    <t>Gắn pasant dưới vào lưng x5 (L1)</t>
  </si>
  <si>
    <t>LD tra lưng x1</t>
  </si>
  <si>
    <t xml:space="preserve">Tra lưng+ canh đx + ld+ lựa số lưng </t>
  </si>
  <si>
    <t>LD Gắn nhãn size +nhãn chính x1</t>
  </si>
  <si>
    <t>Đặt rập+ khoá gọt lộn đầu lưng + canh đx</t>
  </si>
  <si>
    <t>LD thân ( tra lưng )+ đặt rập</t>
  </si>
  <si>
    <t xml:space="preserve">Diễu se mí lưng cạnh trên x1 </t>
  </si>
  <si>
    <t xml:space="preserve">Chốt lượt lưng x3đ </t>
  </si>
  <si>
    <t>Diễu lưng nguyên vòng x1 + canh tape + vén nhãn</t>
  </si>
  <si>
    <t>Tháo chỉ chốt lưng x3đ</t>
  </si>
  <si>
    <t>Lấy dấu đóng mắc cáo lai x4</t>
  </si>
  <si>
    <t>Đục lỗ mắc cáo lai x4</t>
  </si>
  <si>
    <t>Đục mắc cáo</t>
  </si>
  <si>
    <t>Đóng mắc cáo lai x4+ bỏ đệm</t>
  </si>
  <si>
    <t>Đóng mắc cáo</t>
  </si>
  <si>
    <t>Xỏ nút chặn lai x2</t>
  </si>
  <si>
    <t>Lược nút chặn lai x1</t>
  </si>
  <si>
    <t>Gắn tape chặn vào lai x2</t>
  </si>
  <si>
    <t>May lai quần cuốn mép x2 95''+ LD 20''</t>
  </si>
  <si>
    <t>Luồn dây lai quần x2( qua mắc cáo)+gút</t>
  </si>
  <si>
    <t>Bọc +chốt dây luồn lai quần x2</t>
  </si>
  <si>
    <t>Luồn dây lai quần x2( qua cục chặn+tape sườn)+ cân dây</t>
  </si>
  <si>
    <t>LD đóng nút ABCD x4+canh sang dấu</t>
  </si>
  <si>
    <t>Đục lỗ nút ABCD x4</t>
  </si>
  <si>
    <t>Đục lỗ</t>
  </si>
  <si>
    <t>Đóng nút ABCD+ bỏ đệm, canh chữ x 4</t>
  </si>
  <si>
    <t>Đóng nút ABCD</t>
  </si>
  <si>
    <t>Chốt pasant dưới vào lưng x5 (L2)+ canh pasant</t>
  </si>
  <si>
    <t xml:space="preserve">Gắn pasant trên vào lưng x5+ Lấy dấu+ canh pasant </t>
  </si>
  <si>
    <t>Gọt pasant x5</t>
  </si>
  <si>
    <t>Bọ dây pasant x10</t>
  </si>
  <si>
    <t>Bọ</t>
  </si>
  <si>
    <t>Bọ túi hông trên x2</t>
  </si>
  <si>
    <t>Bọ ẩn túi hông dưới x2</t>
  </si>
  <si>
    <t>Bọ túi sườn x4</t>
  </si>
  <si>
    <t>Bọ túi TS x2</t>
  </si>
  <si>
    <t>Bọ baget x2+ Lấy dấu</t>
  </si>
  <si>
    <t>Vệ sinh chỉ tưa + lộn quần</t>
  </si>
  <si>
    <t xml:space="preserve">Bấm bảng điện tử </t>
  </si>
  <si>
    <t>Ủi TP quần</t>
  </si>
  <si>
    <t>ĐH lưng x1</t>
  </si>
  <si>
    <t>ĐH nhãn Flexguard ( mặt trong lưng trái)</t>
  </si>
  <si>
    <t>LTN</t>
  </si>
  <si>
    <t>Lượt baget chiếc x1</t>
  </si>
  <si>
    <t>Tháo chỉ lượt baget x2</t>
  </si>
  <si>
    <t>Chốt đuôi baget vào thân x1</t>
  </si>
  <si>
    <t>Mí 2 cạnh lưng trên đoạn còn lại qua lưng</t>
  </si>
  <si>
    <t>Ui01</t>
  </si>
  <si>
    <t>KS-LT35</t>
  </si>
  <si>
    <t>VS02</t>
  </si>
  <si>
    <t>VS04</t>
  </si>
  <si>
    <t>VS01</t>
  </si>
  <si>
    <t>2K01</t>
  </si>
  <si>
    <t>VS03</t>
  </si>
  <si>
    <t>Nut</t>
  </si>
  <si>
    <t>Maylai</t>
  </si>
  <si>
    <t>Nut01</t>
  </si>
  <si>
    <t>Ủi02</t>
  </si>
  <si>
    <t>TP1</t>
  </si>
  <si>
    <t>TP2</t>
  </si>
  <si>
    <t>TP4</t>
  </si>
  <si>
    <t>TP3</t>
  </si>
  <si>
    <t>1K01</t>
  </si>
  <si>
    <t>1K03</t>
  </si>
  <si>
    <t>1K02</t>
  </si>
  <si>
    <t>1K04</t>
  </si>
  <si>
    <t>HÌNH ẢNH</t>
  </si>
  <si>
    <t>Tổng SMV</t>
  </si>
  <si>
    <t>Hệ số lương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</si>
</sst>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&quot; Giờ/Ngày&quot;"/>
    <numFmt numFmtId="165" formatCode="&quot;Line &quot;00"/>
    <numFmt numFmtId="166" formatCode="00&quot; Người&quot;"/>
    <numFmt numFmtId="167" formatCode="#,##0.0&quot; '&quot;"/>
    <numFmt numFmtId="168" formatCode="#,###&quot; ''&quot;"/>
    <numFmt numFmtId="169" formatCode="#,##0&quot; Pcs&quot;"/>
    <numFmt numFmtId="170" formatCode="#,###&quot; Vnđ&quot;"/>
    <numFmt numFmtId="171" formatCode="_(* #,##0_);_(* \(#,##0\);_(* &quot;-&quot;??_);_(@_)"/>
    <numFmt numFmtId="172" formatCode="&quot;Ngày &quot;dd&quot; Tháng &quot;mm&quot; Năm &quot;yyyy"/>
    <numFmt numFmtId="173" formatCode="00.0&quot; Vnđ&quot;"/>
    <numFmt numFmtId="174" formatCode="_-* #,##0.00\ _₫_-;\-* #,##0.00\ _₫_-;_-* &quot;-&quot;??\ _₫_-;_-@_-"/>
    <numFmt numFmtId="175" formatCode="_-* #,##0.00\ &quot;₫&quot;_-;\-* #,##0.00\ &quot;₫&quot;_-;_-* &quot;-&quot;??\ &quot;₫&quot;_-;_-@_-"/>
    <numFmt numFmtId="176" formatCode="_-* #.##0.00\ _₫_-;\-* #.##0.00\ _₫_-;_-* &quot;-&quot;??\ _₫_-;_-@_-"/>
    <numFmt numFmtId="177" formatCode="_(* #,##0.0_);_(* \(#,##0.0\);_(* &quot;-&quot;??_);_(@_)"/>
    <numFmt numFmtId="178" formatCode="#,##0&quot; Pcs/giờ&quot;"/>
    <numFmt numFmtId="179" formatCode="#,###"/>
    <numFmt numFmtId="180" formatCode="#0"/>
  </numFmts>
  <fonts count="69">
    <font>
      <sz val="11"/>
      <color theme="1"/>
      <name val="Arial"/>
      <charset val="134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charset val="163"/>
      <scheme val="minor"/>
    </font>
    <font>
      <sz val="13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sz val="13"/>
      <name val="Times New Roman"/>
      <family val="1"/>
      <charset val="163"/>
    </font>
    <font>
      <sz val="10"/>
      <name val="Times New Roman"/>
      <family val="1"/>
      <charset val="163"/>
    </font>
    <font>
      <sz val="8"/>
      <color theme="1"/>
      <name val="Times New Roman"/>
      <family val="1"/>
      <charset val="163"/>
    </font>
    <font>
      <b/>
      <sz val="11"/>
      <color rgb="FFFF0000"/>
      <name val="Times New Roman"/>
      <family val="1"/>
      <charset val="163"/>
    </font>
    <font>
      <sz val="11"/>
      <color theme="0"/>
      <name val="Times New Roman"/>
      <family val="1"/>
      <charset val="163"/>
    </font>
    <font>
      <sz val="12"/>
      <name val="Times New Roman"/>
      <family val="1"/>
      <charset val="163"/>
    </font>
    <font>
      <u/>
      <sz val="11"/>
      <color theme="10"/>
      <name val="Times New Roman"/>
      <family val="1"/>
      <charset val="163"/>
    </font>
    <font>
      <sz val="6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u/>
      <sz val="11"/>
      <color theme="10"/>
      <name val="Arial"/>
      <family val="2"/>
      <charset val="163"/>
      <scheme val="minor"/>
    </font>
    <font>
      <sz val="10"/>
      <name val="Arial"/>
      <family val="2"/>
      <charset val="163"/>
    </font>
    <font>
      <sz val="10"/>
      <name val="VNI-Times"/>
    </font>
    <font>
      <sz val="9"/>
      <name val="Tahoma"/>
      <family val="2"/>
      <charset val="163"/>
    </font>
    <font>
      <b/>
      <sz val="9"/>
      <name val="Tahoma"/>
      <family val="2"/>
      <charset val="163"/>
    </font>
    <font>
      <sz val="8"/>
      <name val="Tahoma"/>
      <family val="2"/>
      <charset val="163"/>
    </font>
    <font>
      <b/>
      <sz val="8"/>
      <name val="Tahoma"/>
      <family val="2"/>
      <charset val="163"/>
    </font>
    <font>
      <sz val="11"/>
      <color theme="1"/>
      <name val="Arial"/>
      <family val="2"/>
      <charset val="163"/>
      <scheme val="minor"/>
    </font>
    <font>
      <sz val="13"/>
      <color theme="1"/>
      <name val="Times New Roman"/>
      <family val="1"/>
    </font>
    <font>
      <sz val="13"/>
      <name val="Times New Roman"/>
      <family val="1"/>
    </font>
    <font>
      <sz val="16"/>
      <name val="Times New Roman"/>
      <family val="1"/>
      <charset val="163"/>
    </font>
    <font>
      <sz val="10"/>
      <name val="Times New Roman"/>
      <family val="1"/>
    </font>
    <font>
      <sz val="16"/>
      <color theme="1"/>
      <name val="Times New Roman"/>
      <family val="1"/>
      <charset val="163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VNI-Helve"/>
    </font>
    <font>
      <sz val="12"/>
      <name val="VNI-Times"/>
    </font>
    <font>
      <u/>
      <sz val="11"/>
      <color theme="10"/>
      <name val="Arial"/>
      <family val="2"/>
      <scheme val="minor"/>
    </font>
    <font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3"/>
      <color rgb="FFFFFF00"/>
      <name val="Times New Roman"/>
      <family val="1"/>
      <charset val="163"/>
    </font>
    <font>
      <b/>
      <sz val="14"/>
      <name val="Times New Roman"/>
      <family val="1"/>
      <charset val="163"/>
    </font>
    <font>
      <i/>
      <sz val="14"/>
      <name val="Times New Roman"/>
      <family val="1"/>
      <charset val="163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20"/>
      <color theme="1"/>
      <name val="Times New Roman"/>
      <family val="1"/>
    </font>
    <font>
      <sz val="8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8"/>
      <color theme="0"/>
      <name val="Times New Roman"/>
      <family val="1"/>
    </font>
    <font>
      <sz val="9"/>
      <name val="Times New Roman"/>
      <family val="1"/>
    </font>
    <font>
      <sz val="11"/>
      <color rgb="FF00206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1"/>
      <color theme="0"/>
      <name val="Times New Roman"/>
      <family val="1"/>
    </font>
    <font>
      <sz val="9"/>
      <color theme="0"/>
      <name val="Times New Roman"/>
      <family val="1"/>
    </font>
    <font>
      <i/>
      <u/>
      <sz val="11"/>
      <color theme="1"/>
      <name val="Times New Roman"/>
      <family val="1"/>
    </font>
    <font>
      <sz val="8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sz val="12"/>
      <name val="Times New Roman"/>
      <family val="1"/>
    </font>
    <font>
      <sz val="11"/>
      <color theme="4" tint="-0.499984740745262"/>
      <name val="Times New Roman"/>
      <family val="1"/>
    </font>
    <font>
      <b/>
      <i/>
      <u/>
      <sz val="13"/>
      <name val="Times New Roman"/>
      <family val="1"/>
    </font>
    <font>
      <sz val="12"/>
      <color theme="1"/>
      <name val="Times New Roman"/>
      <family val="1"/>
    </font>
    <font>
      <b/>
      <sz val="11"/>
      <color theme="0"/>
      <name val="Times New Roman"/>
      <family val="1"/>
    </font>
    <font>
      <b/>
      <sz val="12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Times New Roman"/>
      <family val="1"/>
      <charset val="163"/>
    </font>
    <font>
      <b/>
      <sz val="26"/>
      <color theme="1"/>
      <name val="Times New Roman"/>
      <family val="1"/>
      <charset val="163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5" tint="0.39997558519241921"/>
      </bottom>
      <diagonal/>
    </border>
  </borders>
  <cellStyleXfs count="98">
    <xf numFmtId="0" fontId="0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/>
    <xf numFmtId="0" fontId="20" fillId="0" borderId="0"/>
    <xf numFmtId="9" fontId="20" fillId="0" borderId="0" applyFont="0" applyFill="0" applyBorder="0" applyAlignment="0" applyProtection="0"/>
    <xf numFmtId="0" fontId="19" fillId="0" borderId="0"/>
    <xf numFmtId="43" fontId="20" fillId="0" borderId="0" applyFont="0" applyFill="0" applyBorder="0" applyAlignment="0" applyProtection="0"/>
    <xf numFmtId="0" fontId="19" fillId="0" borderId="0"/>
    <xf numFmtId="0" fontId="3" fillId="0" borderId="0"/>
    <xf numFmtId="0" fontId="29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3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3" fillId="0" borderId="0"/>
    <xf numFmtId="43" fontId="1" fillId="0" borderId="0" applyFont="0" applyFill="0" applyBorder="0" applyAlignment="0" applyProtection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19" fillId="0" borderId="0"/>
    <xf numFmtId="9" fontId="1" fillId="0" borderId="0" applyFont="0" applyFill="0" applyBorder="0" applyAlignment="0" applyProtection="0"/>
    <xf numFmtId="44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0" fontId="3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5" fillId="0" borderId="0" applyNumberFormat="0" applyFill="0" applyBorder="0" applyAlignment="0" applyProtection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0" fontId="1" fillId="0" borderId="0"/>
    <xf numFmtId="0" fontId="1" fillId="0" borderId="0"/>
    <xf numFmtId="9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" fillId="0" borderId="0"/>
    <xf numFmtId="0" fontId="1" fillId="0" borderId="0"/>
    <xf numFmtId="0" fontId="36" fillId="0" borderId="0"/>
    <xf numFmtId="0" fontId="33" fillId="0" borderId="0"/>
    <xf numFmtId="0" fontId="1" fillId="0" borderId="0"/>
    <xf numFmtId="0" fontId="33" fillId="0" borderId="0"/>
    <xf numFmtId="17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0" fontId="32" fillId="0" borderId="0"/>
    <xf numFmtId="0" fontId="34" fillId="0" borderId="0"/>
    <xf numFmtId="176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0" fontId="31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42">
    <xf numFmtId="0" fontId="0" fillId="0" borderId="0" xfId="0"/>
    <xf numFmtId="0" fontId="14" fillId="2" borderId="0" xfId="0" applyFont="1" applyFill="1" applyAlignment="1" applyProtection="1">
      <alignment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1" fontId="5" fillId="0" borderId="0" xfId="0" applyNumberFormat="1" applyFont="1" applyAlignment="1" applyProtection="1">
      <alignment horizontal="center" vertical="center"/>
      <protection hidden="1"/>
    </xf>
    <xf numFmtId="0" fontId="5" fillId="0" borderId="3" xfId="0" applyFont="1" applyBorder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168" fontId="5" fillId="0" borderId="0" xfId="0" applyNumberFormat="1" applyFont="1" applyAlignment="1" applyProtection="1">
      <alignment horizontal="center" vertical="center"/>
      <protection hidden="1"/>
    </xf>
    <xf numFmtId="9" fontId="5" fillId="0" borderId="0" xfId="0" applyNumberFormat="1" applyFont="1" applyAlignment="1" applyProtection="1">
      <alignment horizontal="center" vertical="center"/>
      <protection hidden="1"/>
    </xf>
    <xf numFmtId="0" fontId="5" fillId="3" borderId="6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1" fontId="5" fillId="0" borderId="2" xfId="0" applyNumberFormat="1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11" fillId="2" borderId="2" xfId="0" applyFont="1" applyFill="1" applyBorder="1" applyAlignment="1" applyProtection="1">
      <alignment horizontal="left" vertical="center" wrapText="1"/>
      <protection hidden="1"/>
    </xf>
    <xf numFmtId="168" fontId="5" fillId="4" borderId="2" xfId="0" applyNumberFormat="1" applyFont="1" applyFill="1" applyBorder="1" applyAlignment="1" applyProtection="1">
      <alignment horizontal="center" vertical="center"/>
      <protection hidden="1"/>
    </xf>
    <xf numFmtId="1" fontId="5" fillId="0" borderId="4" xfId="0" applyNumberFormat="1" applyFont="1" applyBorder="1" applyAlignment="1" applyProtection="1">
      <alignment vertical="center"/>
      <protection hidden="1"/>
    </xf>
    <xf numFmtId="171" fontId="42" fillId="6" borderId="2" xfId="0" applyNumberFormat="1" applyFont="1" applyFill="1" applyBorder="1" applyAlignment="1" applyProtection="1">
      <alignment horizontal="center" vertical="center" wrapText="1"/>
      <protection hidden="1"/>
    </xf>
    <xf numFmtId="43" fontId="5" fillId="0" borderId="0" xfId="1" applyFont="1" applyFill="1" applyBorder="1" applyAlignment="1" applyProtection="1">
      <alignment horizontal="center" vertical="center" shrinkToFit="1"/>
      <protection hidden="1"/>
    </xf>
    <xf numFmtId="1" fontId="27" fillId="0" borderId="0" xfId="0" applyNumberFormat="1" applyFont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 wrapText="1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9" fontId="5" fillId="0" borderId="6" xfId="14" applyFont="1" applyBorder="1" applyAlignment="1" applyProtection="1">
      <alignment horizontal="center" vertical="center" wrapText="1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0" fontId="5" fillId="2" borderId="2" xfId="0" applyFont="1" applyFill="1" applyBorder="1" applyAlignment="1" applyProtection="1">
      <alignment horizontal="center" vertical="center" wrapText="1"/>
      <protection hidden="1"/>
    </xf>
    <xf numFmtId="0" fontId="16" fillId="2" borderId="2" xfId="0" applyFont="1" applyFill="1" applyBorder="1" applyAlignment="1" applyProtection="1">
      <alignment horizontal="left" vertical="center" wrapText="1"/>
      <protection hidden="1"/>
    </xf>
    <xf numFmtId="0" fontId="43" fillId="0" borderId="0" xfId="0" applyFont="1" applyAlignment="1" applyProtection="1">
      <alignment vertical="center" wrapText="1" shrinkToFit="1"/>
      <protection locked="0"/>
    </xf>
    <xf numFmtId="0" fontId="43" fillId="0" borderId="0" xfId="0" applyFont="1" applyAlignment="1" applyProtection="1">
      <alignment vertical="center"/>
      <protection locked="0"/>
    </xf>
    <xf numFmtId="0" fontId="43" fillId="0" borderId="6" xfId="0" applyFont="1" applyBorder="1" applyAlignment="1" applyProtection="1">
      <alignment horizontal="center" vertical="center"/>
      <protection hidden="1"/>
    </xf>
    <xf numFmtId="0" fontId="45" fillId="0" borderId="6" xfId="0" applyFont="1" applyBorder="1" applyAlignment="1" applyProtection="1">
      <alignment horizontal="center" vertical="center"/>
      <protection hidden="1"/>
    </xf>
    <xf numFmtId="0" fontId="46" fillId="0" borderId="2" xfId="0" applyFont="1" applyBorder="1" applyAlignment="1" applyProtection="1">
      <alignment horizontal="center" vertical="center" wrapText="1" shrinkToFit="1"/>
      <protection locked="0"/>
    </xf>
    <xf numFmtId="0" fontId="46" fillId="0" borderId="0" xfId="0" applyFont="1" applyAlignment="1" applyProtection="1">
      <alignment horizontal="center" vertical="center" wrapText="1" shrinkToFit="1"/>
      <protection locked="0"/>
    </xf>
    <xf numFmtId="0" fontId="43" fillId="0" borderId="0" xfId="0" applyFont="1" applyAlignment="1">
      <alignment horizontal="center" vertical="center"/>
    </xf>
    <xf numFmtId="1" fontId="43" fillId="0" borderId="2" xfId="81" applyNumberFormat="1" applyFont="1" applyBorder="1" applyAlignment="1" applyProtection="1">
      <alignment horizontal="center" vertical="center"/>
      <protection hidden="1"/>
    </xf>
    <xf numFmtId="171" fontId="51" fillId="0" borderId="2" xfId="81" applyNumberFormat="1" applyFont="1" applyFill="1" applyBorder="1" applyAlignment="1">
      <alignment horizontal="center" vertical="center" shrinkToFit="1"/>
    </xf>
    <xf numFmtId="0" fontId="43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 shrinkToFit="1"/>
    </xf>
    <xf numFmtId="0" fontId="43" fillId="0" borderId="2" xfId="0" applyFont="1" applyBorder="1" applyAlignment="1" applyProtection="1">
      <alignment horizontal="center" vertical="center" wrapText="1" shrinkToFit="1"/>
      <protection locked="0"/>
    </xf>
    <xf numFmtId="0" fontId="43" fillId="0" borderId="0" xfId="0" applyFont="1" applyAlignment="1">
      <alignment horizontal="center" vertical="center" shrinkToFit="1"/>
    </xf>
    <xf numFmtId="0" fontId="46" fillId="0" borderId="2" xfId="0" applyFont="1" applyBorder="1" applyAlignment="1">
      <alignment horizontal="center" vertical="center" shrinkToFit="1"/>
    </xf>
    <xf numFmtId="0" fontId="43" fillId="0" borderId="4" xfId="0" applyFont="1" applyBorder="1" applyAlignment="1">
      <alignment horizontal="center" vertical="center" shrinkToFit="1"/>
    </xf>
    <xf numFmtId="0" fontId="43" fillId="0" borderId="1" xfId="0" applyFont="1" applyBorder="1" applyAlignment="1">
      <alignment horizontal="center" vertical="center" shrinkToFit="1"/>
    </xf>
    <xf numFmtId="1" fontId="43" fillId="0" borderId="2" xfId="81" applyNumberFormat="1" applyFont="1" applyFill="1" applyBorder="1" applyAlignment="1" applyProtection="1">
      <alignment horizontal="center" vertical="center"/>
      <protection hidden="1"/>
    </xf>
    <xf numFmtId="1" fontId="55" fillId="0" borderId="0" xfId="81" applyNumberFormat="1" applyFont="1" applyBorder="1" applyAlignment="1" applyProtection="1">
      <alignment horizontal="center" vertical="center"/>
      <protection hidden="1"/>
    </xf>
    <xf numFmtId="0" fontId="56" fillId="0" borderId="0" xfId="0" applyFont="1" applyAlignment="1">
      <alignment horizontal="center" vertical="center" shrinkToFit="1"/>
    </xf>
    <xf numFmtId="0" fontId="56" fillId="0" borderId="0" xfId="0" applyFont="1" applyAlignment="1">
      <alignment horizontal="left" vertical="center" shrinkToFit="1"/>
    </xf>
    <xf numFmtId="0" fontId="43" fillId="0" borderId="0" xfId="0" applyFont="1" applyAlignment="1">
      <alignment vertical="center"/>
    </xf>
    <xf numFmtId="0" fontId="43" fillId="0" borderId="0" xfId="0" applyFont="1" applyAlignment="1">
      <alignment vertical="center" shrinkToFit="1"/>
    </xf>
    <xf numFmtId="171" fontId="43" fillId="0" borderId="2" xfId="81" applyNumberFormat="1" applyFont="1" applyBorder="1" applyAlignment="1">
      <alignment vertical="center" shrinkToFit="1"/>
    </xf>
    <xf numFmtId="0" fontId="43" fillId="0" borderId="2" xfId="0" applyFont="1" applyBorder="1" applyAlignment="1">
      <alignment horizontal="left" vertical="center" shrinkToFit="1"/>
    </xf>
    <xf numFmtId="171" fontId="43" fillId="0" borderId="2" xfId="81" applyNumberFormat="1" applyFont="1" applyFill="1" applyBorder="1" applyAlignment="1">
      <alignment vertical="center"/>
    </xf>
    <xf numFmtId="0" fontId="52" fillId="0" borderId="2" xfId="0" applyFont="1" applyBorder="1" applyAlignment="1">
      <alignment vertical="center" shrinkToFit="1"/>
    </xf>
    <xf numFmtId="0" fontId="54" fillId="0" borderId="2" xfId="0" applyFont="1" applyBorder="1" applyAlignment="1">
      <alignment vertical="center"/>
    </xf>
    <xf numFmtId="0" fontId="52" fillId="0" borderId="14" xfId="0" applyFont="1" applyBorder="1" applyAlignment="1">
      <alignment vertical="center" shrinkToFit="1"/>
    </xf>
    <xf numFmtId="0" fontId="43" fillId="0" borderId="14" xfId="0" applyFont="1" applyBorder="1" applyAlignment="1">
      <alignment horizontal="left" vertical="center" shrinkToFit="1"/>
    </xf>
    <xf numFmtId="0" fontId="52" fillId="0" borderId="14" xfId="0" applyFont="1" applyBorder="1" applyAlignment="1">
      <alignment vertical="center"/>
    </xf>
    <xf numFmtId="0" fontId="43" fillId="0" borderId="2" xfId="0" applyFont="1" applyBorder="1" applyAlignment="1">
      <alignment vertical="center" shrinkToFit="1"/>
    </xf>
    <xf numFmtId="0" fontId="52" fillId="0" borderId="2" xfId="0" applyFont="1" applyBorder="1" applyAlignment="1">
      <alignment vertical="center"/>
    </xf>
    <xf numFmtId="0" fontId="55" fillId="0" borderId="0" xfId="0" applyFont="1" applyAlignment="1">
      <alignment vertical="center"/>
    </xf>
    <xf numFmtId="171" fontId="50" fillId="0" borderId="0" xfId="81" applyNumberFormat="1" applyFont="1" applyBorder="1" applyAlignment="1">
      <alignment vertical="center"/>
    </xf>
    <xf numFmtId="171" fontId="58" fillId="0" borderId="0" xfId="81" applyNumberFormat="1" applyFont="1" applyBorder="1" applyAlignment="1">
      <alignment vertical="center"/>
    </xf>
    <xf numFmtId="171" fontId="59" fillId="0" borderId="0" xfId="81" applyNumberFormat="1" applyFont="1" applyAlignment="1">
      <alignment vertical="center"/>
    </xf>
    <xf numFmtId="49" fontId="53" fillId="0" borderId="2" xfId="4" applyNumberFormat="1" applyFont="1" applyBorder="1" applyAlignment="1">
      <alignment horizontal="center" vertical="center" shrinkToFit="1"/>
    </xf>
    <xf numFmtId="0" fontId="39" fillId="4" borderId="0" xfId="0" applyFont="1" applyFill="1" applyAlignment="1" applyProtection="1">
      <alignment horizontal="center" vertical="center" shrinkToFit="1"/>
      <protection hidden="1"/>
    </xf>
    <xf numFmtId="1" fontId="5" fillId="0" borderId="0" xfId="0" applyNumberFormat="1" applyFont="1" applyAlignment="1" applyProtection="1">
      <alignment horizontal="center" vertical="center" shrinkToFit="1"/>
      <protection hidden="1"/>
    </xf>
    <xf numFmtId="0" fontId="0" fillId="0" borderId="0" xfId="0" applyAlignment="1" applyProtection="1">
      <alignment shrinkToFit="1"/>
      <protection hidden="1"/>
    </xf>
    <xf numFmtId="0" fontId="5" fillId="0" borderId="0" xfId="0" applyFont="1" applyAlignment="1" applyProtection="1">
      <alignment horizontal="center" vertical="center" shrinkToFit="1"/>
      <protection hidden="1"/>
    </xf>
    <xf numFmtId="1" fontId="9" fillId="4" borderId="0" xfId="0" applyNumberFormat="1" applyFont="1" applyFill="1" applyAlignment="1" applyProtection="1">
      <alignment horizontal="center" vertical="center" shrinkToFit="1"/>
      <protection hidden="1"/>
    </xf>
    <xf numFmtId="9" fontId="9" fillId="4" borderId="0" xfId="2" applyFont="1" applyFill="1" applyAlignment="1" applyProtection="1">
      <alignment horizontal="center" vertical="center" shrinkToFit="1"/>
      <protection hidden="1"/>
    </xf>
    <xf numFmtId="171" fontId="9" fillId="4" borderId="0" xfId="1" applyNumberFormat="1" applyFont="1" applyFill="1" applyAlignment="1" applyProtection="1">
      <alignment horizontal="center" vertical="center" shrinkToFit="1"/>
      <protection hidden="1"/>
    </xf>
    <xf numFmtId="0" fontId="43" fillId="9" borderId="2" xfId="0" applyFont="1" applyFill="1" applyBorder="1" applyAlignment="1" applyProtection="1">
      <alignment horizontal="center" vertical="center" wrapText="1" shrinkToFit="1"/>
      <protection locked="0"/>
    </xf>
    <xf numFmtId="0" fontId="45" fillId="0" borderId="2" xfId="0" applyFont="1" applyBorder="1" applyAlignment="1">
      <alignment vertical="top"/>
    </xf>
    <xf numFmtId="0" fontId="45" fillId="5" borderId="6" xfId="0" applyFont="1" applyFill="1" applyBorder="1" applyAlignment="1">
      <alignment horizontal="center" vertical="top"/>
    </xf>
    <xf numFmtId="0" fontId="45" fillId="4" borderId="6" xfId="0" applyFont="1" applyFill="1" applyBorder="1" applyAlignment="1">
      <alignment horizontal="center" vertical="top" wrapText="1"/>
    </xf>
    <xf numFmtId="0" fontId="50" fillId="7" borderId="6" xfId="0" applyFont="1" applyFill="1" applyBorder="1" applyAlignment="1">
      <alignment horizontal="center" vertical="top"/>
    </xf>
    <xf numFmtId="0" fontId="45" fillId="5" borderId="6" xfId="0" applyFont="1" applyFill="1" applyBorder="1" applyAlignment="1">
      <alignment horizontal="left" vertical="top" wrapText="1" shrinkToFit="1"/>
    </xf>
    <xf numFmtId="171" fontId="43" fillId="0" borderId="2" xfId="81" applyNumberFormat="1" applyFont="1" applyBorder="1" applyAlignment="1" applyProtection="1">
      <alignment horizontal="center" vertical="center" wrapText="1" shrinkToFit="1"/>
      <protection locked="0"/>
    </xf>
    <xf numFmtId="49" fontId="43" fillId="0" borderId="2" xfId="0" quotePrefix="1" applyNumberFormat="1" applyFont="1" applyBorder="1" applyAlignment="1">
      <alignment horizontal="center" vertical="center" shrinkToFit="1"/>
    </xf>
    <xf numFmtId="49" fontId="43" fillId="0" borderId="2" xfId="4" applyNumberFormat="1" applyFont="1" applyBorder="1" applyAlignment="1">
      <alignment horizontal="center" vertical="center" shrinkToFit="1"/>
    </xf>
    <xf numFmtId="49" fontId="52" fillId="0" borderId="2" xfId="4" applyNumberFormat="1" applyFont="1" applyBorder="1" applyAlignment="1">
      <alignment horizontal="center" vertical="center" shrinkToFit="1"/>
    </xf>
    <xf numFmtId="49" fontId="52" fillId="0" borderId="14" xfId="4" applyNumberFormat="1" applyFont="1" applyBorder="1" applyAlignment="1">
      <alignment horizontal="center" vertical="center" shrinkToFit="1"/>
    </xf>
    <xf numFmtId="49" fontId="52" fillId="0" borderId="14" xfId="0" applyNumberFormat="1" applyFont="1" applyBorder="1" applyAlignment="1">
      <alignment horizontal="center" vertical="center"/>
    </xf>
    <xf numFmtId="49" fontId="43" fillId="0" borderId="14" xfId="4" applyNumberFormat="1" applyFont="1" applyBorder="1" applyAlignment="1">
      <alignment horizontal="center" vertical="center" shrinkToFit="1"/>
    </xf>
    <xf numFmtId="0" fontId="43" fillId="0" borderId="2" xfId="0" applyFont="1" applyBorder="1" applyAlignment="1">
      <alignment vertical="center"/>
    </xf>
    <xf numFmtId="49" fontId="43" fillId="0" borderId="14" xfId="0" quotePrefix="1" applyNumberFormat="1" applyFont="1" applyBorder="1" applyAlignment="1">
      <alignment horizontal="center" vertical="center" shrinkToFit="1"/>
    </xf>
    <xf numFmtId="49" fontId="43" fillId="0" borderId="2" xfId="0" applyNumberFormat="1" applyFont="1" applyBorder="1" applyAlignment="1">
      <alignment horizontal="center" vertical="center" shrinkToFit="1"/>
    </xf>
    <xf numFmtId="49" fontId="61" fillId="0" borderId="14" xfId="4" applyNumberFormat="1" applyFont="1" applyBorder="1" applyAlignment="1">
      <alignment horizontal="center" vertical="center" shrinkToFit="1"/>
    </xf>
    <xf numFmtId="49" fontId="52" fillId="0" borderId="2" xfId="4" quotePrefix="1" applyNumberFormat="1" applyFont="1" applyBorder="1" applyAlignment="1">
      <alignment horizontal="center" vertical="center" shrinkToFit="1"/>
    </xf>
    <xf numFmtId="0" fontId="47" fillId="0" borderId="0" xfId="0" applyFont="1" applyAlignment="1">
      <alignment horizontal="left" vertical="top" wrapText="1"/>
    </xf>
    <xf numFmtId="0" fontId="48" fillId="0" borderId="7" xfId="0" applyFont="1" applyBorder="1" applyAlignment="1" applyProtection="1">
      <alignment horizontal="left" vertical="top"/>
      <protection hidden="1"/>
    </xf>
    <xf numFmtId="0" fontId="48" fillId="8" borderId="7" xfId="0" applyFont="1" applyFill="1" applyBorder="1" applyAlignment="1" applyProtection="1">
      <alignment horizontal="left" vertical="top"/>
      <protection hidden="1"/>
    </xf>
    <xf numFmtId="0" fontId="49" fillId="8" borderId="7" xfId="0" applyFont="1" applyFill="1" applyBorder="1" applyAlignment="1" applyProtection="1">
      <alignment horizontal="left" vertical="top"/>
      <protection hidden="1"/>
    </xf>
    <xf numFmtId="0" fontId="48" fillId="2" borderId="7" xfId="0" applyFont="1" applyFill="1" applyBorder="1" applyAlignment="1" applyProtection="1">
      <alignment horizontal="left" vertical="top"/>
      <protection hidden="1"/>
    </xf>
    <xf numFmtId="0" fontId="43" fillId="0" borderId="0" xfId="0" applyFont="1" applyAlignment="1">
      <alignment horizontal="left" vertical="top"/>
    </xf>
    <xf numFmtId="0" fontId="45" fillId="0" borderId="2" xfId="0" applyFont="1" applyBorder="1" applyAlignment="1" applyProtection="1">
      <alignment horizontal="center" vertical="top" wrapText="1" shrinkToFit="1"/>
      <protection locked="0"/>
    </xf>
    <xf numFmtId="0" fontId="45" fillId="0" borderId="0" xfId="0" applyFont="1" applyAlignment="1" applyProtection="1">
      <alignment horizontal="left" vertical="top" wrapText="1" shrinkToFit="1"/>
      <protection locked="0"/>
    </xf>
    <xf numFmtId="177" fontId="9" fillId="4" borderId="0" xfId="1" applyNumberFormat="1" applyFont="1" applyFill="1" applyAlignment="1" applyProtection="1">
      <alignment horizontal="center" vertical="center" shrinkToFit="1"/>
      <protection hidden="1"/>
    </xf>
    <xf numFmtId="0" fontId="60" fillId="0" borderId="0" xfId="0" applyFont="1" applyAlignment="1" applyProtection="1">
      <alignment horizontal="center" vertical="center" wrapText="1" shrinkToFit="1"/>
      <protection locked="0"/>
    </xf>
    <xf numFmtId="0" fontId="60" fillId="0" borderId="0" xfId="0" applyFont="1" applyAlignment="1" applyProtection="1">
      <alignment horizontal="center" vertical="center" shrinkToFit="1"/>
      <protection locked="0"/>
    </xf>
    <xf numFmtId="0" fontId="63" fillId="0" borderId="0" xfId="0" applyFont="1" applyAlignment="1" applyProtection="1">
      <alignment horizontal="center" vertical="center" shrinkToFit="1"/>
      <protection locked="0"/>
    </xf>
    <xf numFmtId="168" fontId="60" fillId="0" borderId="0" xfId="0" applyNumberFormat="1" applyFont="1" applyAlignment="1" applyProtection="1">
      <alignment horizontal="center" vertical="center" shrinkToFit="1"/>
      <protection locked="0"/>
    </xf>
    <xf numFmtId="43" fontId="60" fillId="0" borderId="0" xfId="1" applyFont="1" applyFill="1" applyBorder="1" applyAlignment="1" applyProtection="1">
      <alignment horizontal="center" shrinkToFit="1"/>
      <protection hidden="1"/>
    </xf>
    <xf numFmtId="170" fontId="63" fillId="0" borderId="0" xfId="0" applyNumberFormat="1" applyFont="1" applyAlignment="1" applyProtection="1">
      <alignment horizontal="center" vertical="center" shrinkToFit="1"/>
      <protection hidden="1"/>
    </xf>
    <xf numFmtId="168" fontId="63" fillId="0" borderId="0" xfId="1" applyNumberFormat="1" applyFont="1" applyFill="1" applyBorder="1" applyAlignment="1" applyProtection="1">
      <alignment horizontal="center" vertical="center" shrinkToFit="1"/>
      <protection hidden="1"/>
    </xf>
    <xf numFmtId="168" fontId="63" fillId="0" borderId="0" xfId="1" applyNumberFormat="1" applyFont="1" applyFill="1" applyBorder="1" applyAlignment="1" applyProtection="1">
      <alignment horizontal="center" vertical="center" shrinkToFit="1"/>
      <protection locked="0"/>
    </xf>
    <xf numFmtId="0" fontId="60" fillId="0" borderId="0" xfId="11" applyFont="1" applyAlignment="1" applyProtection="1">
      <alignment horizontal="left" wrapText="1" shrinkToFit="1"/>
      <protection locked="0"/>
    </xf>
    <xf numFmtId="0" fontId="60" fillId="0" borderId="0" xfId="0" applyFont="1" applyAlignment="1" applyProtection="1">
      <alignment horizontal="center" shrinkToFit="1"/>
      <protection locked="0"/>
    </xf>
    <xf numFmtId="168" fontId="60" fillId="0" borderId="0" xfId="0" applyNumberFormat="1" applyFont="1" applyAlignment="1" applyProtection="1">
      <alignment horizontal="center" shrinkToFit="1"/>
      <protection locked="0"/>
    </xf>
    <xf numFmtId="9" fontId="64" fillId="7" borderId="2" xfId="2" applyFont="1" applyFill="1" applyBorder="1" applyAlignment="1" applyProtection="1">
      <alignment horizontal="center" vertical="center"/>
      <protection locked="0"/>
    </xf>
    <xf numFmtId="1" fontId="5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 wrapText="1"/>
      <protection hidden="1"/>
    </xf>
    <xf numFmtId="0" fontId="9" fillId="0" borderId="0" xfId="9" applyFont="1" applyAlignment="1" applyProtection="1">
      <alignment vertical="center"/>
      <protection locked="0"/>
    </xf>
    <xf numFmtId="0" fontId="9" fillId="0" borderId="0" xfId="4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62" fillId="0" borderId="0" xfId="0" applyFont="1" applyAlignment="1" applyProtection="1">
      <alignment vertical="center"/>
      <protection locked="0"/>
    </xf>
    <xf numFmtId="0" fontId="9" fillId="0" borderId="0" xfId="4" applyFont="1" applyAlignment="1" applyProtection="1">
      <alignment vertical="center"/>
      <protection locked="0"/>
    </xf>
    <xf numFmtId="0" fontId="28" fillId="0" borderId="0" xfId="0" applyFont="1" applyAlignment="1" applyProtection="1">
      <alignment horizontal="left" vertical="center" shrinkToFit="1"/>
      <protection hidden="1"/>
    </xf>
    <xf numFmtId="0" fontId="43" fillId="0" borderId="2" xfId="0" applyFont="1" applyBorder="1"/>
    <xf numFmtId="0" fontId="43" fillId="0" borderId="0" xfId="0" applyFont="1"/>
    <xf numFmtId="1" fontId="5" fillId="0" borderId="9" xfId="0" applyNumberFormat="1" applyFont="1" applyBorder="1" applyAlignment="1" applyProtection="1">
      <alignment vertical="center"/>
      <protection hidden="1"/>
    </xf>
    <xf numFmtId="1" fontId="5" fillId="0" borderId="2" xfId="0" applyNumberFormat="1" applyFont="1" applyBorder="1" applyAlignment="1" applyProtection="1">
      <alignment horizontal="center" vertical="center" wrapText="1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/>
      <protection hidden="1"/>
    </xf>
    <xf numFmtId="49" fontId="7" fillId="0" borderId="0" xfId="0" applyNumberFormat="1" applyFont="1" applyAlignment="1" applyProtection="1">
      <alignment horizontal="center" shrinkToFit="1"/>
      <protection hidden="1"/>
    </xf>
    <xf numFmtId="165" fontId="8" fillId="0" borderId="0" xfId="0" applyNumberFormat="1" applyFont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166" fontId="5" fillId="0" borderId="0" xfId="0" applyNumberFormat="1" applyFont="1" applyAlignment="1" applyProtection="1">
      <alignment horizontal="center"/>
      <protection hidden="1"/>
    </xf>
    <xf numFmtId="164" fontId="5" fillId="0" borderId="0" xfId="0" applyNumberFormat="1" applyFont="1" applyAlignment="1" applyProtection="1">
      <alignment horizont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15" fillId="0" borderId="0" xfId="3" applyFont="1" applyAlignment="1" applyProtection="1">
      <alignment horizontal="center" vertical="center"/>
      <protection locked="0"/>
    </xf>
    <xf numFmtId="177" fontId="5" fillId="0" borderId="0" xfId="0" applyNumberFormat="1" applyFont="1" applyAlignment="1" applyProtection="1">
      <alignment horizontal="center" vertical="center" shrinkToFit="1"/>
      <protection hidden="1"/>
    </xf>
    <xf numFmtId="1" fontId="27" fillId="0" borderId="0" xfId="0" applyNumberFormat="1" applyFont="1" applyAlignment="1" applyProtection="1">
      <alignment horizontal="center" shrinkToFit="1"/>
      <protection hidden="1"/>
    </xf>
    <xf numFmtId="0" fontId="5" fillId="0" borderId="0" xfId="0" applyFont="1" applyAlignment="1" applyProtection="1">
      <alignment horizontal="left" vertical="center"/>
      <protection hidden="1"/>
    </xf>
    <xf numFmtId="0" fontId="63" fillId="0" borderId="0" xfId="0" applyFont="1" applyAlignment="1" applyProtection="1">
      <alignment horizontal="center" vertical="center" shrinkToFit="1"/>
      <protection hidden="1"/>
    </xf>
    <xf numFmtId="0" fontId="18" fillId="0" borderId="6" xfId="3" applyFill="1" applyBorder="1" applyAlignment="1" applyProtection="1">
      <alignment horizontal="center" vertical="center" wrapText="1"/>
      <protection locked="0"/>
    </xf>
    <xf numFmtId="168" fontId="5" fillId="0" borderId="0" xfId="0" applyNumberFormat="1" applyFont="1" applyAlignment="1" applyProtection="1">
      <alignment horizontal="center" vertical="center"/>
      <protection locked="0"/>
    </xf>
    <xf numFmtId="0" fontId="65" fillId="4" borderId="0" xfId="11" applyFont="1" applyFill="1" applyAlignment="1" applyProtection="1">
      <alignment horizontal="left" wrapText="1" shrinkToFit="1"/>
      <protection locked="0"/>
    </xf>
    <xf numFmtId="0" fontId="66" fillId="0" borderId="0" xfId="11" applyFont="1" applyAlignment="1" applyProtection="1">
      <alignment horizontal="left" wrapText="1" shrinkToFit="1"/>
      <protection locked="0"/>
    </xf>
    <xf numFmtId="0" fontId="66" fillId="0" borderId="0" xfId="0" applyFont="1" applyAlignment="1" applyProtection="1">
      <alignment horizontal="center" shrinkToFit="1"/>
      <protection locked="0"/>
    </xf>
    <xf numFmtId="0" fontId="66" fillId="0" borderId="0" xfId="0" applyFont="1" applyAlignment="1" applyProtection="1">
      <alignment horizontal="center" vertical="center" shrinkToFit="1"/>
      <protection locked="0"/>
    </xf>
    <xf numFmtId="168" fontId="66" fillId="0" borderId="0" xfId="0" applyNumberFormat="1" applyFont="1" applyAlignment="1" applyProtection="1">
      <alignment horizontal="center" shrinkToFit="1"/>
      <protection locked="0"/>
    </xf>
    <xf numFmtId="0" fontId="66" fillId="0" borderId="0" xfId="0" applyFont="1" applyAlignment="1" applyProtection="1">
      <alignment horizontal="center" vertical="center" shrinkToFit="1"/>
      <protection hidden="1"/>
    </xf>
    <xf numFmtId="43" fontId="66" fillId="0" borderId="0" xfId="1" applyFont="1" applyFill="1" applyBorder="1" applyAlignment="1" applyProtection="1">
      <alignment horizontal="center" shrinkToFit="1"/>
      <protection hidden="1"/>
    </xf>
    <xf numFmtId="170" fontId="66" fillId="0" borderId="0" xfId="0" applyNumberFormat="1" applyFont="1" applyAlignment="1" applyProtection="1">
      <alignment horizontal="center" vertical="center" shrinkToFit="1"/>
      <protection hidden="1"/>
    </xf>
    <xf numFmtId="168" fontId="66" fillId="0" borderId="0" xfId="1" applyNumberFormat="1" applyFont="1" applyFill="1" applyBorder="1" applyAlignment="1" applyProtection="1">
      <alignment horizontal="center" vertical="center" shrinkToFit="1"/>
      <protection hidden="1"/>
    </xf>
    <xf numFmtId="168" fontId="66" fillId="0" borderId="0" xfId="1" applyNumberFormat="1" applyFont="1" applyFill="1" applyBorder="1" applyAlignment="1" applyProtection="1">
      <alignment horizontal="center" vertical="center" shrinkToFit="1"/>
      <protection locked="0"/>
    </xf>
    <xf numFmtId="9" fontId="63" fillId="0" borderId="0" xfId="2" applyFont="1" applyFill="1" applyBorder="1" applyAlignment="1" applyProtection="1">
      <alignment horizontal="center" vertical="center" shrinkToFit="1"/>
      <protection locked="0"/>
    </xf>
    <xf numFmtId="0" fontId="5" fillId="5" borderId="2" xfId="0" applyFont="1" applyFill="1" applyBorder="1" applyAlignment="1" applyProtection="1">
      <alignment horizontal="center" vertical="center" wrapText="1"/>
      <protection hidden="1"/>
    </xf>
    <xf numFmtId="1" fontId="5" fillId="0" borderId="0" xfId="0" applyNumberFormat="1" applyFont="1" applyAlignment="1" applyProtection="1">
      <alignment horizontal="left" vertical="center" shrinkToFit="1"/>
      <protection hidden="1"/>
    </xf>
    <xf numFmtId="1" fontId="5" fillId="0" borderId="0" xfId="0" applyNumberFormat="1" applyFont="1" applyAlignment="1" applyProtection="1">
      <alignment horizontal="left" vertical="center"/>
      <protection hidden="1"/>
    </xf>
    <xf numFmtId="0" fontId="67" fillId="0" borderId="2" xfId="0" applyFont="1" applyBorder="1" applyAlignment="1" applyProtection="1">
      <alignment horizontal="center" vertical="center"/>
      <protection hidden="1"/>
    </xf>
    <xf numFmtId="168" fontId="12" fillId="0" borderId="8" xfId="0" applyNumberFormat="1" applyFont="1" applyBorder="1" applyAlignment="1" applyProtection="1">
      <alignment vertical="center"/>
      <protection hidden="1"/>
    </xf>
    <xf numFmtId="167" fontId="5" fillId="0" borderId="8" xfId="0" applyNumberFormat="1" applyFont="1" applyBorder="1" applyAlignment="1" applyProtection="1">
      <alignment vertical="center"/>
      <protection hidden="1"/>
    </xf>
    <xf numFmtId="168" fontId="12" fillId="0" borderId="2" xfId="0" applyNumberFormat="1" applyFont="1" applyBorder="1" applyAlignment="1" applyProtection="1">
      <alignment vertical="center"/>
      <protection hidden="1"/>
    </xf>
    <xf numFmtId="167" fontId="5" fillId="0" borderId="2" xfId="0" applyNumberFormat="1" applyFont="1" applyBorder="1" applyAlignment="1" applyProtection="1">
      <alignment vertical="center"/>
      <protection hidden="1"/>
    </xf>
    <xf numFmtId="169" fontId="12" fillId="0" borderId="4" xfId="0" applyNumberFormat="1" applyFont="1" applyBorder="1" applyAlignment="1" applyProtection="1">
      <alignment vertical="center"/>
      <protection hidden="1"/>
    </xf>
    <xf numFmtId="178" fontId="12" fillId="0" borderId="2" xfId="0" applyNumberFormat="1" applyFont="1" applyBorder="1" applyAlignment="1" applyProtection="1">
      <alignment vertical="center" shrinkToFit="1"/>
      <protection hidden="1"/>
    </xf>
    <xf numFmtId="168" fontId="12" fillId="0" borderId="2" xfId="0" applyNumberFormat="1" applyFont="1" applyBorder="1" applyAlignment="1" applyProtection="1">
      <alignment horizontal="center" vertical="center"/>
      <protection hidden="1"/>
    </xf>
    <xf numFmtId="169" fontId="12" fillId="0" borderId="2" xfId="0" applyNumberFormat="1" applyFont="1" applyBorder="1" applyAlignment="1" applyProtection="1">
      <alignment horizontal="center" vertical="center"/>
      <protection hidden="1"/>
    </xf>
    <xf numFmtId="179" fontId="63" fillId="0" borderId="0" xfId="1" applyNumberFormat="1" applyFont="1" applyFill="1" applyBorder="1" applyAlignment="1" applyProtection="1">
      <alignment horizontal="center" vertical="center" shrinkToFit="1"/>
      <protection locked="0"/>
    </xf>
    <xf numFmtId="179" fontId="66" fillId="0" borderId="0" xfId="1" applyNumberFormat="1" applyFont="1" applyFill="1" applyBorder="1" applyAlignment="1" applyProtection="1">
      <alignment horizontal="center" vertical="center" shrinkToFit="1"/>
      <protection locked="0"/>
    </xf>
    <xf numFmtId="0" fontId="17" fillId="0" borderId="0" xfId="0" applyFont="1" applyAlignment="1" applyProtection="1">
      <alignment horizontal="center" vertical="center"/>
      <protection hidden="1"/>
    </xf>
    <xf numFmtId="2" fontId="26" fillId="0" borderId="0" xfId="0" quotePrefix="1" applyNumberFormat="1" applyFont="1" applyAlignment="1">
      <alignment horizontal="center" vertical="center" shrinkToFit="1"/>
    </xf>
    <xf numFmtId="173" fontId="17" fillId="0" borderId="0" xfId="0" applyNumberFormat="1" applyFont="1" applyAlignment="1" applyProtection="1">
      <alignment horizontal="center" vertical="center" shrinkToFit="1"/>
      <protection hidden="1"/>
    </xf>
    <xf numFmtId="0" fontId="60" fillId="4" borderId="0" xfId="11" applyFont="1" applyFill="1" applyAlignment="1" applyProtection="1">
      <alignment horizontal="left" wrapText="1" shrinkToFit="1"/>
      <protection locked="0"/>
    </xf>
    <xf numFmtId="9" fontId="12" fillId="0" borderId="0" xfId="0" applyNumberFormat="1" applyFont="1" applyAlignment="1" applyProtection="1">
      <alignment vertical="center"/>
      <protection hidden="1"/>
    </xf>
    <xf numFmtId="9" fontId="63" fillId="0" borderId="0" xfId="2" applyFont="1" applyAlignment="1" applyProtection="1">
      <alignment horizontal="center" vertical="center" shrinkToFit="1"/>
      <protection hidden="1"/>
    </xf>
    <xf numFmtId="9" fontId="5" fillId="0" borderId="2" xfId="0" applyNumberFormat="1" applyFont="1" applyBorder="1" applyAlignment="1" applyProtection="1">
      <alignment horizontal="center" vertical="center" wrapText="1"/>
      <protection hidden="1"/>
    </xf>
    <xf numFmtId="9" fontId="11" fillId="0" borderId="0" xfId="0" applyNumberFormat="1" applyFont="1" applyAlignment="1" applyProtection="1">
      <alignment horizontal="left" vertical="center" wrapText="1"/>
      <protection hidden="1"/>
    </xf>
    <xf numFmtId="9" fontId="39" fillId="4" borderId="0" xfId="0" applyNumberFormat="1" applyFont="1" applyFill="1" applyAlignment="1" applyProtection="1">
      <alignment horizontal="center" vertical="center" shrinkToFit="1"/>
      <protection hidden="1"/>
    </xf>
    <xf numFmtId="9" fontId="13" fillId="0" borderId="0" xfId="0" applyNumberFormat="1" applyFont="1" applyAlignment="1" applyProtection="1">
      <alignment horizontal="center" vertical="center"/>
      <protection hidden="1"/>
    </xf>
    <xf numFmtId="9" fontId="5" fillId="0" borderId="0" xfId="0" applyNumberFormat="1" applyFont="1" applyAlignment="1" applyProtection="1">
      <alignment horizontal="center" vertical="center"/>
      <protection locked="0"/>
    </xf>
    <xf numFmtId="9" fontId="42" fillId="6" borderId="2" xfId="2" applyFont="1" applyFill="1" applyBorder="1" applyAlignment="1" applyProtection="1">
      <alignment horizontal="center" vertical="center" wrapText="1"/>
      <protection hidden="1"/>
    </xf>
    <xf numFmtId="9" fontId="5" fillId="0" borderId="0" xfId="0" applyNumberFormat="1" applyFont="1" applyAlignment="1" applyProtection="1">
      <alignment horizontal="center" vertical="center" shrinkToFit="1"/>
      <protection hidden="1"/>
    </xf>
    <xf numFmtId="9" fontId="5" fillId="0" borderId="0" xfId="0" applyNumberFormat="1" applyFont="1" applyAlignment="1" applyProtection="1">
      <alignment horizontal="center" shrinkToFit="1"/>
      <protection hidden="1"/>
    </xf>
    <xf numFmtId="9" fontId="5" fillId="0" borderId="0" xfId="0" applyNumberFormat="1" applyFont="1" applyAlignment="1" applyProtection="1">
      <alignment horizontal="center"/>
      <protection hidden="1"/>
    </xf>
    <xf numFmtId="43" fontId="5" fillId="0" borderId="0" xfId="22" applyFont="1" applyFill="1" applyBorder="1" applyAlignment="1" applyProtection="1">
      <alignment horizontal="center" vertical="center" shrinkToFit="1"/>
      <protection hidden="1"/>
    </xf>
    <xf numFmtId="9" fontId="63" fillId="0" borderId="0" xfId="14" applyFont="1" applyFill="1" applyAlignment="1" applyProtection="1">
      <alignment horizontal="center" vertical="center" shrinkToFit="1"/>
      <protection hidden="1"/>
    </xf>
    <xf numFmtId="180" fontId="5" fillId="0" borderId="0" xfId="0" applyNumberFormat="1" applyFont="1" applyAlignment="1" applyProtection="1">
      <alignment horizontal="center" vertical="center"/>
      <protection hidden="1"/>
    </xf>
    <xf numFmtId="180" fontId="5" fillId="0" borderId="2" xfId="0" applyNumberFormat="1" applyFont="1" applyBorder="1" applyAlignment="1" applyProtection="1">
      <alignment horizontal="center" vertical="center" wrapText="1"/>
      <protection hidden="1"/>
    </xf>
    <xf numFmtId="180" fontId="63" fillId="0" borderId="0" xfId="2" applyNumberFormat="1" applyFont="1" applyAlignment="1" applyProtection="1">
      <alignment horizontal="center" vertical="center" shrinkToFit="1"/>
      <protection hidden="1"/>
    </xf>
    <xf numFmtId="180" fontId="5" fillId="0" borderId="0" xfId="0" applyNumberFormat="1" applyFont="1" applyAlignment="1" applyProtection="1">
      <alignment horizontal="center" vertical="center" shrinkToFit="1"/>
      <protection hidden="1"/>
    </xf>
    <xf numFmtId="180" fontId="13" fillId="0" borderId="0" xfId="0" applyNumberFormat="1" applyFont="1" applyAlignment="1" applyProtection="1">
      <alignment horizontal="center" vertical="center"/>
      <protection hidden="1"/>
    </xf>
    <xf numFmtId="180" fontId="5" fillId="0" borderId="0" xfId="0" applyNumberFormat="1" applyFont="1" applyAlignment="1" applyProtection="1">
      <alignment horizontal="center" vertical="center"/>
      <protection locked="0"/>
    </xf>
    <xf numFmtId="180" fontId="63" fillId="0" borderId="0" xfId="14" applyNumberFormat="1" applyFont="1" applyFill="1" applyAlignment="1" applyProtection="1">
      <alignment horizontal="center" vertical="center" shrinkToFit="1"/>
      <protection hidden="1"/>
    </xf>
    <xf numFmtId="180" fontId="5" fillId="0" borderId="0" xfId="0" applyNumberFormat="1" applyFont="1" applyAlignment="1" applyProtection="1">
      <alignment horizontal="center" shrinkToFit="1"/>
      <protection hidden="1"/>
    </xf>
    <xf numFmtId="180" fontId="5" fillId="0" borderId="0" xfId="0" applyNumberFormat="1" applyFont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 vertical="center"/>
      <protection locked="0"/>
    </xf>
    <xf numFmtId="166" fontId="5" fillId="0" borderId="4" xfId="0" applyNumberFormat="1" applyFont="1" applyBorder="1" applyAlignment="1" applyProtection="1">
      <alignment horizontal="center"/>
      <protection locked="0"/>
    </xf>
    <xf numFmtId="166" fontId="5" fillId="0" borderId="1" xfId="0" applyNumberFormat="1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right"/>
      <protection hidden="1"/>
    </xf>
    <xf numFmtId="0" fontId="5" fillId="0" borderId="5" xfId="0" applyFont="1" applyBorder="1" applyAlignment="1" applyProtection="1">
      <alignment horizontal="right"/>
      <protection hidden="1"/>
    </xf>
    <xf numFmtId="170" fontId="12" fillId="0" borderId="4" xfId="0" applyNumberFormat="1" applyFont="1" applyBorder="1" applyAlignment="1" applyProtection="1">
      <alignment horizontal="center" vertical="center"/>
      <protection hidden="1"/>
    </xf>
    <xf numFmtId="170" fontId="12" fillId="0" borderId="1" xfId="0" applyNumberFormat="1" applyFont="1" applyBorder="1" applyAlignment="1" applyProtection="1">
      <alignment horizontal="center" vertical="center"/>
      <protection hidden="1"/>
    </xf>
    <xf numFmtId="170" fontId="5" fillId="0" borderId="4" xfId="0" applyNumberFormat="1" applyFont="1" applyBorder="1" applyAlignment="1" applyProtection="1">
      <alignment horizontal="center" vertical="center"/>
      <protection hidden="1"/>
    </xf>
    <xf numFmtId="170" fontId="5" fillId="0" borderId="1" xfId="0" applyNumberFormat="1" applyFont="1" applyBorder="1" applyAlignment="1" applyProtection="1">
      <alignment horizontal="center" vertical="center"/>
      <protection hidden="1"/>
    </xf>
    <xf numFmtId="0" fontId="62" fillId="0" borderId="0" xfId="0" applyFont="1" applyAlignment="1" applyProtection="1">
      <alignment horizontal="center" vertical="center"/>
      <protection locked="0"/>
    </xf>
    <xf numFmtId="0" fontId="9" fillId="0" borderId="0" xfId="4" applyFont="1" applyAlignment="1" applyProtection="1">
      <alignment horizontal="center" vertical="center"/>
      <protection locked="0"/>
    </xf>
    <xf numFmtId="172" fontId="9" fillId="0" borderId="0" xfId="9" applyNumberFormat="1" applyFont="1" applyAlignment="1" applyProtection="1">
      <alignment horizontal="center"/>
      <protection hidden="1"/>
    </xf>
    <xf numFmtId="0" fontId="68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horizontal="center"/>
      <protection locked="0"/>
    </xf>
    <xf numFmtId="49" fontId="7" fillId="0" borderId="4" xfId="0" applyNumberFormat="1" applyFont="1" applyBorder="1" applyAlignment="1" applyProtection="1">
      <alignment horizontal="center" shrinkToFit="1"/>
      <protection locked="0"/>
    </xf>
    <xf numFmtId="49" fontId="7" fillId="0" borderId="1" xfId="0" applyNumberFormat="1" applyFont="1" applyBorder="1" applyAlignment="1" applyProtection="1">
      <alignment horizontal="center" shrinkToFit="1"/>
      <protection locked="0"/>
    </xf>
    <xf numFmtId="165" fontId="8" fillId="0" borderId="4" xfId="0" applyNumberFormat="1" applyFont="1" applyBorder="1" applyAlignment="1" applyProtection="1">
      <alignment horizontal="center"/>
      <protection locked="0"/>
    </xf>
    <xf numFmtId="165" fontId="8" fillId="0" borderId="1" xfId="0" applyNumberFormat="1" applyFont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6" fillId="0" borderId="9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1" xfId="0" applyFont="1" applyFill="1" applyBorder="1" applyAlignment="1" applyProtection="1">
      <alignment horizontal="center" vertical="center" wrapText="1"/>
      <protection hidden="1"/>
    </xf>
    <xf numFmtId="0" fontId="7" fillId="0" borderId="4" xfId="0" applyFont="1" applyBorder="1" applyAlignment="1" applyProtection="1">
      <alignment horizontal="center"/>
      <protection locked="0"/>
    </xf>
    <xf numFmtId="0" fontId="7" fillId="0" borderId="1" xfId="0" applyFont="1" applyBorder="1" applyAlignment="1" applyProtection="1">
      <alignment horizontal="center"/>
      <protection locked="0"/>
    </xf>
    <xf numFmtId="169" fontId="8" fillId="0" borderId="4" xfId="0" applyNumberFormat="1" applyFont="1" applyBorder="1" applyAlignment="1" applyProtection="1">
      <alignment horizontal="center" vertical="center"/>
      <protection locked="0"/>
    </xf>
    <xf numFmtId="169" fontId="8" fillId="0" borderId="13" xfId="0" applyNumberFormat="1" applyFont="1" applyBorder="1" applyAlignment="1" applyProtection="1">
      <alignment horizontal="center" vertical="center"/>
      <protection locked="0"/>
    </xf>
    <xf numFmtId="0" fontId="40" fillId="2" borderId="10" xfId="0" applyFont="1" applyFill="1" applyBorder="1" applyAlignment="1" applyProtection="1">
      <alignment horizontal="center" vertical="center" wrapText="1"/>
      <protection hidden="1"/>
    </xf>
    <xf numFmtId="0" fontId="40" fillId="2" borderId="11" xfId="0" applyFont="1" applyFill="1" applyBorder="1" applyAlignment="1" applyProtection="1">
      <alignment horizontal="center" vertical="center" wrapText="1"/>
      <protection hidden="1"/>
    </xf>
    <xf numFmtId="0" fontId="40" fillId="2" borderId="12" xfId="0" applyFont="1" applyFill="1" applyBorder="1" applyAlignment="1" applyProtection="1">
      <alignment horizontal="center" vertical="center" wrapText="1"/>
      <protection hidden="1"/>
    </xf>
    <xf numFmtId="0" fontId="40" fillId="2" borderId="13" xfId="0" applyFont="1" applyFill="1" applyBorder="1" applyAlignment="1" applyProtection="1">
      <alignment horizontal="center" vertical="center" wrapText="1"/>
      <protection hidden="1"/>
    </xf>
    <xf numFmtId="1" fontId="30" fillId="0" borderId="0" xfId="0" applyNumberFormat="1" applyFont="1" applyAlignment="1" applyProtection="1">
      <alignment horizontal="center" vertical="center"/>
      <protection hidden="1"/>
    </xf>
    <xf numFmtId="1" fontId="5" fillId="0" borderId="9" xfId="0" applyNumberFormat="1" applyFont="1" applyBorder="1" applyAlignment="1" applyProtection="1">
      <alignment horizontal="center" vertical="center"/>
      <protection hidden="1"/>
    </xf>
    <xf numFmtId="1" fontId="5" fillId="0" borderId="1" xfId="0" applyNumberFormat="1" applyFont="1" applyBorder="1" applyAlignment="1" applyProtection="1">
      <alignment horizontal="center" vertical="center"/>
      <protection hidden="1"/>
    </xf>
    <xf numFmtId="164" fontId="5" fillId="0" borderId="4" xfId="0" applyNumberFormat="1" applyFont="1" applyBorder="1" applyAlignment="1" applyProtection="1">
      <alignment horizontal="center"/>
      <protection locked="0"/>
    </xf>
    <xf numFmtId="164" fontId="5" fillId="0" borderId="1" xfId="0" applyNumberFormat="1" applyFont="1" applyBorder="1" applyAlignment="1" applyProtection="1">
      <alignment horizontal="center"/>
      <protection locked="0"/>
    </xf>
    <xf numFmtId="0" fontId="46" fillId="0" borderId="2" xfId="0" applyFont="1" applyBorder="1" applyAlignment="1">
      <alignment horizontal="center" vertical="center"/>
    </xf>
    <xf numFmtId="172" fontId="43" fillId="0" borderId="0" xfId="0" applyNumberFormat="1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6" fillId="2" borderId="2" xfId="0" applyFont="1" applyFill="1" applyBorder="1" applyAlignment="1">
      <alignment horizontal="center" vertical="center"/>
    </xf>
    <xf numFmtId="0" fontId="46" fillId="2" borderId="2" xfId="0" applyFont="1" applyFill="1" applyBorder="1" applyAlignment="1">
      <alignment horizontal="center" vertical="center" shrinkToFit="1"/>
    </xf>
    <xf numFmtId="0" fontId="46" fillId="2" borderId="4" xfId="0" applyFont="1" applyFill="1" applyBorder="1" applyAlignment="1">
      <alignment horizontal="center" vertical="center"/>
    </xf>
    <xf numFmtId="0" fontId="46" fillId="0" borderId="9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</cellXfs>
  <cellStyles count="98">
    <cellStyle name="Comma" xfId="1" builtinId="3"/>
    <cellStyle name="Comma 10" xfId="81" xr:uid="{00000000-0005-0000-0000-000001000000}"/>
    <cellStyle name="Comma 11" xfId="22" xr:uid="{00000000-0005-0000-0000-000002000000}"/>
    <cellStyle name="Comma 2" xfId="8" xr:uid="{00000000-0005-0000-0000-000003000000}"/>
    <cellStyle name="Comma 2 2" xfId="80" xr:uid="{00000000-0005-0000-0000-000004000000}"/>
    <cellStyle name="Comma 3" xfId="12" xr:uid="{00000000-0005-0000-0000-000005000000}"/>
    <cellStyle name="Comma 3 2" xfId="45" xr:uid="{00000000-0005-0000-0000-000006000000}"/>
    <cellStyle name="Comma 3 2 2" xfId="57" xr:uid="{00000000-0005-0000-0000-000007000000}"/>
    <cellStyle name="Comma 3 2 2 2" xfId="95" xr:uid="{00000000-0005-0000-0000-000008000000}"/>
    <cellStyle name="Comma 3 3" xfId="38" xr:uid="{00000000-0005-0000-0000-000009000000}"/>
    <cellStyle name="Comma 3 3 2" xfId="86" xr:uid="{00000000-0005-0000-0000-00000A000000}"/>
    <cellStyle name="Comma 3 4" xfId="91" xr:uid="{00000000-0005-0000-0000-00000B000000}"/>
    <cellStyle name="Comma 4" xfId="30" xr:uid="{00000000-0005-0000-0000-00000C000000}"/>
    <cellStyle name="Comma 4 2" xfId="68" xr:uid="{00000000-0005-0000-0000-00000D000000}"/>
    <cellStyle name="Comma 4 3" xfId="49" xr:uid="{00000000-0005-0000-0000-00000E000000}"/>
    <cellStyle name="Comma 5" xfId="25" xr:uid="{00000000-0005-0000-0000-00000F000000}"/>
    <cellStyle name="Comma 5 2" xfId="52" xr:uid="{00000000-0005-0000-0000-000010000000}"/>
    <cellStyle name="Comma 5 2 2" xfId="93" xr:uid="{00000000-0005-0000-0000-000011000000}"/>
    <cellStyle name="Comma 6" xfId="65" xr:uid="{00000000-0005-0000-0000-000012000000}"/>
    <cellStyle name="Comma 7" xfId="76" xr:uid="{00000000-0005-0000-0000-000013000000}"/>
    <cellStyle name="Comma 8" xfId="51" xr:uid="{00000000-0005-0000-0000-000014000000}"/>
    <cellStyle name="Comma 9" xfId="87" xr:uid="{00000000-0005-0000-0000-000015000000}"/>
    <cellStyle name="Currency 2" xfId="13" xr:uid="{00000000-0005-0000-0000-000017000000}"/>
    <cellStyle name="Currency 2 2" xfId="46" xr:uid="{00000000-0005-0000-0000-000018000000}"/>
    <cellStyle name="Currency 2 2 2" xfId="61" xr:uid="{00000000-0005-0000-0000-000019000000}"/>
    <cellStyle name="Currency 2 2 2 2" xfId="96" xr:uid="{00000000-0005-0000-0000-00001A000000}"/>
    <cellStyle name="Currency 2 3" xfId="36" xr:uid="{00000000-0005-0000-0000-00001B000000}"/>
    <cellStyle name="Currency 3" xfId="28" xr:uid="{00000000-0005-0000-0000-00001C000000}"/>
    <cellStyle name="Currency 4" xfId="26" xr:uid="{00000000-0005-0000-0000-00001D000000}"/>
    <cellStyle name="Currency 4 2" xfId="77" xr:uid="{00000000-0005-0000-0000-00001E000000}"/>
    <cellStyle name="Currency 4 2 2" xfId="94" xr:uid="{00000000-0005-0000-0000-00001F000000}"/>
    <cellStyle name="Currency 5" xfId="54" xr:uid="{00000000-0005-0000-0000-000020000000}"/>
    <cellStyle name="Currency 6" xfId="88" xr:uid="{00000000-0005-0000-0000-000021000000}"/>
    <cellStyle name="Currency 7" xfId="23" xr:uid="{00000000-0005-0000-0000-000022000000}"/>
    <cellStyle name="Hyperlink" xfId="3" builtinId="8"/>
    <cellStyle name="Hyperlink 2" xfId="56" xr:uid="{00000000-0005-0000-0000-000024000000}"/>
    <cellStyle name="Hyperlink 2 2" xfId="82" xr:uid="{00000000-0005-0000-0000-000025000000}"/>
    <cellStyle name="Normal" xfId="0" builtinId="0"/>
    <cellStyle name="Normal 2" xfId="4" xr:uid="{00000000-0005-0000-0000-000027000000}"/>
    <cellStyle name="Normal 2 11" xfId="39" xr:uid="{00000000-0005-0000-0000-000028000000}"/>
    <cellStyle name="Normal 2 11 2" xfId="18" xr:uid="{00000000-0005-0000-0000-000029000000}"/>
    <cellStyle name="Normal 2 11 2 2" xfId="43" xr:uid="{00000000-0005-0000-0000-00002A000000}"/>
    <cellStyle name="Normal 2 11 3" xfId="92" xr:uid="{00000000-0005-0000-0000-00002B000000}"/>
    <cellStyle name="Normal 2 13" xfId="67" xr:uid="{00000000-0005-0000-0000-00002C000000}"/>
    <cellStyle name="Normal 2 2" xfId="9" xr:uid="{00000000-0005-0000-0000-00002D000000}"/>
    <cellStyle name="Normal 2 2 2" xfId="31" xr:uid="{00000000-0005-0000-0000-00002E000000}"/>
    <cellStyle name="Normal 2 2 2 2" xfId="79" xr:uid="{00000000-0005-0000-0000-00002F000000}"/>
    <cellStyle name="Normal 2 2 3" xfId="42" xr:uid="{00000000-0005-0000-0000-000030000000}"/>
    <cellStyle name="Normal 2 2 3 2" xfId="85" xr:uid="{00000000-0005-0000-0000-000031000000}"/>
    <cellStyle name="Normal 2 3" xfId="33" xr:uid="{00000000-0005-0000-0000-000032000000}"/>
    <cellStyle name="Normal 2 3 2" xfId="59" xr:uid="{00000000-0005-0000-0000-000033000000}"/>
    <cellStyle name="Normal 2 3 3" xfId="83" xr:uid="{00000000-0005-0000-0000-000034000000}"/>
    <cellStyle name="Normal 2 4" xfId="71" xr:uid="{00000000-0005-0000-0000-000035000000}"/>
    <cellStyle name="Normal 3" xfId="5" xr:uid="{00000000-0005-0000-0000-000036000000}"/>
    <cellStyle name="Normal 3 2" xfId="34" xr:uid="{00000000-0005-0000-0000-000037000000}"/>
    <cellStyle name="Normal 3 2 2" xfId="63" xr:uid="{00000000-0005-0000-0000-000038000000}"/>
    <cellStyle name="Normal 3 3" xfId="29" xr:uid="{00000000-0005-0000-0000-000039000000}"/>
    <cellStyle name="Normal 3 3 2" xfId="73" xr:uid="{00000000-0005-0000-0000-00003A000000}"/>
    <cellStyle name="Normal 3 3 2 2" xfId="75" xr:uid="{00000000-0005-0000-0000-00003B000000}"/>
    <cellStyle name="Normal 4" xfId="16" xr:uid="{00000000-0005-0000-0000-00003C000000}"/>
    <cellStyle name="Normal 4 2" xfId="40" xr:uid="{00000000-0005-0000-0000-00003D000000}"/>
    <cellStyle name="Normal 4 2 2" xfId="74" xr:uid="{00000000-0005-0000-0000-00003E000000}"/>
    <cellStyle name="Normal 4 3" xfId="78" xr:uid="{00000000-0005-0000-0000-00003F000000}"/>
    <cellStyle name="Normal 4 4" xfId="90" xr:uid="{00000000-0005-0000-0000-000040000000}"/>
    <cellStyle name="Normal 4 5" xfId="21" xr:uid="{00000000-0005-0000-0000-000041000000}"/>
    <cellStyle name="Normal 5" xfId="10" xr:uid="{00000000-0005-0000-0000-000042000000}"/>
    <cellStyle name="Normal 5 2" xfId="7" xr:uid="{00000000-0005-0000-0000-000043000000}"/>
    <cellStyle name="Normal 5 2 2" xfId="50" xr:uid="{00000000-0005-0000-0000-000044000000}"/>
    <cellStyle name="Normal 5 2 2 2" xfId="84" xr:uid="{00000000-0005-0000-0000-000045000000}"/>
    <cellStyle name="Normal 5 3" xfId="55" xr:uid="{00000000-0005-0000-0000-000046000000}"/>
    <cellStyle name="Normal 5 3 2" xfId="48" xr:uid="{00000000-0005-0000-0000-000047000000}"/>
    <cellStyle name="Normal 5 4" xfId="62" xr:uid="{00000000-0005-0000-0000-000048000000}"/>
    <cellStyle name="Normal 6" xfId="17" xr:uid="{00000000-0005-0000-0000-000049000000}"/>
    <cellStyle name="Normal 6 2" xfId="20" xr:uid="{00000000-0005-0000-0000-00004A000000}"/>
    <cellStyle name="Normal 6 3" xfId="15" xr:uid="{00000000-0005-0000-0000-00004B000000}"/>
    <cellStyle name="Normal 7" xfId="72" xr:uid="{00000000-0005-0000-0000-00004C000000}"/>
    <cellStyle name="Normal 8" xfId="19" xr:uid="{00000000-0005-0000-0000-00004D000000}"/>
    <cellStyle name="Normal 9" xfId="70" xr:uid="{00000000-0005-0000-0000-00004E000000}"/>
    <cellStyle name="Normal_Sheet1 2 2" xfId="11" xr:uid="{00000000-0005-0000-0000-00004F000000}"/>
    <cellStyle name="Percent" xfId="2" builtinId="5"/>
    <cellStyle name="Percent 2" xfId="6" xr:uid="{00000000-0005-0000-0000-000051000000}"/>
    <cellStyle name="Percent 2 10" xfId="66" xr:uid="{00000000-0005-0000-0000-000052000000}"/>
    <cellStyle name="Percent 2 2" xfId="32" xr:uid="{00000000-0005-0000-0000-000053000000}"/>
    <cellStyle name="Percent 2 2 2" xfId="69" xr:uid="{00000000-0005-0000-0000-000054000000}"/>
    <cellStyle name="Percent 2 2 3" xfId="60" xr:uid="{00000000-0005-0000-0000-000055000000}"/>
    <cellStyle name="Percent 2 3" xfId="41" xr:uid="{00000000-0005-0000-0000-000056000000}"/>
    <cellStyle name="Percent 3" xfId="14" xr:uid="{00000000-0005-0000-0000-000057000000}"/>
    <cellStyle name="Percent 3 2" xfId="47" xr:uid="{00000000-0005-0000-0000-000058000000}"/>
    <cellStyle name="Percent 3 2 2" xfId="58" xr:uid="{00000000-0005-0000-0000-000059000000}"/>
    <cellStyle name="Percent 3 2 2 2" xfId="97" xr:uid="{00000000-0005-0000-0000-00005A000000}"/>
    <cellStyle name="Percent 3 3" xfId="37" xr:uid="{00000000-0005-0000-0000-00005B000000}"/>
    <cellStyle name="Percent 4" xfId="35" xr:uid="{00000000-0005-0000-0000-00005C000000}"/>
    <cellStyle name="Percent 4 2" xfId="44" xr:uid="{00000000-0005-0000-0000-00005D000000}"/>
    <cellStyle name="Percent 5" xfId="27" xr:uid="{00000000-0005-0000-0000-00005E000000}"/>
    <cellStyle name="Percent 5 2" xfId="64" xr:uid="{00000000-0005-0000-0000-00005F000000}"/>
    <cellStyle name="Percent 6" xfId="53" xr:uid="{00000000-0005-0000-0000-000060000000}"/>
    <cellStyle name="Percent 7" xfId="89" xr:uid="{00000000-0005-0000-0000-000061000000}"/>
    <cellStyle name="Percent 8" xfId="24" xr:uid="{00000000-0005-0000-0000-000062000000}"/>
  </cellStyles>
  <dxfs count="30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  <color rgb="FFFF6699"/>
      <color rgb="FF99FF99"/>
      <color rgb="FF9F3634"/>
      <color rgb="FFCC6600"/>
      <color rgb="FFCCECFF"/>
      <color rgb="FFFF99FF"/>
      <color rgb="FFFFFFFF"/>
      <color rgb="FF92D050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161365</xdr:colOff>
      <xdr:row>0</xdr:row>
      <xdr:rowOff>80682</xdr:rowOff>
    </xdr:from>
    <xdr:to>
      <xdr:col>2</xdr:col>
      <xdr:colOff>733813</xdr:colOff>
      <xdr:row>1</xdr:row>
      <xdr:rowOff>302623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84EE60-27D4-4DAF-9E89-4AAF75E78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1365" y="80682"/>
          <a:ext cx="1110330" cy="463988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67013</xdr:colOff>
      <xdr:row>0</xdr:row>
      <xdr:rowOff>62617</xdr:rowOff>
    </xdr:from>
    <xdr:to>
      <xdr:col>2</xdr:col>
      <xdr:colOff>427844</xdr:colOff>
      <xdr:row>2</xdr:row>
      <xdr:rowOff>58641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1F3FF1-8DE2-4AA5-B70E-8BD66ABC2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7013" y="62617"/>
          <a:ext cx="772311" cy="354164"/>
        </a:xfrm>
        <a:prstGeom prst="rect">
          <a:avLst/>
        </a:prstGeom>
      </xdr:spPr>
    </xdr:pic>
    <xdr:clientData/>
  </xdr:twoCellAnchor>
  <xdr:twoCellAnchor editAs="oneCell">
    <xdr:from>
      <xdr:col>59</xdr:col>
      <xdr:colOff>13253</xdr:colOff>
      <xdr:row>5</xdr:row>
      <xdr:rowOff>39756</xdr:rowOff>
    </xdr:from>
    <xdr:to>
      <xdr:col>73</xdr:col>
      <xdr:colOff>360973</xdr:colOff>
      <xdr:row>47</xdr:row>
      <xdr:rowOff>9746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DDE918-E07A-491A-8C2D-B195ADAAC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890273" y="1060836"/>
          <a:ext cx="5788400" cy="7650950"/>
        </a:xfrm>
        <a:prstGeom prst="rect">
          <a:avLst/>
        </a:prstGeom>
      </xdr:spPr>
    </xdr:pic>
    <xdr:clientData/>
  </xdr:twoCellAnchor>
  <xdr:twoCellAnchor editAs="oneCell">
    <xdr:from>
      <xdr:col>74</xdr:col>
      <xdr:colOff>25772</xdr:colOff>
      <xdr:row>3</xdr:row>
      <xdr:rowOff>167640</xdr:rowOff>
    </xdr:from>
    <xdr:to>
      <xdr:col>91</xdr:col>
      <xdr:colOff>408405</xdr:colOff>
      <xdr:row>29</xdr:row>
      <xdr:rowOff>7620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A423CC4-7099-0FA3-96B1-490BAF819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32092" y="838200"/>
          <a:ext cx="7210153" cy="7086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H560"/>
  <sheetViews>
    <sheetView tabSelected="1" topLeftCell="D1" zoomScale="55" zoomScaleNormal="55" zoomScaleSheetLayoutView="85" zoomScalePageLayoutView="70" workbookViewId="0">
      <selection activeCell="Y18" sqref="Y18"/>
    </sheetView>
  </sheetViews>
  <sheetFormatPr defaultColWidth="9.09765625" defaultRowHeight="13.8" outlineLevelCol="1"/>
  <cols>
    <col min="1" max="1" width="5.09765625" style="2" hidden="1" customWidth="1" outlineLevel="1"/>
    <col min="2" max="2" width="7.09765625" style="2" customWidth="1" collapsed="1"/>
    <col min="3" max="3" width="53" style="2" customWidth="1"/>
    <col min="4" max="4" width="9.69921875" style="2" customWidth="1"/>
    <col min="5" max="5" width="27.5" style="2" customWidth="1"/>
    <col min="6" max="6" width="11.3984375" style="2" customWidth="1"/>
    <col min="7" max="7" width="12.09765625" style="2" customWidth="1"/>
    <col min="8" max="8" width="11.69921875" style="2" customWidth="1"/>
    <col min="9" max="9" width="11" style="2" customWidth="1"/>
    <col min="10" max="10" width="11.296875" style="2" customWidth="1"/>
    <col min="11" max="11" width="10.3984375" style="2" customWidth="1"/>
    <col min="12" max="12" width="9.59765625" style="2" customWidth="1"/>
    <col min="13" max="13" width="12.69921875" style="2" customWidth="1"/>
    <col min="14" max="14" width="10.59765625" style="2" customWidth="1"/>
    <col min="15" max="15" width="8.59765625" style="3" bestFit="1" customWidth="1"/>
    <col min="16" max="16" width="11" style="7" bestFit="1" customWidth="1" outlineLevel="1"/>
    <col min="17" max="17" width="6.69921875" style="3" customWidth="1"/>
    <col min="18" max="18" width="6.296875" style="3" customWidth="1"/>
    <col min="19" max="19" width="20.59765625" style="3" customWidth="1"/>
    <col min="20" max="20" width="25.8984375" style="2" customWidth="1"/>
    <col min="21" max="22" width="9.09765625" style="2"/>
    <col min="23" max="23" width="9.09765625" style="7"/>
    <col min="24" max="25" width="9.09765625" style="184"/>
    <col min="26" max="26" width="6.69921875" style="2" customWidth="1" outlineLevel="1"/>
    <col min="27" max="28" width="5.59765625" style="2" customWidth="1" outlineLevel="1"/>
    <col min="29" max="32" width="6.59765625" style="2" customWidth="1" outlineLevel="1"/>
    <col min="33" max="33" width="13.796875" style="2" customWidth="1" outlineLevel="1"/>
    <col min="34" max="34" width="53" style="2" bestFit="1" customWidth="1"/>
    <col min="35" max="16384" width="9.09765625" style="2"/>
  </cols>
  <sheetData>
    <row r="1" spans="1:34" ht="19.2" customHeight="1">
      <c r="A1" s="1"/>
      <c r="B1" s="223" t="s">
        <v>1891</v>
      </c>
      <c r="C1" s="223"/>
      <c r="D1" s="223"/>
      <c r="E1" s="223"/>
      <c r="F1" s="223"/>
      <c r="G1" s="224"/>
      <c r="H1" s="215" t="s">
        <v>38</v>
      </c>
      <c r="I1" s="216"/>
      <c r="J1" s="213" t="s">
        <v>1875</v>
      </c>
      <c r="K1" s="213"/>
      <c r="P1" s="171"/>
      <c r="AA1" s="167"/>
      <c r="AB1" s="167"/>
      <c r="AC1" s="167"/>
      <c r="AD1" s="167"/>
      <c r="AE1" s="167"/>
      <c r="AF1" s="167"/>
      <c r="AG1" s="167"/>
    </row>
    <row r="2" spans="1:34" ht="42" customHeight="1">
      <c r="A2" s="4"/>
      <c r="B2" s="225"/>
      <c r="C2" s="225"/>
      <c r="D2" s="225"/>
      <c r="E2" s="225"/>
      <c r="F2" s="225"/>
      <c r="G2" s="226"/>
      <c r="H2" s="217" t="s">
        <v>39</v>
      </c>
      <c r="I2" s="218"/>
      <c r="J2" s="214" t="s">
        <v>1874</v>
      </c>
      <c r="K2" s="214"/>
      <c r="M2" s="205" t="s">
        <v>2092</v>
      </c>
      <c r="N2" s="206"/>
      <c r="O2" s="206"/>
      <c r="AA2" s="168"/>
      <c r="AB2" s="168"/>
      <c r="AC2" s="168"/>
      <c r="AD2" s="168"/>
      <c r="AE2" s="168"/>
      <c r="AF2" s="168"/>
      <c r="AG2" s="169"/>
    </row>
    <row r="3" spans="1:34" ht="19.95" customHeight="1">
      <c r="C3" s="5" t="s">
        <v>0</v>
      </c>
      <c r="D3" s="219"/>
      <c r="E3" s="220"/>
      <c r="F3" s="126"/>
      <c r="G3" s="196" t="s">
        <v>1</v>
      </c>
      <c r="H3" s="197"/>
      <c r="I3" s="221"/>
      <c r="J3" s="222"/>
      <c r="K3" s="156" t="s">
        <v>1890</v>
      </c>
      <c r="M3" s="206"/>
      <c r="N3" s="206"/>
      <c r="O3" s="206"/>
    </row>
    <row r="4" spans="1:34" ht="19.95" customHeight="1">
      <c r="C4" s="5" t="s">
        <v>2</v>
      </c>
      <c r="D4" s="209"/>
      <c r="E4" s="210"/>
      <c r="F4" s="127"/>
      <c r="G4" s="196" t="s">
        <v>3</v>
      </c>
      <c r="H4" s="197"/>
      <c r="I4" s="157">
        <f>IF(SUM($G$13:$G$407)=0,"",IF(K12=0,SUM($G$13:$G$407),SUM($L$13:$L$407)))</f>
        <v>3874.2867349368908</v>
      </c>
      <c r="J4" s="158">
        <f>IF(OR(I4=0,I4=""),"",(I4/60))</f>
        <v>64.571445582281513</v>
      </c>
      <c r="K4" s="163">
        <f>IF(SUM($G$13:$G$407)=0,"",SUM($G$13:$G$407))</f>
        <v>3190</v>
      </c>
      <c r="M4" s="206"/>
      <c r="N4" s="206"/>
      <c r="O4" s="206"/>
      <c r="AH4" s="138"/>
    </row>
    <row r="5" spans="1:34" ht="19.95" customHeight="1">
      <c r="C5" s="5" t="s">
        <v>4</v>
      </c>
      <c r="D5" s="211"/>
      <c r="E5" s="212"/>
      <c r="F5" s="128"/>
      <c r="G5" s="196" t="s">
        <v>5</v>
      </c>
      <c r="H5" s="197"/>
      <c r="I5" s="159">
        <f>IF(OR(I4="",D8=0),"",(I4/D8))</f>
        <v>117.40262833142093</v>
      </c>
      <c r="J5" s="160">
        <f>IF(OR(I5=0,I5=""),"",(I5/60))</f>
        <v>1.9567104721903488</v>
      </c>
      <c r="K5" s="163">
        <f>IF(OR(I4="",D8=0),"",(K4/D8))</f>
        <v>96.666666666666671</v>
      </c>
      <c r="M5" s="206"/>
      <c r="N5" s="206"/>
      <c r="O5" s="206"/>
    </row>
    <row r="6" spans="1:34" ht="19.95" customHeight="1">
      <c r="C6" s="5" t="s">
        <v>6</v>
      </c>
      <c r="D6" s="207"/>
      <c r="E6" s="208"/>
      <c r="F6" s="129"/>
      <c r="G6" s="196" t="s">
        <v>7</v>
      </c>
      <c r="H6" s="197"/>
      <c r="I6" s="161">
        <f>IFERROR((3600/I4*IF(D9=0,9,D9)*D8),"")</f>
        <v>275.97337862434091</v>
      </c>
      <c r="J6" s="162">
        <f>IFERROR((I6/D9),"")</f>
        <v>30.663708736037879</v>
      </c>
      <c r="K6" s="164">
        <f>IFERROR((3600/K4*IF(D9=0,9,D9)*D8),"")</f>
        <v>335.17241379310343</v>
      </c>
      <c r="M6" s="206"/>
      <c r="N6" s="206"/>
      <c r="O6" s="206"/>
      <c r="T6" s="7"/>
    </row>
    <row r="7" spans="1:34" ht="19.95" customHeight="1">
      <c r="C7" s="5" t="s">
        <v>8</v>
      </c>
      <c r="D7" s="194">
        <v>36</v>
      </c>
      <c r="E7" s="195"/>
      <c r="F7" s="130"/>
      <c r="G7" s="196" t="s">
        <v>9</v>
      </c>
      <c r="H7" s="197"/>
      <c r="I7" s="198" t="str">
        <f>IF(SUBTOTAL(9,$J$13:$J$408)=0,"",SUBTOTAL(9,$J$13:$J$408))</f>
        <v/>
      </c>
      <c r="J7" s="199"/>
      <c r="M7" s="206"/>
      <c r="N7" s="206"/>
      <c r="O7" s="206"/>
    </row>
    <row r="8" spans="1:34" ht="19.95" customHeight="1">
      <c r="C8" s="5" t="s">
        <v>10</v>
      </c>
      <c r="D8" s="194">
        <v>33</v>
      </c>
      <c r="E8" s="195"/>
      <c r="F8" s="130"/>
      <c r="G8" s="196" t="s">
        <v>11</v>
      </c>
      <c r="H8" s="197"/>
      <c r="I8" s="200">
        <f>IFERROR(IF(D8="","",(I6*SUBTOTAL(9,J13:J408))),"")</f>
        <v>0</v>
      </c>
      <c r="J8" s="201"/>
      <c r="M8" s="206"/>
      <c r="N8" s="206"/>
      <c r="O8" s="206"/>
    </row>
    <row r="9" spans="1:34" ht="19.95" customHeight="1">
      <c r="C9" s="5" t="s">
        <v>12</v>
      </c>
      <c r="D9" s="230">
        <v>9</v>
      </c>
      <c r="E9" s="231"/>
      <c r="F9" s="131"/>
      <c r="G9" s="196" t="s">
        <v>13</v>
      </c>
      <c r="H9" s="197"/>
      <c r="I9" s="200">
        <f>IFERROR(IF(OR(I8="",D8=0),"",(I8/D8)),"")</f>
        <v>0</v>
      </c>
      <c r="J9" s="201"/>
      <c r="R9" s="227" t="s">
        <v>48</v>
      </c>
      <c r="S9" s="227"/>
      <c r="T9" s="227"/>
      <c r="U9" s="227"/>
      <c r="V9" s="227"/>
    </row>
    <row r="10" spans="1:34" ht="15.6">
      <c r="B10" s="135" t="s">
        <v>14</v>
      </c>
      <c r="P10" s="172">
        <f>SUBTOTAL(9,P13:P406)</f>
        <v>0.99999999999999933</v>
      </c>
    </row>
    <row r="11" spans="1:34" s="12" customFormat="1" ht="41.4">
      <c r="A11" s="112" t="s">
        <v>1872</v>
      </c>
      <c r="B11" s="9" t="s">
        <v>15</v>
      </c>
      <c r="C11" s="8" t="s">
        <v>16</v>
      </c>
      <c r="D11" s="8" t="s">
        <v>17</v>
      </c>
      <c r="E11" s="8" t="s">
        <v>19</v>
      </c>
      <c r="F11" s="8" t="s">
        <v>1780</v>
      </c>
      <c r="G11" s="8" t="s">
        <v>20</v>
      </c>
      <c r="H11" s="9" t="s">
        <v>18</v>
      </c>
      <c r="I11" s="9" t="s">
        <v>45</v>
      </c>
      <c r="J11" s="134" t="s">
        <v>21</v>
      </c>
      <c r="K11" s="23" t="s">
        <v>43</v>
      </c>
      <c r="L11" s="9" t="s">
        <v>44</v>
      </c>
      <c r="M11" s="140" t="s">
        <v>1870</v>
      </c>
      <c r="N11" s="24" t="s">
        <v>51</v>
      </c>
      <c r="O11" s="8" t="s">
        <v>22</v>
      </c>
      <c r="P11" s="173" t="s">
        <v>1775</v>
      </c>
      <c r="Q11" s="3"/>
      <c r="R11" s="11" t="s">
        <v>15</v>
      </c>
      <c r="S11" s="124" t="s">
        <v>1780</v>
      </c>
      <c r="T11" s="153" t="s">
        <v>19</v>
      </c>
      <c r="U11" s="10" t="s">
        <v>49</v>
      </c>
      <c r="V11" s="10" t="s">
        <v>23</v>
      </c>
      <c r="W11" s="173" t="s">
        <v>1775</v>
      </c>
      <c r="X11" s="185" t="s">
        <v>2093</v>
      </c>
      <c r="Y11" s="185" t="s">
        <v>2094</v>
      </c>
    </row>
    <row r="12" spans="1:34" s="12" customFormat="1" ht="16.95" customHeight="1">
      <c r="A12" s="25"/>
      <c r="B12" s="25" t="s">
        <v>24</v>
      </c>
      <c r="C12" s="25" t="s">
        <v>25</v>
      </c>
      <c r="D12" s="13" t="s">
        <v>26</v>
      </c>
      <c r="E12" s="13" t="s">
        <v>1780</v>
      </c>
      <c r="F12" s="26" t="s">
        <v>28</v>
      </c>
      <c r="G12" s="13" t="s">
        <v>29</v>
      </c>
      <c r="H12" s="13" t="s">
        <v>27</v>
      </c>
      <c r="I12" s="13" t="s">
        <v>46</v>
      </c>
      <c r="J12" s="13" t="s">
        <v>30</v>
      </c>
      <c r="K12" s="109">
        <v>0.78</v>
      </c>
      <c r="L12" s="14">
        <f>IFERROR(IF(K12=0,(I4/D8),SUM($L$13:$L$406)),"")</f>
        <v>3874.2867349368908</v>
      </c>
      <c r="M12" s="13" t="s">
        <v>1871</v>
      </c>
      <c r="N12" s="14"/>
      <c r="O12" s="13" t="s">
        <v>31</v>
      </c>
      <c r="P12" s="174"/>
      <c r="Q12" s="3"/>
      <c r="R12" s="15"/>
      <c r="S12" s="123"/>
      <c r="T12" s="228" t="s">
        <v>50</v>
      </c>
      <c r="U12" s="229"/>
      <c r="V12" s="16">
        <f ca="1">SUM(V13:V42)</f>
        <v>0</v>
      </c>
      <c r="W12" s="178">
        <f ca="1">SUM(W13:W42)</f>
        <v>0</v>
      </c>
      <c r="X12" s="185"/>
      <c r="Y12" s="185"/>
    </row>
    <row r="13" spans="1:34" ht="21">
      <c r="A13" s="2" t="str">
        <f>IF(M13="","",COUNTIFS($M$13:M13,M13,$G$13:G13,"&gt;0"))</f>
        <v/>
      </c>
      <c r="B13" s="99" t="s">
        <v>1892</v>
      </c>
      <c r="C13" s="142" t="s">
        <v>1893</v>
      </c>
      <c r="D13" s="99"/>
      <c r="E13" s="100" t="s">
        <v>1892</v>
      </c>
      <c r="F13" s="99"/>
      <c r="G13" s="101"/>
      <c r="H13" s="139" t="str">
        <f t="shared" ref="H13:H76" si="0">IFERROR(IF(OR(D13=0,B13=0),"",INDEX($AA$2:$AG$2,MATCH(D13,$AA$1:$AG$1,0))),"")</f>
        <v/>
      </c>
      <c r="I13" s="102" t="str">
        <f t="shared" ref="I13:I76" si="1">IFERROR(IF(ISBLANK(D13),"",(IF(K13&gt;0,L13,G13)/NhipSX)),"")</f>
        <v/>
      </c>
      <c r="J13" s="103" t="str">
        <f t="shared" ref="J13:J76" si="2">IFERROR(IF(OR(D13=0,B13=0),"",INDEX($AA$2:$AG$2,MATCH(D13,$AA$1:$AG$1,0))*IF($J$11="Đơn Giá CBC",L13,G13)),"")</f>
        <v/>
      </c>
      <c r="K13" s="152" t="str">
        <f t="shared" ref="K13" si="3">IF(OR(ISBLANK(D13),$K$12=0),"",$K$12)</f>
        <v/>
      </c>
      <c r="L13" s="104" t="str">
        <f t="shared" ref="L13:L76" si="4">IFERROR(IF(ISBLANK(D13),"",IF(ISBLANK(K13),G13,(G13/K13))),"")</f>
        <v/>
      </c>
      <c r="M13" s="165"/>
      <c r="N13" s="105"/>
      <c r="O13" s="100"/>
      <c r="P13" s="172" t="str">
        <f>IFERROR(IF(ISBLANK(G13),"",(L13/$I$4)),"")</f>
        <v/>
      </c>
      <c r="R13" s="65" t="str">
        <f ca="1">IFERROR(IF(S13=0,"",COUNTA($S$13:S13)),"")</f>
        <v/>
      </c>
      <c r="S13" s="154" t="e" cm="1">
        <f t="array" aca="1" ref="S13:S40" ca="1">IF($T$11="Code MMTB",_xlfn._xlws.FILTER(_xlfn.UNIQUE($F$13:$F$406),_xlfn.UNIQUE($F$13:$F$406)&lt;&gt;""),_xlfn._xlws.FILTER(_xlfn.UNIQUE($E$13:$E$406),_xlfn.UNIQUE($E$13:$E$406)&lt;&gt;""))</f>
        <v>#NAME?</v>
      </c>
      <c r="T13" s="120" t="str">
        <f t="shared" ref="T13:T28" si="5">IFERROR(IF($T$11="Code MMTB",INDEX(TenMMTB,MATCH($S13,CodeMMTB,0)),""),"")</f>
        <v/>
      </c>
      <c r="U13" s="17" t="e">
        <f t="shared" ref="U13:U32" ca="1" si="6">IF(S13="","",IF($T$11="Code MMTB",SUMIFS(Thoigianchuan,NhucauMMTB,S13)/NhipSX,SUMIFS(Thoigianchuan,Cugaculy,S13)/NhipSX))</f>
        <v>#NAME?</v>
      </c>
      <c r="V13" s="136" t="str">
        <f ca="1">IFERROR(IF(R13="","",IF(U13&lt;1,1,ROUNDUP(U13,0))),"")</f>
        <v/>
      </c>
      <c r="W13" s="172" t="str">
        <f ca="1">IFERROR(IF(S13="","",SUMIFS($P$13:$P$407,$F$13:$F$407,S13)),"")</f>
        <v/>
      </c>
      <c r="X13" s="186" t="str">
        <f>IFERROR(IF(T13="","",SUMIFS($P$13:$P$407,$F$13:$F$407,T13)),"")</f>
        <v/>
      </c>
      <c r="Y13" s="186" t="str">
        <f ca="1">IFERROR(IF(U13="","",SUMIFS($P$13:$P$407,$F$13:$F$407,U13)),"")</f>
        <v/>
      </c>
    </row>
    <row r="14" spans="1:34" ht="21">
      <c r="A14" s="2">
        <f>IF(ISBLANK(F14),"",SUBTOTAL(3,F$14:$G14))</f>
        <v>2</v>
      </c>
      <c r="B14" s="98">
        <v>1</v>
      </c>
      <c r="C14" s="106" t="s">
        <v>1894</v>
      </c>
      <c r="D14" s="107">
        <v>3</v>
      </c>
      <c r="E14" s="100" t="s">
        <v>1895</v>
      </c>
      <c r="F14" s="107" t="s">
        <v>1807</v>
      </c>
      <c r="G14" s="108">
        <v>24</v>
      </c>
      <c r="H14" s="139" t="str">
        <f t="shared" si="0"/>
        <v/>
      </c>
      <c r="I14" s="102">
        <f t="shared" si="1"/>
        <v>0.21518392095465178</v>
      </c>
      <c r="J14" s="103" t="str">
        <f t="shared" si="2"/>
        <v/>
      </c>
      <c r="K14" s="152">
        <v>0.95</v>
      </c>
      <c r="L14" s="104">
        <f t="shared" si="4"/>
        <v>25.263157894736842</v>
      </c>
      <c r="M14" s="165" t="s">
        <v>2073</v>
      </c>
      <c r="N14" s="105"/>
      <c r="O14" s="100"/>
      <c r="P14" s="172">
        <f>IFERROR(IF(ISBLANK(G14),"",(L14/$I$4)),"")</f>
        <v>6.5207248774136898E-3</v>
      </c>
      <c r="R14" s="65" t="str">
        <f ca="1">IFERROR(IF(S14=0,"",COUNTA($S$13:S14)),"")</f>
        <v/>
      </c>
      <c r="S14" s="154" t="e">
        <f ca="1"/>
        <v>#NAME?</v>
      </c>
      <c r="T14" s="120" t="str">
        <f t="shared" si="5"/>
        <v/>
      </c>
      <c r="U14" s="17" t="e">
        <f t="shared" ca="1" si="6"/>
        <v>#NAME?</v>
      </c>
      <c r="V14" s="136" t="str">
        <f t="shared" ref="V14:V32" ca="1" si="7">IFERROR(IF(R14="","",IF(U14&lt;1,1,ROUNDUP(U14,0))),"")</f>
        <v/>
      </c>
      <c r="W14" s="172" t="str">
        <f t="shared" ref="W14:Y28" ca="1" si="8">IFERROR(IF(S14="","",SUMIFS($P$13:$P$407,$F$13:$F$407,S14)),"")</f>
        <v/>
      </c>
      <c r="X14" s="186" t="str">
        <f t="shared" si="8"/>
        <v/>
      </c>
      <c r="Y14" s="186" t="str">
        <f t="shared" ca="1" si="8"/>
        <v/>
      </c>
    </row>
    <row r="15" spans="1:34" ht="21">
      <c r="A15" s="2">
        <f>IF(ISBLANK(F15),"",SUBTOTAL(3,F$14:$G15))</f>
        <v>4</v>
      </c>
      <c r="B15" s="98">
        <v>2</v>
      </c>
      <c r="C15" s="106" t="s">
        <v>1896</v>
      </c>
      <c r="D15" s="107">
        <v>3</v>
      </c>
      <c r="E15" s="100" t="s">
        <v>1895</v>
      </c>
      <c r="F15" s="107" t="s">
        <v>1807</v>
      </c>
      <c r="G15" s="108">
        <v>15</v>
      </c>
      <c r="H15" s="139" t="str">
        <f t="shared" si="0"/>
        <v/>
      </c>
      <c r="I15" s="102">
        <f t="shared" si="1"/>
        <v>0.13448995059665736</v>
      </c>
      <c r="J15" s="103" t="str">
        <f t="shared" si="2"/>
        <v/>
      </c>
      <c r="K15" s="152">
        <v>0.95</v>
      </c>
      <c r="L15" s="104">
        <f t="shared" si="4"/>
        <v>15.789473684210527</v>
      </c>
      <c r="M15" s="165" t="s">
        <v>2073</v>
      </c>
      <c r="N15" s="105"/>
      <c r="O15" s="100"/>
      <c r="P15" s="172">
        <f>IFERROR(IF(ISBLANK(G15),"",(L15/$I$4)),"")</f>
        <v>4.0754530483835564E-3</v>
      </c>
      <c r="R15" s="65" t="str">
        <f ca="1">IFERROR(IF(S15=0,"",COUNTA($S$13:S15)),"")</f>
        <v/>
      </c>
      <c r="S15" s="154" t="e">
        <f ca="1"/>
        <v>#NAME?</v>
      </c>
      <c r="T15" s="120" t="str">
        <f t="shared" si="5"/>
        <v/>
      </c>
      <c r="U15" s="17" t="e">
        <f t="shared" ca="1" si="6"/>
        <v>#NAME?</v>
      </c>
      <c r="V15" s="136" t="str">
        <f t="shared" ca="1" si="7"/>
        <v/>
      </c>
      <c r="W15" s="172" t="str">
        <f t="shared" ca="1" si="8"/>
        <v/>
      </c>
      <c r="X15" s="186" t="str">
        <f t="shared" si="8"/>
        <v/>
      </c>
      <c r="Y15" s="186" t="str">
        <f t="shared" ca="1" si="8"/>
        <v/>
      </c>
    </row>
    <row r="16" spans="1:34" ht="21">
      <c r="A16" s="2">
        <f>IF(ISBLANK(F16),"",SUBTOTAL(3,F$14:$G16))</f>
        <v>6</v>
      </c>
      <c r="B16" s="98">
        <v>3</v>
      </c>
      <c r="C16" s="106" t="s">
        <v>1897</v>
      </c>
      <c r="D16" s="107">
        <v>3</v>
      </c>
      <c r="E16" s="100" t="s">
        <v>1895</v>
      </c>
      <c r="F16" s="107" t="s">
        <v>1807</v>
      </c>
      <c r="G16" s="108">
        <v>8</v>
      </c>
      <c r="H16" s="139" t="str">
        <f t="shared" si="0"/>
        <v/>
      </c>
      <c r="I16" s="102">
        <f t="shared" si="1"/>
        <v>7.1727973651550592E-2</v>
      </c>
      <c r="J16" s="103" t="str">
        <f t="shared" si="2"/>
        <v/>
      </c>
      <c r="K16" s="152">
        <v>0.95</v>
      </c>
      <c r="L16" s="104">
        <f t="shared" si="4"/>
        <v>8.4210526315789469</v>
      </c>
      <c r="M16" s="165" t="s">
        <v>2073</v>
      </c>
      <c r="N16" s="105"/>
      <c r="O16" s="100"/>
      <c r="P16" s="172">
        <f>IFERROR(IF(ISBLANK(G16),"",(L16/$I$4)),"")</f>
        <v>2.1735749591378964E-3</v>
      </c>
      <c r="R16" s="65" t="str">
        <f ca="1">IFERROR(IF(S16=0,"",COUNTA($S$13:S16)),"")</f>
        <v/>
      </c>
      <c r="S16" s="154" t="e">
        <f ca="1"/>
        <v>#NAME?</v>
      </c>
      <c r="T16" s="120" t="str">
        <f t="shared" si="5"/>
        <v/>
      </c>
      <c r="U16" s="17" t="e">
        <f t="shared" ca="1" si="6"/>
        <v>#NAME?</v>
      </c>
      <c r="V16" s="136" t="str">
        <f t="shared" ca="1" si="7"/>
        <v/>
      </c>
      <c r="W16" s="172" t="str">
        <f t="shared" ca="1" si="8"/>
        <v/>
      </c>
      <c r="X16" s="186" t="str">
        <f t="shared" si="8"/>
        <v/>
      </c>
      <c r="Y16" s="186" t="str">
        <f t="shared" ca="1" si="8"/>
        <v/>
      </c>
    </row>
    <row r="17" spans="1:25" ht="21">
      <c r="A17" s="2">
        <f>IF(ISBLANK(F17),"",SUBTOTAL(3,F$14:$G17))</f>
        <v>8</v>
      </c>
      <c r="B17" s="98">
        <v>4</v>
      </c>
      <c r="C17" s="106" t="s">
        <v>1898</v>
      </c>
      <c r="D17" s="107">
        <v>3</v>
      </c>
      <c r="E17" s="100" t="s">
        <v>1895</v>
      </c>
      <c r="F17" s="107" t="s">
        <v>1807</v>
      </c>
      <c r="G17" s="108">
        <v>15</v>
      </c>
      <c r="H17" s="139" t="str">
        <f t="shared" si="0"/>
        <v/>
      </c>
      <c r="I17" s="102">
        <f t="shared" si="1"/>
        <v>0.13448995059665736</v>
      </c>
      <c r="J17" s="103" t="str">
        <f t="shared" si="2"/>
        <v/>
      </c>
      <c r="K17" s="152">
        <v>0.95</v>
      </c>
      <c r="L17" s="104">
        <f t="shared" si="4"/>
        <v>15.789473684210527</v>
      </c>
      <c r="M17" s="165" t="s">
        <v>2073</v>
      </c>
      <c r="N17" s="105"/>
      <c r="O17" s="100"/>
      <c r="P17" s="172">
        <f t="shared" ref="P17:P77" si="9">IFERROR(IF(ISBLANK(G17),"",(L17/$I$4)),"")</f>
        <v>4.0754530483835564E-3</v>
      </c>
      <c r="R17" s="65" t="str">
        <f ca="1">IFERROR(IF(S17=0,"",COUNTA($S$13:S17)),"")</f>
        <v/>
      </c>
      <c r="S17" s="154" t="e">
        <f ca="1"/>
        <v>#NAME?</v>
      </c>
      <c r="T17" s="120" t="str">
        <f t="shared" si="5"/>
        <v/>
      </c>
      <c r="U17" s="17" t="e">
        <f t="shared" ca="1" si="6"/>
        <v>#NAME?</v>
      </c>
      <c r="V17" s="136" t="str">
        <f t="shared" ca="1" si="7"/>
        <v/>
      </c>
      <c r="W17" s="172" t="str">
        <f t="shared" ca="1" si="8"/>
        <v/>
      </c>
      <c r="X17" s="186" t="str">
        <f t="shared" si="8"/>
        <v/>
      </c>
      <c r="Y17" s="186" t="str">
        <f t="shared" ca="1" si="8"/>
        <v/>
      </c>
    </row>
    <row r="18" spans="1:25" ht="21">
      <c r="A18" s="2">
        <f>IF(ISBLANK(F18),"",SUBTOTAL(3,F$14:$G18))</f>
        <v>10</v>
      </c>
      <c r="B18" s="98">
        <v>5</v>
      </c>
      <c r="C18" s="106" t="s">
        <v>1899</v>
      </c>
      <c r="D18" s="107">
        <v>1</v>
      </c>
      <c r="E18" s="100" t="s">
        <v>1895</v>
      </c>
      <c r="F18" s="107" t="s">
        <v>1807</v>
      </c>
      <c r="G18" s="108">
        <v>5</v>
      </c>
      <c r="H18" s="139" t="str">
        <f t="shared" si="0"/>
        <v/>
      </c>
      <c r="I18" s="102">
        <f t="shared" si="1"/>
        <v>4.482998353221912E-2</v>
      </c>
      <c r="J18" s="103" t="str">
        <f t="shared" si="2"/>
        <v/>
      </c>
      <c r="K18" s="152">
        <v>0.95</v>
      </c>
      <c r="L18" s="104">
        <f t="shared" si="4"/>
        <v>5.2631578947368425</v>
      </c>
      <c r="M18" s="165" t="s">
        <v>2073</v>
      </c>
      <c r="N18" s="105"/>
      <c r="O18" s="100"/>
      <c r="P18" s="172">
        <f t="shared" si="9"/>
        <v>1.3584843494611855E-3</v>
      </c>
      <c r="R18" s="65" t="str">
        <f ca="1">IFERROR(IF(S18=0,"",COUNTA($S$13:S18)),"")</f>
        <v/>
      </c>
      <c r="S18" s="154" t="e">
        <f ca="1"/>
        <v>#NAME?</v>
      </c>
      <c r="T18" s="120" t="str">
        <f t="shared" si="5"/>
        <v/>
      </c>
      <c r="U18" s="17" t="e">
        <f t="shared" ca="1" si="6"/>
        <v>#NAME?</v>
      </c>
      <c r="V18" s="136" t="str">
        <f t="shared" ca="1" si="7"/>
        <v/>
      </c>
      <c r="W18" s="172" t="str">
        <f t="shared" ca="1" si="8"/>
        <v/>
      </c>
      <c r="X18" s="186" t="str">
        <f t="shared" si="8"/>
        <v/>
      </c>
      <c r="Y18" s="186" t="str">
        <f t="shared" ca="1" si="8"/>
        <v/>
      </c>
    </row>
    <row r="19" spans="1:25" ht="21">
      <c r="A19" s="2">
        <f>IF(ISBLANK(F19),"",SUBTOTAL(3,F$14:$G19))</f>
        <v>12</v>
      </c>
      <c r="B19" s="98">
        <v>6</v>
      </c>
      <c r="C19" s="106" t="s">
        <v>1900</v>
      </c>
      <c r="D19" s="107">
        <v>3</v>
      </c>
      <c r="E19" s="100" t="s">
        <v>1895</v>
      </c>
      <c r="F19" s="107" t="s">
        <v>1807</v>
      </c>
      <c r="G19" s="108">
        <v>20</v>
      </c>
      <c r="H19" s="139" t="str">
        <f t="shared" si="0"/>
        <v/>
      </c>
      <c r="I19" s="102">
        <f t="shared" si="1"/>
        <v>0.17931993412887648</v>
      </c>
      <c r="J19" s="103" t="str">
        <f t="shared" si="2"/>
        <v/>
      </c>
      <c r="K19" s="152">
        <v>0.95</v>
      </c>
      <c r="L19" s="104">
        <f t="shared" si="4"/>
        <v>21.05263157894737</v>
      </c>
      <c r="M19" s="165" t="s">
        <v>2073</v>
      </c>
      <c r="N19" s="105"/>
      <c r="O19" s="100"/>
      <c r="P19" s="172">
        <f t="shared" si="9"/>
        <v>5.4339373978447422E-3</v>
      </c>
      <c r="R19" s="65" t="str">
        <f ca="1">IFERROR(IF(S19=0,"",COUNTA($S$13:S19)),"")</f>
        <v/>
      </c>
      <c r="S19" s="154" t="e">
        <f ca="1"/>
        <v>#NAME?</v>
      </c>
      <c r="T19" s="120" t="str">
        <f t="shared" si="5"/>
        <v/>
      </c>
      <c r="U19" s="17" t="e">
        <f t="shared" ca="1" si="6"/>
        <v>#NAME?</v>
      </c>
      <c r="V19" s="136" t="str">
        <f t="shared" ca="1" si="7"/>
        <v/>
      </c>
      <c r="W19" s="172" t="str">
        <f t="shared" ca="1" si="8"/>
        <v/>
      </c>
      <c r="X19" s="186" t="str">
        <f t="shared" si="8"/>
        <v/>
      </c>
      <c r="Y19" s="186" t="str">
        <f t="shared" ca="1" si="8"/>
        <v/>
      </c>
    </row>
    <row r="20" spans="1:25" ht="21">
      <c r="A20" s="2">
        <f>IF(ISBLANK(F20),"",SUBTOTAL(3,F$14:$G20))</f>
        <v>14</v>
      </c>
      <c r="B20" s="98">
        <v>7</v>
      </c>
      <c r="C20" s="106" t="s">
        <v>1901</v>
      </c>
      <c r="D20" s="107">
        <v>3</v>
      </c>
      <c r="E20" s="100" t="s">
        <v>1895</v>
      </c>
      <c r="F20" s="107" t="s">
        <v>1807</v>
      </c>
      <c r="G20" s="108">
        <v>12</v>
      </c>
      <c r="H20" s="139" t="str">
        <f t="shared" si="0"/>
        <v/>
      </c>
      <c r="I20" s="102">
        <f t="shared" si="1"/>
        <v>0.10759196047732589</v>
      </c>
      <c r="J20" s="103" t="str">
        <f t="shared" si="2"/>
        <v/>
      </c>
      <c r="K20" s="152">
        <v>0.95</v>
      </c>
      <c r="L20" s="104">
        <f t="shared" si="4"/>
        <v>12.631578947368421</v>
      </c>
      <c r="M20" s="165" t="s">
        <v>2073</v>
      </c>
      <c r="N20" s="105"/>
      <c r="O20" s="100"/>
      <c r="P20" s="172">
        <f t="shared" si="9"/>
        <v>3.2603624387068449E-3</v>
      </c>
      <c r="R20" s="65" t="str">
        <f ca="1">IFERROR(IF(S20=0,"",COUNTA($S$13:S20)),"")</f>
        <v/>
      </c>
      <c r="S20" s="154" t="e">
        <f ca="1"/>
        <v>#NAME?</v>
      </c>
      <c r="T20" s="120" t="str">
        <f t="shared" si="5"/>
        <v/>
      </c>
      <c r="U20" s="17" t="e">
        <f t="shared" ca="1" si="6"/>
        <v>#NAME?</v>
      </c>
      <c r="V20" s="136" t="str">
        <f t="shared" ca="1" si="7"/>
        <v/>
      </c>
      <c r="W20" s="172" t="str">
        <f t="shared" ca="1" si="8"/>
        <v/>
      </c>
      <c r="X20" s="186" t="str">
        <f t="shared" si="8"/>
        <v/>
      </c>
      <c r="Y20" s="186" t="str">
        <f t="shared" ca="1" si="8"/>
        <v/>
      </c>
    </row>
    <row r="21" spans="1:25" ht="21">
      <c r="A21" s="2">
        <f>IF(ISBLANK(F21),"",SUBTOTAL(3,F$14:$G21))</f>
        <v>16</v>
      </c>
      <c r="B21" s="98">
        <v>8</v>
      </c>
      <c r="C21" s="106" t="s">
        <v>1902</v>
      </c>
      <c r="D21" s="107">
        <v>3</v>
      </c>
      <c r="E21" s="100" t="s">
        <v>1895</v>
      </c>
      <c r="F21" s="107" t="s">
        <v>1807</v>
      </c>
      <c r="G21" s="108">
        <v>8</v>
      </c>
      <c r="H21" s="139" t="str">
        <f t="shared" si="0"/>
        <v/>
      </c>
      <c r="I21" s="102">
        <f t="shared" si="1"/>
        <v>7.1727973651550592E-2</v>
      </c>
      <c r="J21" s="103" t="str">
        <f t="shared" si="2"/>
        <v/>
      </c>
      <c r="K21" s="152">
        <v>0.95</v>
      </c>
      <c r="L21" s="104">
        <f t="shared" si="4"/>
        <v>8.4210526315789469</v>
      </c>
      <c r="M21" s="165" t="s">
        <v>2073</v>
      </c>
      <c r="N21" s="105"/>
      <c r="O21" s="100"/>
      <c r="P21" s="172">
        <f t="shared" si="9"/>
        <v>2.1735749591378964E-3</v>
      </c>
      <c r="R21" s="65" t="str">
        <f ca="1">IFERROR(IF(S21=0,"",COUNTA($S$13:S21)),"")</f>
        <v/>
      </c>
      <c r="S21" s="154" t="e">
        <f ca="1"/>
        <v>#NAME?</v>
      </c>
      <c r="T21" s="120" t="str">
        <f t="shared" si="5"/>
        <v/>
      </c>
      <c r="U21" s="17" t="e">
        <f t="shared" ca="1" si="6"/>
        <v>#NAME?</v>
      </c>
      <c r="V21" s="136" t="str">
        <f t="shared" ca="1" si="7"/>
        <v/>
      </c>
      <c r="W21" s="172" t="str">
        <f t="shared" ca="1" si="8"/>
        <v/>
      </c>
      <c r="X21" s="186" t="str">
        <f t="shared" si="8"/>
        <v/>
      </c>
      <c r="Y21" s="186" t="str">
        <f t="shared" ca="1" si="8"/>
        <v/>
      </c>
    </row>
    <row r="22" spans="1:25" ht="21">
      <c r="A22" s="2">
        <f>IF(ISBLANK(F22),"",SUBTOTAL(3,F$14:$G22))</f>
        <v>18</v>
      </c>
      <c r="B22" s="98">
        <v>9</v>
      </c>
      <c r="C22" s="106" t="s">
        <v>1903</v>
      </c>
      <c r="D22" s="107">
        <v>3</v>
      </c>
      <c r="E22" s="100" t="s">
        <v>1895</v>
      </c>
      <c r="F22" s="107" t="s">
        <v>1807</v>
      </c>
      <c r="G22" s="108">
        <v>8</v>
      </c>
      <c r="H22" s="139" t="str">
        <f t="shared" si="0"/>
        <v/>
      </c>
      <c r="I22" s="102">
        <f t="shared" si="1"/>
        <v>7.1727973651550592E-2</v>
      </c>
      <c r="J22" s="103" t="str">
        <f t="shared" si="2"/>
        <v/>
      </c>
      <c r="K22" s="152">
        <v>0.95</v>
      </c>
      <c r="L22" s="104">
        <f t="shared" si="4"/>
        <v>8.4210526315789469</v>
      </c>
      <c r="M22" s="165" t="s">
        <v>2073</v>
      </c>
      <c r="N22" s="105"/>
      <c r="O22" s="100"/>
      <c r="P22" s="172">
        <f t="shared" si="9"/>
        <v>2.1735749591378964E-3</v>
      </c>
      <c r="R22" s="65" t="str">
        <f ca="1">IFERROR(IF(S22=0,"",COUNTA($S$13:S22)),"")</f>
        <v/>
      </c>
      <c r="S22" s="154" t="e">
        <f ca="1"/>
        <v>#NAME?</v>
      </c>
      <c r="T22" s="120" t="str">
        <f t="shared" si="5"/>
        <v/>
      </c>
      <c r="U22" s="17" t="e">
        <f t="shared" ca="1" si="6"/>
        <v>#NAME?</v>
      </c>
      <c r="V22" s="136" t="str">
        <f t="shared" ca="1" si="7"/>
        <v/>
      </c>
      <c r="W22" s="172" t="str">
        <f t="shared" ca="1" si="8"/>
        <v/>
      </c>
      <c r="X22" s="186" t="str">
        <f t="shared" si="8"/>
        <v/>
      </c>
      <c r="Y22" s="186" t="str">
        <f t="shared" ca="1" si="8"/>
        <v/>
      </c>
    </row>
    <row r="23" spans="1:25" ht="21">
      <c r="A23" s="2">
        <f>IF(ISBLANK(F23),"",SUBTOTAL(3,F$14:$G23))</f>
        <v>20</v>
      </c>
      <c r="B23" s="98">
        <v>10</v>
      </c>
      <c r="C23" s="106" t="s">
        <v>1904</v>
      </c>
      <c r="D23" s="107">
        <v>3</v>
      </c>
      <c r="E23" s="100" t="s">
        <v>1895</v>
      </c>
      <c r="F23" s="107" t="s">
        <v>1807</v>
      </c>
      <c r="G23" s="108">
        <v>5</v>
      </c>
      <c r="H23" s="139" t="str">
        <f t="shared" si="0"/>
        <v/>
      </c>
      <c r="I23" s="102">
        <f t="shared" si="1"/>
        <v>4.482998353221912E-2</v>
      </c>
      <c r="J23" s="103" t="str">
        <f t="shared" si="2"/>
        <v/>
      </c>
      <c r="K23" s="152">
        <v>0.95</v>
      </c>
      <c r="L23" s="104">
        <f t="shared" si="4"/>
        <v>5.2631578947368425</v>
      </c>
      <c r="M23" s="165" t="s">
        <v>2073</v>
      </c>
      <c r="N23" s="105"/>
      <c r="O23" s="100"/>
      <c r="P23" s="172">
        <f t="shared" si="9"/>
        <v>1.3584843494611855E-3</v>
      </c>
      <c r="R23" s="65" t="str">
        <f ca="1">IFERROR(IF(S23=0,"",COUNTA($S$13:S23)),"")</f>
        <v/>
      </c>
      <c r="S23" s="154" t="e">
        <f ca="1"/>
        <v>#NAME?</v>
      </c>
      <c r="T23" s="120" t="str">
        <f t="shared" si="5"/>
        <v/>
      </c>
      <c r="U23" s="17" t="e">
        <f t="shared" ca="1" si="6"/>
        <v>#NAME?</v>
      </c>
      <c r="V23" s="136" t="str">
        <f t="shared" ca="1" si="7"/>
        <v/>
      </c>
      <c r="W23" s="172" t="str">
        <f t="shared" ca="1" si="8"/>
        <v/>
      </c>
      <c r="X23" s="186" t="str">
        <f t="shared" si="8"/>
        <v/>
      </c>
      <c r="Y23" s="186" t="str">
        <f t="shared" ca="1" si="8"/>
        <v/>
      </c>
    </row>
    <row r="24" spans="1:25" ht="21">
      <c r="A24" s="2">
        <f>IF(ISBLANK(F24),"",SUBTOTAL(3,F$14:$G24))</f>
        <v>22</v>
      </c>
      <c r="B24" s="98">
        <v>11</v>
      </c>
      <c r="C24" s="106" t="s">
        <v>1905</v>
      </c>
      <c r="D24" s="107">
        <v>3</v>
      </c>
      <c r="E24" s="100" t="s">
        <v>1895</v>
      </c>
      <c r="F24" s="107" t="s">
        <v>1807</v>
      </c>
      <c r="G24" s="108">
        <v>15</v>
      </c>
      <c r="H24" s="139" t="str">
        <f t="shared" si="0"/>
        <v/>
      </c>
      <c r="I24" s="102">
        <f t="shared" si="1"/>
        <v>0.13448995059665736</v>
      </c>
      <c r="J24" s="103" t="str">
        <f t="shared" si="2"/>
        <v/>
      </c>
      <c r="K24" s="152">
        <v>0.95</v>
      </c>
      <c r="L24" s="104">
        <f t="shared" si="4"/>
        <v>15.789473684210527</v>
      </c>
      <c r="M24" s="165" t="s">
        <v>2073</v>
      </c>
      <c r="N24" s="105"/>
      <c r="O24" s="100"/>
      <c r="P24" s="172">
        <f t="shared" si="9"/>
        <v>4.0754530483835564E-3</v>
      </c>
      <c r="R24" s="65" t="str">
        <f ca="1">IFERROR(IF(S24=0,"",COUNTA($S$13:S24)),"")</f>
        <v/>
      </c>
      <c r="S24" s="154" t="e">
        <f ca="1"/>
        <v>#NAME?</v>
      </c>
      <c r="T24" s="120" t="str">
        <f t="shared" si="5"/>
        <v/>
      </c>
      <c r="U24" s="17" t="e">
        <f t="shared" ca="1" si="6"/>
        <v>#NAME?</v>
      </c>
      <c r="V24" s="136" t="str">
        <f t="shared" ca="1" si="7"/>
        <v/>
      </c>
      <c r="W24" s="172" t="str">
        <f t="shared" ca="1" si="8"/>
        <v/>
      </c>
      <c r="X24" s="186" t="str">
        <f t="shared" si="8"/>
        <v/>
      </c>
      <c r="Y24" s="186" t="str">
        <f t="shared" ca="1" si="8"/>
        <v/>
      </c>
    </row>
    <row r="25" spans="1:25" ht="21">
      <c r="A25" s="2">
        <f>IF(ISBLANK(F25),"",SUBTOTAL(3,F$14:$G25))</f>
        <v>24</v>
      </c>
      <c r="B25" s="98">
        <v>12</v>
      </c>
      <c r="C25" s="106" t="s">
        <v>1906</v>
      </c>
      <c r="D25" s="107">
        <v>3</v>
      </c>
      <c r="E25" s="100" t="s">
        <v>1895</v>
      </c>
      <c r="F25" s="107" t="s">
        <v>1807</v>
      </c>
      <c r="G25" s="108">
        <v>12</v>
      </c>
      <c r="H25" s="139" t="str">
        <f t="shared" si="0"/>
        <v/>
      </c>
      <c r="I25" s="102">
        <f t="shared" si="1"/>
        <v>0.10759196047732589</v>
      </c>
      <c r="J25" s="103" t="str">
        <f t="shared" si="2"/>
        <v/>
      </c>
      <c r="K25" s="152">
        <v>0.95</v>
      </c>
      <c r="L25" s="104">
        <f t="shared" si="4"/>
        <v>12.631578947368421</v>
      </c>
      <c r="M25" s="165" t="s">
        <v>2073</v>
      </c>
      <c r="N25" s="105"/>
      <c r="O25" s="100"/>
      <c r="P25" s="172">
        <f t="shared" si="9"/>
        <v>3.2603624387068449E-3</v>
      </c>
      <c r="R25" s="65" t="str">
        <f ca="1">IFERROR(IF(S25=0,"",COUNTA($S$13:S25)),"")</f>
        <v/>
      </c>
      <c r="S25" s="154" t="e">
        <f ca="1"/>
        <v>#NAME?</v>
      </c>
      <c r="T25" s="120" t="str">
        <f t="shared" si="5"/>
        <v/>
      </c>
      <c r="U25" s="17" t="e">
        <f t="shared" ca="1" si="6"/>
        <v>#NAME?</v>
      </c>
      <c r="V25" s="136" t="str">
        <f t="shared" ca="1" si="7"/>
        <v/>
      </c>
      <c r="W25" s="172" t="str">
        <f t="shared" ca="1" si="8"/>
        <v/>
      </c>
      <c r="X25" s="186" t="str">
        <f t="shared" si="8"/>
        <v/>
      </c>
      <c r="Y25" s="186" t="str">
        <f t="shared" ca="1" si="8"/>
        <v/>
      </c>
    </row>
    <row r="26" spans="1:25" ht="21">
      <c r="A26" s="2" t="str">
        <f>IF(ISBLANK(F26),"",SUBTOTAL(3,F$14:$G26))</f>
        <v/>
      </c>
      <c r="B26" s="98" t="s">
        <v>1892</v>
      </c>
      <c r="C26" s="170" t="s">
        <v>1907</v>
      </c>
      <c r="D26" s="107"/>
      <c r="E26" s="100"/>
      <c r="F26" s="107"/>
      <c r="G26" s="108"/>
      <c r="H26" s="139" t="str">
        <f t="shared" si="0"/>
        <v/>
      </c>
      <c r="I26" s="102" t="str">
        <f t="shared" si="1"/>
        <v/>
      </c>
      <c r="J26" s="103" t="str">
        <f t="shared" si="2"/>
        <v/>
      </c>
      <c r="K26" s="152" t="s">
        <v>1892</v>
      </c>
      <c r="L26" s="104" t="str">
        <f t="shared" si="4"/>
        <v/>
      </c>
      <c r="M26" s="165"/>
      <c r="N26" s="105"/>
      <c r="O26" s="100"/>
      <c r="P26" s="172" t="str">
        <f t="shared" si="9"/>
        <v/>
      </c>
      <c r="R26" s="65" t="str">
        <f ca="1">IFERROR(IF(S26=0,"",COUNTA($S$13:S26)),"")</f>
        <v/>
      </c>
      <c r="S26" s="154" t="e">
        <f ca="1"/>
        <v>#NAME?</v>
      </c>
      <c r="T26" s="120" t="str">
        <f t="shared" si="5"/>
        <v/>
      </c>
      <c r="U26" s="17" t="e">
        <f t="shared" ca="1" si="6"/>
        <v>#NAME?</v>
      </c>
      <c r="V26" s="136" t="str">
        <f t="shared" ca="1" si="7"/>
        <v/>
      </c>
      <c r="W26" s="172" t="str">
        <f t="shared" ca="1" si="8"/>
        <v/>
      </c>
      <c r="X26" s="186" t="str">
        <f t="shared" si="8"/>
        <v/>
      </c>
      <c r="Y26" s="186" t="str">
        <f t="shared" ca="1" si="8"/>
        <v/>
      </c>
    </row>
    <row r="27" spans="1:25" ht="21">
      <c r="A27" s="2">
        <f>IF(ISBLANK(F27),"",SUBTOTAL(3,F$14:$G27))</f>
        <v>25</v>
      </c>
      <c r="B27" s="98">
        <v>13</v>
      </c>
      <c r="C27" s="106" t="s">
        <v>1908</v>
      </c>
      <c r="D27" s="107">
        <v>3</v>
      </c>
      <c r="E27" s="100" t="s">
        <v>1909</v>
      </c>
      <c r="F27" s="107" t="s">
        <v>1888</v>
      </c>
      <c r="G27" s="108"/>
      <c r="H27" s="139" t="str">
        <f t="shared" si="0"/>
        <v/>
      </c>
      <c r="I27" s="102">
        <f t="shared" si="1"/>
        <v>0</v>
      </c>
      <c r="J27" s="103" t="str">
        <f t="shared" si="2"/>
        <v/>
      </c>
      <c r="K27" s="152">
        <v>0.95</v>
      </c>
      <c r="L27" s="104">
        <f t="shared" si="4"/>
        <v>0</v>
      </c>
      <c r="M27" s="165"/>
      <c r="N27" s="105"/>
      <c r="O27" s="100"/>
      <c r="P27" s="172" t="str">
        <f t="shared" si="9"/>
        <v/>
      </c>
      <c r="R27" s="65" t="str">
        <f ca="1">IFERROR(IF(S27=0,"",COUNTA($S$13:S27)),"")</f>
        <v/>
      </c>
      <c r="S27" s="154" t="e">
        <f ca="1"/>
        <v>#NAME?</v>
      </c>
      <c r="T27" s="120" t="str">
        <f t="shared" si="5"/>
        <v/>
      </c>
      <c r="U27" s="17" t="e">
        <f t="shared" ca="1" si="6"/>
        <v>#NAME?</v>
      </c>
      <c r="V27" s="136" t="str">
        <f t="shared" ca="1" si="7"/>
        <v/>
      </c>
      <c r="W27" s="172" t="str">
        <f t="shared" ca="1" si="8"/>
        <v/>
      </c>
      <c r="X27" s="186" t="str">
        <f t="shared" si="8"/>
        <v/>
      </c>
      <c r="Y27" s="186" t="str">
        <f t="shared" ca="1" si="8"/>
        <v/>
      </c>
    </row>
    <row r="28" spans="1:25" ht="21">
      <c r="A28" s="2">
        <f>IF(ISBLANK(F28),"",SUBTOTAL(3,F$14:$G28))</f>
        <v>26</v>
      </c>
      <c r="B28" s="98">
        <v>14</v>
      </c>
      <c r="C28" s="143" t="s">
        <v>1910</v>
      </c>
      <c r="D28" s="144">
        <v>2</v>
      </c>
      <c r="E28" s="145" t="s">
        <v>1911</v>
      </c>
      <c r="F28" s="144" t="s">
        <v>1826</v>
      </c>
      <c r="G28" s="146"/>
      <c r="H28" s="147" t="str">
        <f t="shared" si="0"/>
        <v/>
      </c>
      <c r="I28" s="102">
        <f t="shared" si="1"/>
        <v>0</v>
      </c>
      <c r="J28" s="103" t="str">
        <f t="shared" si="2"/>
        <v/>
      </c>
      <c r="K28" s="152">
        <v>0.78</v>
      </c>
      <c r="L28" s="104">
        <f t="shared" si="4"/>
        <v>0</v>
      </c>
      <c r="M28" s="165"/>
      <c r="N28" s="105"/>
      <c r="O28" s="100"/>
      <c r="P28" s="172" t="str">
        <f t="shared" si="9"/>
        <v/>
      </c>
      <c r="R28" s="65" t="str">
        <f ca="1">IFERROR(IF(S28=0,"",COUNTA($S$13:S28)),"")</f>
        <v/>
      </c>
      <c r="S28" s="154" t="e">
        <f ca="1"/>
        <v>#NAME?</v>
      </c>
      <c r="T28" s="120" t="str">
        <f t="shared" si="5"/>
        <v/>
      </c>
      <c r="U28" s="17" t="e">
        <f t="shared" ca="1" si="6"/>
        <v>#NAME?</v>
      </c>
      <c r="V28" s="136" t="str">
        <f t="shared" ca="1" si="7"/>
        <v/>
      </c>
      <c r="W28" s="172" t="str">
        <f t="shared" ca="1" si="8"/>
        <v/>
      </c>
      <c r="X28" s="186" t="str">
        <f t="shared" si="8"/>
        <v/>
      </c>
      <c r="Y28" s="186" t="str">
        <f t="shared" ca="1" si="8"/>
        <v/>
      </c>
    </row>
    <row r="29" spans="1:25" ht="21">
      <c r="A29" s="2">
        <f>IF(ISBLANK(F29),"",SUBTOTAL(3,F$14:$G29))</f>
        <v>27</v>
      </c>
      <c r="B29" s="98">
        <v>15</v>
      </c>
      <c r="C29" s="143" t="s">
        <v>1912</v>
      </c>
      <c r="D29" s="144">
        <v>2</v>
      </c>
      <c r="E29" s="145" t="s">
        <v>1911</v>
      </c>
      <c r="F29" s="144" t="s">
        <v>1826</v>
      </c>
      <c r="G29" s="146"/>
      <c r="H29" s="147" t="str">
        <f t="shared" si="0"/>
        <v/>
      </c>
      <c r="I29" s="102">
        <f t="shared" si="1"/>
        <v>0</v>
      </c>
      <c r="J29" s="103" t="str">
        <f t="shared" si="2"/>
        <v/>
      </c>
      <c r="K29" s="152">
        <v>0.78</v>
      </c>
      <c r="L29" s="104">
        <f t="shared" si="4"/>
        <v>0</v>
      </c>
      <c r="M29" s="165"/>
      <c r="N29" s="105"/>
      <c r="O29" s="100"/>
      <c r="P29" s="172" t="str">
        <f t="shared" si="9"/>
        <v/>
      </c>
      <c r="R29" s="65"/>
      <c r="S29" s="154" t="e">
        <f ca="1"/>
        <v>#NAME?</v>
      </c>
      <c r="T29" s="120"/>
      <c r="U29" s="17" t="e">
        <f t="shared" ca="1" si="6"/>
        <v>#NAME?</v>
      </c>
      <c r="V29" s="136"/>
      <c r="W29" s="172"/>
      <c r="X29" s="186"/>
      <c r="Y29" s="186"/>
    </row>
    <row r="30" spans="1:25" ht="21">
      <c r="A30" s="2">
        <f>IF(ISBLANK(F30),"",SUBTOTAL(3,F$14:$G30))</f>
        <v>28</v>
      </c>
      <c r="B30" s="98">
        <v>16</v>
      </c>
      <c r="C30" s="143" t="s">
        <v>1913</v>
      </c>
      <c r="D30" s="144">
        <v>3</v>
      </c>
      <c r="E30" s="145" t="s">
        <v>1909</v>
      </c>
      <c r="F30" s="144" t="s">
        <v>1888</v>
      </c>
      <c r="G30" s="146"/>
      <c r="H30" s="147" t="str">
        <f t="shared" si="0"/>
        <v/>
      </c>
      <c r="I30" s="102">
        <f t="shared" si="1"/>
        <v>0</v>
      </c>
      <c r="J30" s="103" t="str">
        <f t="shared" si="2"/>
        <v/>
      </c>
      <c r="K30" s="152">
        <v>0.95</v>
      </c>
      <c r="L30" s="104">
        <f t="shared" si="4"/>
        <v>0</v>
      </c>
      <c r="M30" s="165"/>
      <c r="N30" s="105"/>
      <c r="O30" s="100"/>
      <c r="P30" s="172" t="str">
        <f t="shared" si="9"/>
        <v/>
      </c>
      <c r="R30" s="65" t="str">
        <f ca="1">IFERROR(IF(S30=0,"",COUNTA($S$13:S30)),"")</f>
        <v/>
      </c>
      <c r="S30" s="154" t="e">
        <f ca="1"/>
        <v>#NAME?</v>
      </c>
      <c r="T30" s="120" t="str">
        <f t="shared" ref="T30:T32" ca="1" si="10">IFERROR(IF(S30="","",INDEX(TenMMTB,MATCH($S30,CodeMMTB,0))),"")</f>
        <v/>
      </c>
      <c r="U30" s="17" t="e">
        <f t="shared" ca="1" si="6"/>
        <v>#NAME?</v>
      </c>
      <c r="V30" s="136" t="str">
        <f t="shared" ca="1" si="7"/>
        <v/>
      </c>
      <c r="W30" s="172" t="str">
        <f ca="1">IFERROR(IF(S30="","",SUMIFS($P$13:$P$407,$F$13:$F$407,S30)),"")</f>
        <v/>
      </c>
      <c r="X30" s="186" t="str">
        <f ca="1">IFERROR(IF(T30="","",SUMIFS($P$13:$P$407,$F$13:$F$407,T30)),"")</f>
        <v/>
      </c>
      <c r="Y30" s="186" t="str">
        <f ca="1">IFERROR(IF(U30="","",SUMIFS($P$13:$P$407,$F$13:$F$407,U30)),"")</f>
        <v/>
      </c>
    </row>
    <row r="31" spans="1:25" ht="21">
      <c r="A31" s="2">
        <f>IF(ISBLANK(F31),"",SUBTOTAL(3,F$14:$G31))</f>
        <v>29</v>
      </c>
      <c r="B31" s="98">
        <v>17</v>
      </c>
      <c r="C31" s="143" t="s">
        <v>1914</v>
      </c>
      <c r="D31" s="144">
        <v>2</v>
      </c>
      <c r="E31" s="145" t="s">
        <v>1911</v>
      </c>
      <c r="F31" s="144" t="s">
        <v>1826</v>
      </c>
      <c r="G31" s="146"/>
      <c r="H31" s="147" t="str">
        <f t="shared" si="0"/>
        <v/>
      </c>
      <c r="I31" s="102">
        <f t="shared" si="1"/>
        <v>0</v>
      </c>
      <c r="J31" s="103" t="str">
        <f t="shared" si="2"/>
        <v/>
      </c>
      <c r="K31" s="152">
        <v>0.78</v>
      </c>
      <c r="L31" s="104">
        <f t="shared" si="4"/>
        <v>0</v>
      </c>
      <c r="M31" s="165"/>
      <c r="N31" s="105"/>
      <c r="O31" s="100"/>
      <c r="P31" s="172" t="str">
        <f t="shared" si="9"/>
        <v/>
      </c>
      <c r="R31" s="65"/>
      <c r="S31" s="154" t="e">
        <f ca="1"/>
        <v>#NAME?</v>
      </c>
      <c r="T31" s="120"/>
      <c r="U31" s="17" t="e">
        <f t="shared" ca="1" si="6"/>
        <v>#NAME?</v>
      </c>
      <c r="V31" s="136"/>
      <c r="W31" s="172"/>
      <c r="X31" s="186"/>
      <c r="Y31" s="186"/>
    </row>
    <row r="32" spans="1:25" ht="21">
      <c r="A32" s="2">
        <f>IF(ISBLANK(F32),"",SUBTOTAL(3,F$14:$G32))</f>
        <v>30</v>
      </c>
      <c r="B32" s="98">
        <v>18</v>
      </c>
      <c r="C32" s="143" t="s">
        <v>1915</v>
      </c>
      <c r="D32" s="144">
        <v>2</v>
      </c>
      <c r="E32" s="145" t="s">
        <v>1911</v>
      </c>
      <c r="F32" s="144" t="s">
        <v>1826</v>
      </c>
      <c r="G32" s="146"/>
      <c r="H32" s="147" t="str">
        <f t="shared" si="0"/>
        <v/>
      </c>
      <c r="I32" s="102">
        <f t="shared" si="1"/>
        <v>0</v>
      </c>
      <c r="J32" s="103" t="str">
        <f t="shared" si="2"/>
        <v/>
      </c>
      <c r="K32" s="152">
        <v>0.78</v>
      </c>
      <c r="L32" s="104">
        <f t="shared" si="4"/>
        <v>0</v>
      </c>
      <c r="M32" s="165"/>
      <c r="N32" s="105"/>
      <c r="O32" s="100"/>
      <c r="P32" s="172" t="str">
        <f t="shared" si="9"/>
        <v/>
      </c>
      <c r="R32" s="65" t="str">
        <f ca="1">IFERROR(IF(S32=0,"",COUNTA($S$13:S32)),"")</f>
        <v/>
      </c>
      <c r="S32" s="154" t="e">
        <f ca="1"/>
        <v>#NAME?</v>
      </c>
      <c r="T32" s="120" t="str">
        <f t="shared" ca="1" si="10"/>
        <v/>
      </c>
      <c r="U32" s="17" t="e">
        <f t="shared" ca="1" si="6"/>
        <v>#NAME?</v>
      </c>
      <c r="V32" s="136" t="str">
        <f t="shared" ca="1" si="7"/>
        <v/>
      </c>
      <c r="W32" s="172" t="str">
        <f ca="1">IFERROR(IF(S32="","",SUMIFS($P$13:$P$407,$F$13:$F$407,S32)),"")</f>
        <v/>
      </c>
      <c r="X32" s="186" t="str">
        <f ca="1">IFERROR(IF(T32="","",SUMIFS($P$13:$P$407,$F$13:$F$407,T32)),"")</f>
        <v/>
      </c>
      <c r="Y32" s="186" t="str">
        <f ca="1">IFERROR(IF(U32="","",SUMIFS($P$13:$P$407,$F$13:$F$407,U32)),"")</f>
        <v/>
      </c>
    </row>
    <row r="33" spans="1:25" ht="21">
      <c r="A33" s="2">
        <f>IF(ISBLANK(F33),"",SUBTOTAL(3,F$14:$G33))</f>
        <v>31</v>
      </c>
      <c r="B33" s="98">
        <v>19</v>
      </c>
      <c r="C33" s="143" t="s">
        <v>1916</v>
      </c>
      <c r="D33" s="144">
        <v>1</v>
      </c>
      <c r="E33" s="145" t="s">
        <v>1895</v>
      </c>
      <c r="F33" s="144" t="s">
        <v>1807</v>
      </c>
      <c r="G33" s="146"/>
      <c r="H33" s="147" t="str">
        <f t="shared" si="0"/>
        <v/>
      </c>
      <c r="I33" s="102">
        <f t="shared" si="1"/>
        <v>0</v>
      </c>
      <c r="J33" s="103" t="str">
        <f t="shared" si="2"/>
        <v/>
      </c>
      <c r="K33" s="152">
        <v>0.95</v>
      </c>
      <c r="L33" s="104">
        <f t="shared" si="4"/>
        <v>0</v>
      </c>
      <c r="M33" s="165"/>
      <c r="N33" s="105"/>
      <c r="O33" s="100"/>
      <c r="P33" s="172" t="str">
        <f t="shared" si="9"/>
        <v/>
      </c>
      <c r="R33" s="65"/>
      <c r="S33" s="154" t="e">
        <f ca="1"/>
        <v>#NAME?</v>
      </c>
      <c r="T33" s="120"/>
      <c r="U33" s="17"/>
      <c r="V33" s="136"/>
      <c r="W33" s="172"/>
      <c r="X33" s="186"/>
      <c r="Y33" s="186"/>
    </row>
    <row r="34" spans="1:25" ht="21">
      <c r="A34" s="2" t="str">
        <f>IF(ISBLANK(F34),"",SUBTOTAL(3,F$14:$G34))</f>
        <v/>
      </c>
      <c r="B34" s="98" t="s">
        <v>1892</v>
      </c>
      <c r="C34" s="170" t="s">
        <v>1917</v>
      </c>
      <c r="D34" s="107"/>
      <c r="E34" s="100"/>
      <c r="F34" s="107"/>
      <c r="G34" s="108"/>
      <c r="H34" s="139" t="str">
        <f t="shared" si="0"/>
        <v/>
      </c>
      <c r="I34" s="102" t="str">
        <f t="shared" si="1"/>
        <v/>
      </c>
      <c r="J34" s="103" t="str">
        <f t="shared" si="2"/>
        <v/>
      </c>
      <c r="K34" s="152" t="s">
        <v>1892</v>
      </c>
      <c r="L34" s="104" t="str">
        <f t="shared" si="4"/>
        <v/>
      </c>
      <c r="M34" s="165"/>
      <c r="N34" s="105"/>
      <c r="O34" s="100"/>
      <c r="P34" s="172" t="str">
        <f t="shared" si="9"/>
        <v/>
      </c>
      <c r="R34" s="65"/>
      <c r="S34" s="65" t="e">
        <f ca="1"/>
        <v>#NAME?</v>
      </c>
      <c r="T34" s="120"/>
      <c r="U34" s="182"/>
      <c r="V34" s="136"/>
      <c r="W34" s="183"/>
      <c r="X34" s="190"/>
      <c r="Y34" s="190"/>
    </row>
    <row r="35" spans="1:25" ht="21">
      <c r="A35" s="2">
        <f>IF(ISBLANK(F35),"",SUBTOTAL(3,F$14:$G35))</f>
        <v>32</v>
      </c>
      <c r="B35" s="98">
        <v>20</v>
      </c>
      <c r="C35" s="143" t="s">
        <v>1918</v>
      </c>
      <c r="D35" s="144">
        <v>2</v>
      </c>
      <c r="E35" s="145" t="s">
        <v>1876</v>
      </c>
      <c r="F35" s="144" t="s">
        <v>1876</v>
      </c>
      <c r="G35" s="146"/>
      <c r="H35" s="147" t="str">
        <f t="shared" si="0"/>
        <v/>
      </c>
      <c r="I35" s="148">
        <f t="shared" si="1"/>
        <v>0</v>
      </c>
      <c r="J35" s="149" t="str">
        <f t="shared" si="2"/>
        <v/>
      </c>
      <c r="K35" s="152">
        <v>0.95</v>
      </c>
      <c r="L35" s="150">
        <f t="shared" si="4"/>
        <v>0</v>
      </c>
      <c r="M35" s="166"/>
      <c r="N35" s="151"/>
      <c r="O35" s="145"/>
      <c r="P35" s="172" t="str">
        <f t="shared" si="9"/>
        <v/>
      </c>
      <c r="R35" s="65"/>
      <c r="S35" s="154" t="e">
        <f ca="1"/>
        <v>#NAME?</v>
      </c>
      <c r="T35" s="120"/>
      <c r="U35" s="17"/>
      <c r="V35" s="136"/>
      <c r="W35" s="172"/>
      <c r="X35" s="186"/>
      <c r="Y35" s="186"/>
    </row>
    <row r="36" spans="1:25" ht="21">
      <c r="A36" s="2">
        <f>IF(ISBLANK(F36),"",SUBTOTAL(3,F$14:$G36))</f>
        <v>34</v>
      </c>
      <c r="B36" s="98">
        <v>21</v>
      </c>
      <c r="C36" s="143" t="s">
        <v>1919</v>
      </c>
      <c r="D36" s="144">
        <v>1</v>
      </c>
      <c r="E36" s="145" t="s">
        <v>1920</v>
      </c>
      <c r="F36" s="144" t="s">
        <v>1921</v>
      </c>
      <c r="G36" s="146">
        <v>12</v>
      </c>
      <c r="H36" s="147" t="str">
        <f t="shared" si="0"/>
        <v/>
      </c>
      <c r="I36" s="148">
        <f t="shared" si="1"/>
        <v>0.10759196047732589</v>
      </c>
      <c r="J36" s="149" t="str">
        <f t="shared" si="2"/>
        <v/>
      </c>
      <c r="K36" s="152">
        <v>0.95</v>
      </c>
      <c r="L36" s="150">
        <f t="shared" si="4"/>
        <v>12.631578947368421</v>
      </c>
      <c r="M36" s="166" t="s">
        <v>2084</v>
      </c>
      <c r="N36" s="151"/>
      <c r="O36" s="145"/>
      <c r="P36" s="172">
        <f t="shared" si="9"/>
        <v>3.2603624387068449E-3</v>
      </c>
      <c r="R36" s="65"/>
      <c r="S36" s="154" t="e">
        <f ca="1"/>
        <v>#NAME?</v>
      </c>
      <c r="T36" s="120"/>
      <c r="U36" s="17"/>
      <c r="V36" s="136"/>
      <c r="W36" s="172"/>
      <c r="X36" s="186"/>
      <c r="Y36" s="186"/>
    </row>
    <row r="37" spans="1:25" ht="21">
      <c r="A37" s="2">
        <f>IF(ISBLANK(F37),"",SUBTOTAL(3,F$14:$G37))</f>
        <v>36</v>
      </c>
      <c r="B37" s="98">
        <v>22</v>
      </c>
      <c r="C37" s="106" t="s">
        <v>1922</v>
      </c>
      <c r="D37" s="107">
        <v>1</v>
      </c>
      <c r="E37" s="100" t="s">
        <v>1920</v>
      </c>
      <c r="F37" s="107" t="s">
        <v>1921</v>
      </c>
      <c r="G37" s="108">
        <v>15</v>
      </c>
      <c r="H37" s="139" t="str">
        <f t="shared" si="0"/>
        <v/>
      </c>
      <c r="I37" s="102">
        <f t="shared" si="1"/>
        <v>0.13448995059665736</v>
      </c>
      <c r="J37" s="103" t="str">
        <f t="shared" si="2"/>
        <v/>
      </c>
      <c r="K37" s="152">
        <v>0.95</v>
      </c>
      <c r="L37" s="104">
        <f t="shared" si="4"/>
        <v>15.789473684210527</v>
      </c>
      <c r="M37" s="165" t="s">
        <v>2084</v>
      </c>
      <c r="N37" s="105"/>
      <c r="O37" s="100"/>
      <c r="P37" s="172">
        <f t="shared" si="9"/>
        <v>4.0754530483835564E-3</v>
      </c>
      <c r="R37" s="65"/>
      <c r="S37" s="154" t="e">
        <f ca="1"/>
        <v>#NAME?</v>
      </c>
      <c r="T37" s="120"/>
      <c r="U37" s="17"/>
      <c r="V37" s="136"/>
      <c r="W37" s="172"/>
      <c r="X37" s="186"/>
      <c r="Y37" s="186"/>
    </row>
    <row r="38" spans="1:25" ht="21">
      <c r="A38" s="2">
        <f>IF(ISBLANK(F38),"",SUBTOTAL(3,F$14:$G38))</f>
        <v>38</v>
      </c>
      <c r="B38" s="98">
        <v>23</v>
      </c>
      <c r="C38" s="143" t="s">
        <v>1923</v>
      </c>
      <c r="D38" s="144">
        <v>1</v>
      </c>
      <c r="E38" s="145" t="s">
        <v>1777</v>
      </c>
      <c r="F38" s="144" t="s">
        <v>1777</v>
      </c>
      <c r="G38" s="146">
        <v>12</v>
      </c>
      <c r="H38" s="147" t="str">
        <f t="shared" si="0"/>
        <v/>
      </c>
      <c r="I38" s="148">
        <f t="shared" si="1"/>
        <v>0.10759196047732589</v>
      </c>
      <c r="J38" s="149" t="str">
        <f t="shared" si="2"/>
        <v/>
      </c>
      <c r="K38" s="152">
        <v>0.95</v>
      </c>
      <c r="L38" s="150">
        <f t="shared" si="4"/>
        <v>12.631578947368421</v>
      </c>
      <c r="M38" s="166" t="s">
        <v>2084</v>
      </c>
      <c r="N38" s="151"/>
      <c r="O38" s="145"/>
      <c r="P38" s="172">
        <f t="shared" si="9"/>
        <v>3.2603624387068449E-3</v>
      </c>
      <c r="R38" s="65"/>
      <c r="S38" s="154" t="e">
        <f ca="1"/>
        <v>#NAME?</v>
      </c>
      <c r="T38" s="120"/>
      <c r="U38" s="17"/>
      <c r="V38" s="136"/>
      <c r="W38" s="172"/>
      <c r="X38" s="186"/>
      <c r="Y38" s="186"/>
    </row>
    <row r="39" spans="1:25" ht="21">
      <c r="A39" s="2">
        <f>IF(ISBLANK(F39),"",SUBTOTAL(3,F$14:$G39))</f>
        <v>40</v>
      </c>
      <c r="B39" s="98">
        <v>24</v>
      </c>
      <c r="C39" s="143" t="s">
        <v>1924</v>
      </c>
      <c r="D39" s="144">
        <v>1</v>
      </c>
      <c r="E39" s="145" t="s">
        <v>1777</v>
      </c>
      <c r="F39" s="144" t="s">
        <v>1777</v>
      </c>
      <c r="G39" s="146">
        <v>12</v>
      </c>
      <c r="H39" s="147" t="str">
        <f t="shared" si="0"/>
        <v/>
      </c>
      <c r="I39" s="148">
        <f t="shared" si="1"/>
        <v>0.10759196047732589</v>
      </c>
      <c r="J39" s="149" t="str">
        <f t="shared" si="2"/>
        <v/>
      </c>
      <c r="K39" s="152">
        <v>0.95</v>
      </c>
      <c r="L39" s="150">
        <f t="shared" si="4"/>
        <v>12.631578947368421</v>
      </c>
      <c r="M39" s="166" t="s">
        <v>2084</v>
      </c>
      <c r="N39" s="151"/>
      <c r="O39" s="145"/>
      <c r="P39" s="172">
        <f t="shared" si="9"/>
        <v>3.2603624387068449E-3</v>
      </c>
      <c r="R39" s="65"/>
      <c r="S39" s="154" t="e">
        <f ca="1"/>
        <v>#NAME?</v>
      </c>
      <c r="T39" s="120"/>
      <c r="U39" s="17"/>
      <c r="V39" s="136"/>
      <c r="W39" s="172"/>
      <c r="X39" s="186"/>
      <c r="Y39" s="186"/>
    </row>
    <row r="40" spans="1:25" ht="21">
      <c r="A40" s="2">
        <f>IF(ISBLANK(F40),"",SUBTOTAL(3,F$14:$G40))</f>
        <v>42</v>
      </c>
      <c r="B40" s="98">
        <v>25</v>
      </c>
      <c r="C40" s="143" t="s">
        <v>1925</v>
      </c>
      <c r="D40" s="144">
        <v>1</v>
      </c>
      <c r="E40" s="145" t="s">
        <v>1777</v>
      </c>
      <c r="F40" s="144" t="s">
        <v>1777</v>
      </c>
      <c r="G40" s="146">
        <v>6</v>
      </c>
      <c r="H40" s="147" t="str">
        <f t="shared" si="0"/>
        <v/>
      </c>
      <c r="I40" s="102">
        <f t="shared" si="1"/>
        <v>5.3795980238662944E-2</v>
      </c>
      <c r="J40" s="103" t="str">
        <f t="shared" si="2"/>
        <v/>
      </c>
      <c r="K40" s="152">
        <v>0.95</v>
      </c>
      <c r="L40" s="104">
        <f t="shared" si="4"/>
        <v>6.3157894736842106</v>
      </c>
      <c r="M40" s="165" t="s">
        <v>2084</v>
      </c>
      <c r="N40" s="105"/>
      <c r="O40" s="100"/>
      <c r="P40" s="172">
        <f t="shared" si="9"/>
        <v>1.6301812193534224E-3</v>
      </c>
      <c r="R40" s="65"/>
      <c r="S40" s="154" t="e">
        <f ca="1"/>
        <v>#NAME?</v>
      </c>
      <c r="T40" s="120"/>
      <c r="U40" s="17"/>
      <c r="V40" s="136"/>
      <c r="W40" s="172"/>
      <c r="X40" s="186"/>
      <c r="Y40" s="186"/>
    </row>
    <row r="41" spans="1:25" ht="21">
      <c r="A41" s="2">
        <f>IF(ISBLANK(F41),"",SUBTOTAL(3,F$14:$G41))</f>
        <v>44</v>
      </c>
      <c r="B41" s="98">
        <v>26</v>
      </c>
      <c r="C41" s="143" t="s">
        <v>1926</v>
      </c>
      <c r="D41" s="144">
        <v>1</v>
      </c>
      <c r="E41" s="145" t="s">
        <v>1777</v>
      </c>
      <c r="F41" s="144" t="s">
        <v>1777</v>
      </c>
      <c r="G41" s="146">
        <v>15</v>
      </c>
      <c r="H41" s="147" t="str">
        <f t="shared" si="0"/>
        <v/>
      </c>
      <c r="I41" s="102">
        <f t="shared" si="1"/>
        <v>0.13448995059665736</v>
      </c>
      <c r="J41" s="103" t="str">
        <f t="shared" si="2"/>
        <v/>
      </c>
      <c r="K41" s="152">
        <v>0.95</v>
      </c>
      <c r="L41" s="104">
        <f t="shared" si="4"/>
        <v>15.789473684210527</v>
      </c>
      <c r="M41" s="165" t="s">
        <v>2084</v>
      </c>
      <c r="N41" s="105"/>
      <c r="O41" s="100"/>
      <c r="P41" s="172">
        <f t="shared" si="9"/>
        <v>4.0754530483835564E-3</v>
      </c>
      <c r="R41" s="65"/>
      <c r="S41" s="154"/>
      <c r="T41" s="120"/>
      <c r="U41" s="17"/>
      <c r="V41" s="136"/>
      <c r="W41" s="172"/>
      <c r="X41" s="186"/>
      <c r="Y41" s="186"/>
    </row>
    <row r="42" spans="1:25" ht="21">
      <c r="A42" s="2">
        <f>IF(ISBLANK(F42),"",SUBTOTAL(3,F$14:$G42))</f>
        <v>46</v>
      </c>
      <c r="B42" s="98">
        <v>27</v>
      </c>
      <c r="C42" s="106" t="s">
        <v>1927</v>
      </c>
      <c r="D42" s="107">
        <v>1</v>
      </c>
      <c r="E42" s="100" t="s">
        <v>1777</v>
      </c>
      <c r="F42" s="107" t="s">
        <v>1777</v>
      </c>
      <c r="G42" s="108">
        <v>4</v>
      </c>
      <c r="H42" s="139" t="str">
        <f t="shared" si="0"/>
        <v/>
      </c>
      <c r="I42" s="102">
        <f t="shared" si="1"/>
        <v>3.5863986825775296E-2</v>
      </c>
      <c r="J42" s="103" t="str">
        <f t="shared" si="2"/>
        <v/>
      </c>
      <c r="K42" s="152">
        <v>0.95</v>
      </c>
      <c r="L42" s="104">
        <f t="shared" si="4"/>
        <v>4.2105263157894735</v>
      </c>
      <c r="M42" s="165" t="s">
        <v>2084</v>
      </c>
      <c r="N42" s="105"/>
      <c r="O42" s="100"/>
      <c r="P42" s="172">
        <f t="shared" si="9"/>
        <v>1.0867874795689482E-3</v>
      </c>
      <c r="R42" s="65"/>
      <c r="S42" s="154"/>
      <c r="T42" s="120"/>
      <c r="U42" s="17"/>
      <c r="V42" s="136"/>
      <c r="W42" s="172"/>
      <c r="X42" s="186"/>
      <c r="Y42" s="186"/>
    </row>
    <row r="43" spans="1:25" ht="21">
      <c r="A43" s="2">
        <f>IF(ISBLANK(F43),"",SUBTOTAL(3,F$14:$G43))</f>
        <v>48</v>
      </c>
      <c r="B43" s="98">
        <v>28</v>
      </c>
      <c r="C43" s="106" t="s">
        <v>1928</v>
      </c>
      <c r="D43" s="107">
        <v>1</v>
      </c>
      <c r="E43" s="100" t="s">
        <v>1777</v>
      </c>
      <c r="F43" s="107" t="s">
        <v>1777</v>
      </c>
      <c r="G43" s="108">
        <v>4</v>
      </c>
      <c r="H43" s="139" t="str">
        <f t="shared" si="0"/>
        <v/>
      </c>
      <c r="I43" s="102">
        <f t="shared" si="1"/>
        <v>3.5863986825775296E-2</v>
      </c>
      <c r="J43" s="103" t="str">
        <f t="shared" si="2"/>
        <v/>
      </c>
      <c r="K43" s="152">
        <v>0.95</v>
      </c>
      <c r="L43" s="104">
        <f t="shared" si="4"/>
        <v>4.2105263157894735</v>
      </c>
      <c r="M43" s="165" t="s">
        <v>2084</v>
      </c>
      <c r="N43" s="105"/>
      <c r="O43" s="100"/>
      <c r="P43" s="172">
        <f t="shared" si="9"/>
        <v>1.0867874795689482E-3</v>
      </c>
      <c r="R43" s="65"/>
      <c r="S43" s="154"/>
      <c r="T43" s="120"/>
      <c r="U43" s="17"/>
      <c r="V43" s="136"/>
      <c r="W43" s="172"/>
      <c r="X43" s="186"/>
      <c r="Y43" s="186"/>
    </row>
    <row r="44" spans="1:25" ht="21">
      <c r="A44" s="2">
        <f>IF(ISBLANK(F44),"",SUBTOTAL(3,F$14:$G44))</f>
        <v>50</v>
      </c>
      <c r="B44" s="98">
        <v>29</v>
      </c>
      <c r="C44" s="106" t="s">
        <v>1929</v>
      </c>
      <c r="D44" s="107">
        <v>1</v>
      </c>
      <c r="E44" s="100" t="s">
        <v>1777</v>
      </c>
      <c r="F44" s="107" t="s">
        <v>1777</v>
      </c>
      <c r="G44" s="108">
        <v>2</v>
      </c>
      <c r="H44" s="139" t="str">
        <f t="shared" si="0"/>
        <v/>
      </c>
      <c r="I44" s="102">
        <f t="shared" si="1"/>
        <v>1.7931993412887648E-2</v>
      </c>
      <c r="J44" s="103" t="str">
        <f t="shared" si="2"/>
        <v/>
      </c>
      <c r="K44" s="152">
        <v>0.95</v>
      </c>
      <c r="L44" s="104">
        <f t="shared" si="4"/>
        <v>2.1052631578947367</v>
      </c>
      <c r="M44" s="165" t="s">
        <v>2084</v>
      </c>
      <c r="N44" s="105"/>
      <c r="O44" s="100"/>
      <c r="P44" s="172">
        <f t="shared" si="9"/>
        <v>5.4339373978447411E-4</v>
      </c>
      <c r="R44" s="65"/>
      <c r="S44" s="154"/>
      <c r="T44" s="120"/>
      <c r="U44" s="17"/>
      <c r="V44" s="136"/>
      <c r="W44" s="172"/>
      <c r="X44" s="186"/>
      <c r="Y44" s="186"/>
    </row>
    <row r="45" spans="1:25" ht="21">
      <c r="A45" s="2" t="str">
        <f>IF(ISBLANK(F45),"",SUBTOTAL(3,F$14:$G45))</f>
        <v/>
      </c>
      <c r="B45" s="98" t="s">
        <v>1892</v>
      </c>
      <c r="C45" s="143" t="s">
        <v>1930</v>
      </c>
      <c r="D45" s="144"/>
      <c r="E45" s="145"/>
      <c r="F45" s="144"/>
      <c r="G45" s="146"/>
      <c r="H45" s="147" t="str">
        <f t="shared" si="0"/>
        <v/>
      </c>
      <c r="I45" s="148" t="str">
        <f t="shared" si="1"/>
        <v/>
      </c>
      <c r="J45" s="149" t="str">
        <f t="shared" si="2"/>
        <v/>
      </c>
      <c r="K45" s="152" t="s">
        <v>1892</v>
      </c>
      <c r="L45" s="104" t="str">
        <f t="shared" si="4"/>
        <v/>
      </c>
      <c r="M45" s="165"/>
      <c r="N45" s="105"/>
      <c r="O45" s="100"/>
      <c r="P45" s="172" t="str">
        <f t="shared" si="9"/>
        <v/>
      </c>
      <c r="R45" s="65"/>
      <c r="S45" s="154"/>
      <c r="T45" s="120"/>
      <c r="U45" s="17"/>
      <c r="V45" s="136"/>
      <c r="W45" s="172"/>
      <c r="X45" s="186"/>
      <c r="Y45" s="186"/>
    </row>
    <row r="46" spans="1:25" ht="21">
      <c r="A46" s="2">
        <f>IF(ISBLANK(F46),"",SUBTOTAL(3,F$14:$G46))</f>
        <v>51</v>
      </c>
      <c r="B46" s="98">
        <v>30</v>
      </c>
      <c r="C46" s="143" t="s">
        <v>1931</v>
      </c>
      <c r="D46" s="144">
        <v>3</v>
      </c>
      <c r="E46" s="145" t="s">
        <v>32</v>
      </c>
      <c r="F46" s="144" t="s">
        <v>32</v>
      </c>
      <c r="G46" s="146"/>
      <c r="H46" s="147" t="str">
        <f t="shared" si="0"/>
        <v/>
      </c>
      <c r="I46" s="148">
        <f t="shared" si="1"/>
        <v>0</v>
      </c>
      <c r="J46" s="149" t="str">
        <f t="shared" si="2"/>
        <v/>
      </c>
      <c r="K46" s="152">
        <v>0.78</v>
      </c>
      <c r="L46" s="104">
        <f t="shared" si="4"/>
        <v>0</v>
      </c>
      <c r="M46" s="165"/>
      <c r="N46" s="105"/>
      <c r="O46" s="100"/>
      <c r="P46" s="172" t="str">
        <f t="shared" si="9"/>
        <v/>
      </c>
      <c r="R46" s="65"/>
      <c r="S46" s="154"/>
      <c r="T46" s="120"/>
      <c r="U46" s="17"/>
      <c r="V46" s="136"/>
      <c r="W46" s="172"/>
      <c r="X46" s="186"/>
      <c r="Y46" s="186"/>
    </row>
    <row r="47" spans="1:25" ht="21">
      <c r="A47" s="2">
        <f>IF(ISBLANK(F47),"",SUBTOTAL(3,F$14:$G47))</f>
        <v>53</v>
      </c>
      <c r="B47" s="98">
        <v>31</v>
      </c>
      <c r="C47" s="106" t="s">
        <v>1932</v>
      </c>
      <c r="D47" s="107">
        <v>4</v>
      </c>
      <c r="E47" s="100" t="s">
        <v>1933</v>
      </c>
      <c r="F47" s="144" t="s">
        <v>1778</v>
      </c>
      <c r="G47" s="108">
        <v>35</v>
      </c>
      <c r="H47" s="139" t="str">
        <f t="shared" si="0"/>
        <v/>
      </c>
      <c r="I47" s="102">
        <f t="shared" si="1"/>
        <v>0.38220434678109888</v>
      </c>
      <c r="J47" s="103" t="str">
        <f t="shared" si="2"/>
        <v/>
      </c>
      <c r="K47" s="152">
        <v>0.78</v>
      </c>
      <c r="L47" s="104">
        <f t="shared" si="4"/>
        <v>44.871794871794869</v>
      </c>
      <c r="M47" s="165" t="s">
        <v>2074</v>
      </c>
      <c r="N47" s="105"/>
      <c r="O47" s="100"/>
      <c r="P47" s="172">
        <f t="shared" si="9"/>
        <v>1.1581949902457542E-2</v>
      </c>
      <c r="R47" s="65"/>
      <c r="S47" s="154"/>
      <c r="T47" s="120"/>
      <c r="U47" s="17"/>
      <c r="V47" s="136"/>
      <c r="W47" s="172"/>
      <c r="X47" s="186"/>
      <c r="Y47" s="186"/>
    </row>
    <row r="48" spans="1:25" ht="21">
      <c r="A48" s="2">
        <f>IF(ISBLANK(F48),"",SUBTOTAL(3,F$14:$G48))</f>
        <v>55</v>
      </c>
      <c r="B48" s="98">
        <v>32</v>
      </c>
      <c r="C48" s="106" t="s">
        <v>1934</v>
      </c>
      <c r="D48" s="107">
        <v>4</v>
      </c>
      <c r="E48" s="100" t="s">
        <v>32</v>
      </c>
      <c r="F48" s="107" t="s">
        <v>32</v>
      </c>
      <c r="G48" s="108">
        <v>25</v>
      </c>
      <c r="H48" s="139" t="str">
        <f t="shared" si="0"/>
        <v/>
      </c>
      <c r="I48" s="102">
        <f t="shared" si="1"/>
        <v>0.2730031048436421</v>
      </c>
      <c r="J48" s="103" t="str">
        <f t="shared" si="2"/>
        <v/>
      </c>
      <c r="K48" s="152">
        <v>0.78</v>
      </c>
      <c r="L48" s="104">
        <f t="shared" si="4"/>
        <v>32.051282051282051</v>
      </c>
      <c r="M48" s="165"/>
      <c r="N48" s="105"/>
      <c r="O48" s="100"/>
      <c r="P48" s="172">
        <f t="shared" si="9"/>
        <v>8.2728213588982441E-3</v>
      </c>
      <c r="R48" s="65"/>
      <c r="S48" s="154"/>
      <c r="T48" s="120"/>
      <c r="U48" s="17"/>
      <c r="V48" s="136"/>
      <c r="W48" s="172"/>
      <c r="X48" s="186"/>
      <c r="Y48" s="186"/>
    </row>
    <row r="49" spans="1:25" ht="21">
      <c r="A49" s="2" t="str">
        <f>IF(ISBLANK(F49),"",SUBTOTAL(3,F$14:$G49))</f>
        <v/>
      </c>
      <c r="B49" s="98" t="s">
        <v>1892</v>
      </c>
      <c r="C49" s="170" t="s">
        <v>1935</v>
      </c>
      <c r="D49" s="107"/>
      <c r="E49" s="100"/>
      <c r="F49" s="107"/>
      <c r="G49" s="108"/>
      <c r="H49" s="139" t="str">
        <f t="shared" si="0"/>
        <v/>
      </c>
      <c r="I49" s="102" t="str">
        <f t="shared" si="1"/>
        <v/>
      </c>
      <c r="J49" s="103" t="str">
        <f t="shared" si="2"/>
        <v/>
      </c>
      <c r="K49" s="152" t="s">
        <v>1892</v>
      </c>
      <c r="L49" s="104" t="str">
        <f t="shared" si="4"/>
        <v/>
      </c>
      <c r="M49" s="165"/>
      <c r="N49" s="105"/>
      <c r="O49" s="100"/>
      <c r="P49" s="172" t="str">
        <f t="shared" si="9"/>
        <v/>
      </c>
      <c r="R49" s="65"/>
      <c r="S49" s="154"/>
      <c r="T49" s="120"/>
      <c r="U49" s="17"/>
      <c r="V49" s="136"/>
      <c r="W49" s="172"/>
      <c r="X49" s="186"/>
      <c r="Y49" s="186"/>
    </row>
    <row r="50" spans="1:25" ht="21">
      <c r="A50" s="2" t="str">
        <f>IF(ISBLANK(F50),"",SUBTOTAL(3,F$14:$G50))</f>
        <v/>
      </c>
      <c r="B50" s="98" t="s">
        <v>1892</v>
      </c>
      <c r="C50" s="106" t="s">
        <v>1936</v>
      </c>
      <c r="D50" s="107"/>
      <c r="E50" s="100"/>
      <c r="F50" s="107"/>
      <c r="G50" s="108"/>
      <c r="H50" s="139" t="str">
        <f t="shared" si="0"/>
        <v/>
      </c>
      <c r="I50" s="102" t="str">
        <f t="shared" si="1"/>
        <v/>
      </c>
      <c r="J50" s="103" t="str">
        <f t="shared" si="2"/>
        <v/>
      </c>
      <c r="K50" s="152" t="s">
        <v>1892</v>
      </c>
      <c r="L50" s="104" t="str">
        <f t="shared" si="4"/>
        <v/>
      </c>
      <c r="M50" s="165"/>
      <c r="N50" s="105"/>
      <c r="O50" s="100"/>
      <c r="P50" s="172" t="str">
        <f t="shared" si="9"/>
        <v/>
      </c>
      <c r="R50" s="65"/>
      <c r="S50" s="154"/>
      <c r="T50" s="120"/>
      <c r="U50" s="17"/>
      <c r="V50" s="136"/>
      <c r="W50" s="172"/>
      <c r="X50" s="186"/>
      <c r="Y50" s="186"/>
    </row>
    <row r="51" spans="1:25" ht="21">
      <c r="A51" s="2">
        <f>IF(ISBLANK(F51),"",SUBTOTAL(3,F$14:$G51))</f>
        <v>57</v>
      </c>
      <c r="B51" s="98">
        <v>33</v>
      </c>
      <c r="C51" s="106" t="s">
        <v>1937</v>
      </c>
      <c r="D51" s="107">
        <v>4</v>
      </c>
      <c r="E51" s="100" t="s">
        <v>32</v>
      </c>
      <c r="F51" s="107" t="s">
        <v>32</v>
      </c>
      <c r="G51" s="108">
        <v>20</v>
      </c>
      <c r="H51" s="139" t="str">
        <f t="shared" si="0"/>
        <v/>
      </c>
      <c r="I51" s="102">
        <f t="shared" si="1"/>
        <v>0.21840248387491365</v>
      </c>
      <c r="J51" s="103" t="str">
        <f t="shared" si="2"/>
        <v/>
      </c>
      <c r="K51" s="152">
        <v>0.78</v>
      </c>
      <c r="L51" s="104">
        <f t="shared" si="4"/>
        <v>25.641025641025639</v>
      </c>
      <c r="M51" s="165"/>
      <c r="N51" s="105"/>
      <c r="O51" s="100"/>
      <c r="P51" s="172">
        <f t="shared" si="9"/>
        <v>6.6182570871185951E-3</v>
      </c>
      <c r="R51" s="65"/>
      <c r="S51" s="154"/>
      <c r="T51" s="120"/>
      <c r="U51" s="17"/>
      <c r="V51" s="136"/>
      <c r="W51" s="172"/>
      <c r="X51" s="186"/>
      <c r="Y51" s="186"/>
    </row>
    <row r="52" spans="1:25" ht="31.2">
      <c r="A52" s="2" t="str">
        <f>IF(ISBLANK(F52),"",SUBTOTAL(3,F$14:$G52))</f>
        <v/>
      </c>
      <c r="B52" s="98">
        <v>34</v>
      </c>
      <c r="C52" s="106" t="s">
        <v>1938</v>
      </c>
      <c r="D52" s="107">
        <v>4</v>
      </c>
      <c r="E52" s="100" t="s">
        <v>1939</v>
      </c>
      <c r="F52" s="107"/>
      <c r="G52" s="108"/>
      <c r="H52" s="139" t="str">
        <f t="shared" si="0"/>
        <v/>
      </c>
      <c r="I52" s="102">
        <f t="shared" si="1"/>
        <v>0</v>
      </c>
      <c r="J52" s="103" t="str">
        <f t="shared" si="2"/>
        <v/>
      </c>
      <c r="K52" s="152">
        <v>0.78</v>
      </c>
      <c r="L52" s="104">
        <f t="shared" si="4"/>
        <v>0</v>
      </c>
      <c r="M52" s="165"/>
      <c r="N52" s="105"/>
      <c r="O52" s="100"/>
      <c r="P52" s="172" t="str">
        <f t="shared" si="9"/>
        <v/>
      </c>
      <c r="R52" s="65"/>
      <c r="S52" s="154"/>
      <c r="T52" s="120"/>
      <c r="U52" s="17"/>
      <c r="V52" s="136"/>
      <c r="W52" s="172"/>
      <c r="X52" s="186"/>
      <c r="Y52" s="186"/>
    </row>
    <row r="53" spans="1:25" ht="31.2">
      <c r="A53" s="2">
        <f>IF(ISBLANK(F53),"",SUBTOTAL(3,F$14:$G53))</f>
        <v>58</v>
      </c>
      <c r="B53" s="98">
        <v>35</v>
      </c>
      <c r="C53" s="106" t="s">
        <v>1940</v>
      </c>
      <c r="D53" s="107">
        <v>4</v>
      </c>
      <c r="E53" s="100" t="s">
        <v>1939</v>
      </c>
      <c r="F53" s="107" t="s">
        <v>1838</v>
      </c>
      <c r="G53" s="108"/>
      <c r="H53" s="139" t="str">
        <f t="shared" si="0"/>
        <v/>
      </c>
      <c r="I53" s="102">
        <f t="shared" si="1"/>
        <v>0</v>
      </c>
      <c r="J53" s="103" t="str">
        <f t="shared" si="2"/>
        <v/>
      </c>
      <c r="K53" s="152">
        <v>0.78</v>
      </c>
      <c r="L53" s="104">
        <f t="shared" si="4"/>
        <v>0</v>
      </c>
      <c r="M53" s="165"/>
      <c r="N53" s="105"/>
      <c r="O53" s="100"/>
      <c r="P53" s="172" t="str">
        <f t="shared" si="9"/>
        <v/>
      </c>
      <c r="R53" s="65"/>
      <c r="S53" s="154"/>
      <c r="T53" s="120"/>
      <c r="U53" s="17"/>
      <c r="V53" s="136"/>
      <c r="W53" s="172"/>
      <c r="X53" s="186"/>
      <c r="Y53" s="186"/>
    </row>
    <row r="54" spans="1:25" ht="16.8">
      <c r="A54" s="2">
        <f>IF(ISBLANK(F54),"",SUBTOTAL(3,F$14:$G54))</f>
        <v>60</v>
      </c>
      <c r="B54" s="98">
        <v>36</v>
      </c>
      <c r="C54" s="106" t="s">
        <v>1941</v>
      </c>
      <c r="D54" s="107">
        <v>2</v>
      </c>
      <c r="E54" s="100" t="s">
        <v>1777</v>
      </c>
      <c r="F54" s="107" t="s">
        <v>1777</v>
      </c>
      <c r="G54" s="108">
        <v>40</v>
      </c>
      <c r="H54" s="139" t="str">
        <f t="shared" si="0"/>
        <v/>
      </c>
      <c r="I54" s="102">
        <f t="shared" si="1"/>
        <v>0.35863986825775296</v>
      </c>
      <c r="J54" s="103" t="str">
        <f t="shared" si="2"/>
        <v/>
      </c>
      <c r="K54" s="152">
        <v>0.95</v>
      </c>
      <c r="L54" s="104">
        <f t="shared" si="4"/>
        <v>42.10526315789474</v>
      </c>
      <c r="M54" s="165" t="s">
        <v>2085</v>
      </c>
      <c r="N54" s="105"/>
      <c r="O54" s="100"/>
      <c r="P54" s="172">
        <f t="shared" si="9"/>
        <v>1.0867874795689484E-2</v>
      </c>
      <c r="R54" s="65"/>
      <c r="S54" s="154"/>
      <c r="T54" s="137"/>
      <c r="U54" s="66"/>
      <c r="V54" s="67"/>
      <c r="W54" s="179"/>
      <c r="X54" s="187"/>
      <c r="Y54" s="187"/>
    </row>
    <row r="55" spans="1:25" ht="16.8">
      <c r="A55" s="2">
        <f>IF(ISBLANK(F55),"",SUBTOTAL(3,F$14:$G55))</f>
        <v>62</v>
      </c>
      <c r="B55" s="98">
        <v>37</v>
      </c>
      <c r="C55" s="106" t="s">
        <v>1942</v>
      </c>
      <c r="D55" s="107">
        <v>4</v>
      </c>
      <c r="E55" s="100" t="s">
        <v>1943</v>
      </c>
      <c r="F55" s="107" t="s">
        <v>37</v>
      </c>
      <c r="G55" s="108">
        <v>40</v>
      </c>
      <c r="H55" s="139" t="str">
        <f t="shared" si="0"/>
        <v/>
      </c>
      <c r="I55" s="102">
        <f t="shared" si="1"/>
        <v>0.40083279393513571</v>
      </c>
      <c r="J55" s="103" t="str">
        <f t="shared" si="2"/>
        <v/>
      </c>
      <c r="K55" s="152">
        <v>0.85</v>
      </c>
      <c r="L55" s="104">
        <f t="shared" si="4"/>
        <v>47.058823529411768</v>
      </c>
      <c r="M55" s="165" t="s">
        <v>2075</v>
      </c>
      <c r="N55" s="105"/>
      <c r="O55" s="100"/>
      <c r="P55" s="172">
        <f t="shared" si="9"/>
        <v>1.2146448301064717E-2</v>
      </c>
      <c r="R55" s="65"/>
      <c r="S55" s="154"/>
      <c r="T55" s="137"/>
      <c r="U55" s="66"/>
      <c r="V55" s="67"/>
      <c r="W55" s="179"/>
      <c r="X55" s="187"/>
      <c r="Y55" s="187"/>
    </row>
    <row r="56" spans="1:25" ht="16.8">
      <c r="A56" s="2">
        <f>IF(ISBLANK(F56),"",SUBTOTAL(3,F$14:$G56))</f>
        <v>64</v>
      </c>
      <c r="B56" s="98">
        <v>38</v>
      </c>
      <c r="C56" s="106" t="s">
        <v>1944</v>
      </c>
      <c r="D56" s="107">
        <v>4</v>
      </c>
      <c r="E56" s="100" t="s">
        <v>1945</v>
      </c>
      <c r="F56" s="107" t="s">
        <v>1798</v>
      </c>
      <c r="G56" s="108">
        <v>40</v>
      </c>
      <c r="H56" s="139" t="str">
        <f t="shared" si="0"/>
        <v/>
      </c>
      <c r="I56" s="102">
        <f t="shared" si="1"/>
        <v>0.4368049677498273</v>
      </c>
      <c r="J56" s="103" t="str">
        <f t="shared" si="2"/>
        <v/>
      </c>
      <c r="K56" s="152">
        <v>0.78</v>
      </c>
      <c r="L56" s="104">
        <f t="shared" si="4"/>
        <v>51.282051282051277</v>
      </c>
      <c r="M56" s="165"/>
      <c r="N56" s="105"/>
      <c r="O56" s="100"/>
      <c r="P56" s="172">
        <f t="shared" si="9"/>
        <v>1.323651417423719E-2</v>
      </c>
      <c r="R56" s="65"/>
      <c r="S56" s="154"/>
      <c r="T56" s="137"/>
      <c r="U56" s="66"/>
      <c r="V56" s="66"/>
      <c r="W56" s="180"/>
      <c r="X56" s="191"/>
      <c r="Y56" s="191"/>
    </row>
    <row r="57" spans="1:25" ht="16.8">
      <c r="A57" s="2">
        <f>IF(ISBLANK(F57),"",SUBTOTAL(3,F$14:$G57))</f>
        <v>66</v>
      </c>
      <c r="B57" s="98">
        <v>39</v>
      </c>
      <c r="C57" s="106" t="s">
        <v>1946</v>
      </c>
      <c r="D57" s="107">
        <v>4</v>
      </c>
      <c r="E57" s="100" t="s">
        <v>32</v>
      </c>
      <c r="F57" s="107" t="s">
        <v>32</v>
      </c>
      <c r="G57" s="108">
        <v>30</v>
      </c>
      <c r="H57" s="139" t="str">
        <f t="shared" si="0"/>
        <v/>
      </c>
      <c r="I57" s="102">
        <f t="shared" si="1"/>
        <v>0.32760372581237046</v>
      </c>
      <c r="J57" s="103" t="str">
        <f t="shared" si="2"/>
        <v/>
      </c>
      <c r="K57" s="152">
        <v>0.78</v>
      </c>
      <c r="L57" s="104">
        <f t="shared" si="4"/>
        <v>38.46153846153846</v>
      </c>
      <c r="M57" s="165"/>
      <c r="N57" s="105"/>
      <c r="O57" s="100"/>
      <c r="P57" s="172">
        <f t="shared" si="9"/>
        <v>9.9273856306778922E-3</v>
      </c>
      <c r="R57" s="65"/>
      <c r="S57" s="154"/>
      <c r="T57" s="137"/>
      <c r="U57" s="66"/>
      <c r="V57" s="66"/>
      <c r="W57" s="180"/>
      <c r="X57" s="191"/>
      <c r="Y57" s="191"/>
    </row>
    <row r="58" spans="1:25" ht="16.8">
      <c r="A58" s="2">
        <f>IF(ISBLANK(F58),"",SUBTOTAL(3,F$14:$G58))</f>
        <v>68</v>
      </c>
      <c r="B58" s="98">
        <v>40</v>
      </c>
      <c r="C58" s="106" t="s">
        <v>1947</v>
      </c>
      <c r="D58" s="107">
        <v>4</v>
      </c>
      <c r="E58" s="100" t="s">
        <v>1948</v>
      </c>
      <c r="F58" s="107" t="s">
        <v>1794</v>
      </c>
      <c r="G58" s="108">
        <v>45</v>
      </c>
      <c r="H58" s="139" t="str">
        <f t="shared" si="0"/>
        <v/>
      </c>
      <c r="I58" s="102">
        <f t="shared" si="1"/>
        <v>0.49140558871855577</v>
      </c>
      <c r="J58" s="103" t="str">
        <f t="shared" si="2"/>
        <v/>
      </c>
      <c r="K58" s="152">
        <v>0.78</v>
      </c>
      <c r="L58" s="104">
        <f t="shared" si="4"/>
        <v>57.692307692307693</v>
      </c>
      <c r="M58" s="165"/>
      <c r="N58" s="105"/>
      <c r="O58" s="100"/>
      <c r="P58" s="172">
        <f t="shared" si="9"/>
        <v>1.489107844601684E-2</v>
      </c>
      <c r="R58" s="65"/>
      <c r="S58" s="154"/>
      <c r="T58" s="137"/>
      <c r="U58" s="66"/>
      <c r="V58" s="66"/>
      <c r="W58" s="180"/>
      <c r="X58" s="191"/>
      <c r="Y58" s="191"/>
    </row>
    <row r="59" spans="1:25" ht="16.8">
      <c r="A59" s="2">
        <f>IF(ISBLANK(F59),"",SUBTOTAL(3,F$14:$G59))</f>
        <v>70</v>
      </c>
      <c r="B59" s="98">
        <v>41</v>
      </c>
      <c r="C59" s="106" t="s">
        <v>1949</v>
      </c>
      <c r="D59" s="107">
        <v>4</v>
      </c>
      <c r="E59" s="100" t="s">
        <v>32</v>
      </c>
      <c r="F59" s="107" t="s">
        <v>32</v>
      </c>
      <c r="G59" s="108">
        <v>6</v>
      </c>
      <c r="H59" s="139" t="str">
        <f t="shared" si="0"/>
        <v/>
      </c>
      <c r="I59" s="102">
        <f t="shared" si="1"/>
        <v>6.5520745162474095E-2</v>
      </c>
      <c r="J59" s="103" t="str">
        <f t="shared" si="2"/>
        <v/>
      </c>
      <c r="K59" s="152">
        <v>0.78</v>
      </c>
      <c r="L59" s="104">
        <f t="shared" si="4"/>
        <v>7.6923076923076916</v>
      </c>
      <c r="M59" s="165"/>
      <c r="N59" s="105"/>
      <c r="O59" s="100"/>
      <c r="P59" s="172">
        <f t="shared" si="9"/>
        <v>1.9854771261355784E-3</v>
      </c>
      <c r="R59" s="65"/>
      <c r="S59" s="154"/>
      <c r="T59" s="137"/>
      <c r="U59" s="66"/>
      <c r="V59" s="66"/>
      <c r="W59" s="180"/>
      <c r="X59" s="191"/>
      <c r="Y59" s="191"/>
    </row>
    <row r="60" spans="1:25" ht="16.8">
      <c r="A60" s="2">
        <f>IF(ISBLANK(F60),"",SUBTOTAL(3,F$14:$G60))</f>
        <v>72</v>
      </c>
      <c r="B60" s="98">
        <v>42</v>
      </c>
      <c r="C60" s="106" t="s">
        <v>1950</v>
      </c>
      <c r="D60" s="107">
        <v>4</v>
      </c>
      <c r="E60" s="100" t="s">
        <v>32</v>
      </c>
      <c r="F60" s="107" t="s">
        <v>32</v>
      </c>
      <c r="G60" s="108">
        <v>55</v>
      </c>
      <c r="H60" s="139" t="str">
        <f t="shared" si="0"/>
        <v/>
      </c>
      <c r="I60" s="102">
        <f t="shared" si="1"/>
        <v>0.6006068306560125</v>
      </c>
      <c r="J60" s="103" t="str">
        <f t="shared" si="2"/>
        <v/>
      </c>
      <c r="K60" s="152">
        <v>0.78</v>
      </c>
      <c r="L60" s="104">
        <f t="shared" si="4"/>
        <v>70.512820512820511</v>
      </c>
      <c r="M60" s="165" t="s">
        <v>2088</v>
      </c>
      <c r="N60" s="105"/>
      <c r="O60" s="100"/>
      <c r="P60" s="172">
        <f t="shared" si="9"/>
        <v>1.8200206989576136E-2</v>
      </c>
      <c r="R60" s="65"/>
      <c r="S60" s="154"/>
      <c r="T60" s="137"/>
      <c r="U60" s="66"/>
      <c r="V60" s="66"/>
      <c r="W60" s="180"/>
      <c r="X60" s="191"/>
      <c r="Y60" s="191"/>
    </row>
    <row r="61" spans="1:25" ht="16.8">
      <c r="A61" s="2">
        <f>IF(ISBLANK(F61),"",SUBTOTAL(3,F$14:$G61))</f>
        <v>74</v>
      </c>
      <c r="B61" s="98">
        <v>43</v>
      </c>
      <c r="C61" s="106" t="s">
        <v>1951</v>
      </c>
      <c r="D61" s="107">
        <v>1</v>
      </c>
      <c r="E61" s="100" t="s">
        <v>1777</v>
      </c>
      <c r="F61" s="107" t="s">
        <v>1777</v>
      </c>
      <c r="G61" s="108">
        <v>4</v>
      </c>
      <c r="H61" s="139" t="str">
        <f t="shared" si="0"/>
        <v/>
      </c>
      <c r="I61" s="102">
        <f t="shared" si="1"/>
        <v>3.5863986825775296E-2</v>
      </c>
      <c r="J61" s="103" t="str">
        <f t="shared" si="2"/>
        <v/>
      </c>
      <c r="K61" s="152">
        <v>0.95</v>
      </c>
      <c r="L61" s="104">
        <f t="shared" si="4"/>
        <v>4.2105263157894735</v>
      </c>
      <c r="M61" s="165" t="s">
        <v>2085</v>
      </c>
      <c r="N61" s="105"/>
      <c r="O61" s="100"/>
      <c r="P61" s="172">
        <f t="shared" si="9"/>
        <v>1.0867874795689482E-3</v>
      </c>
      <c r="R61" s="65"/>
      <c r="S61" s="154"/>
      <c r="T61" s="137"/>
      <c r="U61" s="66"/>
      <c r="V61" s="66"/>
      <c r="W61" s="180"/>
      <c r="X61" s="191"/>
      <c r="Y61" s="191"/>
    </row>
    <row r="62" spans="1:25" ht="16.8">
      <c r="A62" s="2">
        <f>IF(ISBLANK(F62),"",SUBTOTAL(3,F$14:$G62))</f>
        <v>76</v>
      </c>
      <c r="B62" s="98">
        <v>44</v>
      </c>
      <c r="C62" s="106" t="s">
        <v>1952</v>
      </c>
      <c r="D62" s="107">
        <v>3</v>
      </c>
      <c r="E62" s="100" t="s">
        <v>32</v>
      </c>
      <c r="F62" s="107" t="s">
        <v>32</v>
      </c>
      <c r="G62" s="108">
        <v>35</v>
      </c>
      <c r="H62" s="139" t="str">
        <f t="shared" si="0"/>
        <v/>
      </c>
      <c r="I62" s="102">
        <f t="shared" si="1"/>
        <v>0.38220434678109888</v>
      </c>
      <c r="J62" s="103" t="str">
        <f t="shared" si="2"/>
        <v/>
      </c>
      <c r="K62" s="152">
        <v>0.78</v>
      </c>
      <c r="L62" s="104">
        <f t="shared" si="4"/>
        <v>44.871794871794869</v>
      </c>
      <c r="M62" s="165"/>
      <c r="N62" s="105"/>
      <c r="O62" s="100"/>
      <c r="P62" s="172">
        <f t="shared" si="9"/>
        <v>1.1581949902457542E-2</v>
      </c>
      <c r="R62" s="65"/>
      <c r="S62" s="154"/>
      <c r="T62" s="137"/>
      <c r="U62" s="66"/>
      <c r="V62" s="66"/>
      <c r="W62" s="180"/>
      <c r="X62" s="191"/>
      <c r="Y62" s="191"/>
    </row>
    <row r="63" spans="1:25" ht="16.8">
      <c r="A63" s="2">
        <f>IF(ISBLANK(F63),"",SUBTOTAL(3,F$14:$G63))</f>
        <v>78</v>
      </c>
      <c r="B63" s="98">
        <v>45</v>
      </c>
      <c r="C63" s="106" t="s">
        <v>1953</v>
      </c>
      <c r="D63" s="107">
        <v>4</v>
      </c>
      <c r="E63" s="100" t="s">
        <v>32</v>
      </c>
      <c r="F63" s="144" t="s">
        <v>32</v>
      </c>
      <c r="G63" s="108">
        <v>20</v>
      </c>
      <c r="H63" s="139" t="str">
        <f t="shared" si="0"/>
        <v/>
      </c>
      <c r="I63" s="102">
        <f t="shared" si="1"/>
        <v>0.21840248387491365</v>
      </c>
      <c r="J63" s="103" t="str">
        <f t="shared" si="2"/>
        <v/>
      </c>
      <c r="K63" s="152">
        <v>0.78</v>
      </c>
      <c r="L63" s="104">
        <f t="shared" si="4"/>
        <v>25.641025641025639</v>
      </c>
      <c r="M63" s="165"/>
      <c r="N63" s="105"/>
      <c r="O63" s="100"/>
      <c r="P63" s="172">
        <f t="shared" si="9"/>
        <v>6.6182570871185951E-3</v>
      </c>
      <c r="R63" s="65"/>
      <c r="S63" s="154"/>
      <c r="T63" s="137"/>
      <c r="U63" s="66"/>
      <c r="V63" s="66"/>
      <c r="W63" s="180"/>
      <c r="X63" s="191"/>
      <c r="Y63" s="191"/>
    </row>
    <row r="64" spans="1:25" ht="16.8">
      <c r="A64" s="2">
        <f>IF(ISBLANK(F64),"",SUBTOTAL(3,F$14:$G64))</f>
        <v>80</v>
      </c>
      <c r="B64" s="98">
        <v>46</v>
      </c>
      <c r="C64" s="106" t="s">
        <v>1954</v>
      </c>
      <c r="D64" s="107">
        <v>3</v>
      </c>
      <c r="E64" s="100" t="s">
        <v>32</v>
      </c>
      <c r="F64" s="107" t="s">
        <v>32</v>
      </c>
      <c r="G64" s="108">
        <v>12</v>
      </c>
      <c r="H64" s="139" t="str">
        <f t="shared" si="0"/>
        <v/>
      </c>
      <c r="I64" s="102">
        <f t="shared" si="1"/>
        <v>0.13104149032494819</v>
      </c>
      <c r="J64" s="103" t="str">
        <f t="shared" si="2"/>
        <v/>
      </c>
      <c r="K64" s="152">
        <v>0.78</v>
      </c>
      <c r="L64" s="104">
        <f t="shared" si="4"/>
        <v>15.384615384615383</v>
      </c>
      <c r="M64" s="165"/>
      <c r="N64" s="105"/>
      <c r="O64" s="100"/>
      <c r="P64" s="172">
        <f t="shared" si="9"/>
        <v>3.9709542522711567E-3</v>
      </c>
      <c r="R64" s="65"/>
      <c r="S64" s="154"/>
      <c r="T64" s="137"/>
      <c r="U64" s="66"/>
      <c r="V64" s="66"/>
      <c r="W64" s="180"/>
      <c r="X64" s="191"/>
      <c r="Y64" s="191"/>
    </row>
    <row r="65" spans="1:25" ht="16.8">
      <c r="A65" s="2" t="str">
        <f>IF(ISBLANK(F65),"",SUBTOTAL(3,F$14:$G65))</f>
        <v/>
      </c>
      <c r="B65" s="98" t="s">
        <v>1892</v>
      </c>
      <c r="C65" s="170" t="s">
        <v>1955</v>
      </c>
      <c r="D65" s="107"/>
      <c r="E65" s="100"/>
      <c r="F65" s="107"/>
      <c r="G65" s="108"/>
      <c r="H65" s="139" t="str">
        <f t="shared" si="0"/>
        <v/>
      </c>
      <c r="I65" s="102" t="str">
        <f t="shared" si="1"/>
        <v/>
      </c>
      <c r="J65" s="103" t="str">
        <f t="shared" si="2"/>
        <v/>
      </c>
      <c r="K65" s="152" t="s">
        <v>1892</v>
      </c>
      <c r="L65" s="104" t="str">
        <f t="shared" si="4"/>
        <v/>
      </c>
      <c r="M65" s="165"/>
      <c r="N65" s="105"/>
      <c r="O65" s="100"/>
      <c r="P65" s="172" t="str">
        <f t="shared" si="9"/>
        <v/>
      </c>
      <c r="R65" s="65"/>
      <c r="S65" s="154"/>
      <c r="T65" s="137"/>
      <c r="U65" s="66"/>
      <c r="V65" s="66"/>
      <c r="W65" s="180"/>
      <c r="X65" s="191"/>
      <c r="Y65" s="191"/>
    </row>
    <row r="66" spans="1:25" ht="16.8">
      <c r="A66" s="2">
        <f>IF(ISBLANK(F66),"",SUBTOTAL(3,F$14:$G66))</f>
        <v>82</v>
      </c>
      <c r="B66" s="98">
        <v>47</v>
      </c>
      <c r="C66" s="106" t="s">
        <v>1956</v>
      </c>
      <c r="D66" s="107">
        <v>4</v>
      </c>
      <c r="E66" s="100" t="s">
        <v>32</v>
      </c>
      <c r="F66" s="107" t="s">
        <v>32</v>
      </c>
      <c r="G66" s="108">
        <v>20</v>
      </c>
      <c r="H66" s="139" t="str">
        <f t="shared" si="0"/>
        <v/>
      </c>
      <c r="I66" s="102">
        <f t="shared" si="1"/>
        <v>0.21840248387491365</v>
      </c>
      <c r="J66" s="103" t="str">
        <f t="shared" si="2"/>
        <v/>
      </c>
      <c r="K66" s="152">
        <v>0.78</v>
      </c>
      <c r="L66" s="104">
        <f t="shared" si="4"/>
        <v>25.641025641025639</v>
      </c>
      <c r="M66" s="165"/>
      <c r="N66" s="105"/>
      <c r="O66" s="100"/>
      <c r="P66" s="172">
        <f t="shared" si="9"/>
        <v>6.6182570871185951E-3</v>
      </c>
      <c r="R66" s="65"/>
      <c r="S66" s="154"/>
      <c r="T66" s="137"/>
      <c r="U66" s="66"/>
      <c r="V66" s="66"/>
      <c r="W66" s="180"/>
      <c r="X66" s="191"/>
      <c r="Y66" s="191"/>
    </row>
    <row r="67" spans="1:25" ht="16.8">
      <c r="A67" s="2">
        <f>IF(ISBLANK(F67),"",SUBTOTAL(3,F$14:$G67))</f>
        <v>83</v>
      </c>
      <c r="B67" s="98">
        <v>48</v>
      </c>
      <c r="C67" s="106" t="s">
        <v>1957</v>
      </c>
      <c r="D67" s="107">
        <v>4</v>
      </c>
      <c r="E67" s="100" t="s">
        <v>1958</v>
      </c>
      <c r="F67" s="107" t="s">
        <v>1838</v>
      </c>
      <c r="G67" s="108"/>
      <c r="H67" s="139" t="str">
        <f t="shared" si="0"/>
        <v/>
      </c>
      <c r="I67" s="102">
        <f t="shared" si="1"/>
        <v>0</v>
      </c>
      <c r="J67" s="103" t="str">
        <f t="shared" si="2"/>
        <v/>
      </c>
      <c r="K67" s="152">
        <v>0.78</v>
      </c>
      <c r="L67" s="104">
        <f t="shared" si="4"/>
        <v>0</v>
      </c>
      <c r="M67" s="165"/>
      <c r="N67" s="105"/>
      <c r="O67" s="100"/>
      <c r="P67" s="172" t="str">
        <f t="shared" si="9"/>
        <v/>
      </c>
      <c r="S67" s="155"/>
      <c r="T67" s="18"/>
      <c r="U67" s="19"/>
      <c r="V67" s="19"/>
      <c r="W67" s="181"/>
      <c r="X67" s="192"/>
      <c r="Y67" s="192"/>
    </row>
    <row r="68" spans="1:25" ht="15.6">
      <c r="A68" s="2">
        <f>IF(ISBLANK(F68),"",SUBTOTAL(3,F$14:$G68))</f>
        <v>85</v>
      </c>
      <c r="B68" s="98">
        <v>49</v>
      </c>
      <c r="C68" s="106" t="s">
        <v>1959</v>
      </c>
      <c r="D68" s="107">
        <v>2</v>
      </c>
      <c r="E68" s="100" t="s">
        <v>1777</v>
      </c>
      <c r="F68" s="107" t="s">
        <v>1777</v>
      </c>
      <c r="G68" s="108">
        <v>20</v>
      </c>
      <c r="H68" s="139" t="str">
        <f t="shared" si="0"/>
        <v/>
      </c>
      <c r="I68" s="102">
        <f t="shared" si="1"/>
        <v>0.17931993412887648</v>
      </c>
      <c r="J68" s="103" t="str">
        <f t="shared" si="2"/>
        <v/>
      </c>
      <c r="K68" s="152">
        <v>0.95</v>
      </c>
      <c r="L68" s="104">
        <f t="shared" si="4"/>
        <v>21.05263157894737</v>
      </c>
      <c r="M68" s="165" t="s">
        <v>2085</v>
      </c>
      <c r="N68" s="105"/>
      <c r="O68" s="100"/>
      <c r="P68" s="172">
        <f t="shared" si="9"/>
        <v>5.4339373978447422E-3</v>
      </c>
      <c r="S68" s="155"/>
    </row>
    <row r="69" spans="1:25" ht="16.8">
      <c r="A69" s="2">
        <f>IF(ISBLANK(F69),"",SUBTOTAL(3,F$14:$G69))</f>
        <v>87</v>
      </c>
      <c r="B69" s="98">
        <v>50</v>
      </c>
      <c r="C69" s="106" t="s">
        <v>1960</v>
      </c>
      <c r="D69" s="107">
        <v>2</v>
      </c>
      <c r="E69" s="100" t="s">
        <v>1777</v>
      </c>
      <c r="F69" s="144" t="s">
        <v>1777</v>
      </c>
      <c r="G69" s="108">
        <v>8</v>
      </c>
      <c r="H69" s="139" t="str">
        <f t="shared" si="0"/>
        <v/>
      </c>
      <c r="I69" s="102">
        <f t="shared" si="1"/>
        <v>7.1727973651550592E-2</v>
      </c>
      <c r="J69" s="103" t="str">
        <f t="shared" si="2"/>
        <v/>
      </c>
      <c r="K69" s="152">
        <v>0.95</v>
      </c>
      <c r="L69" s="104">
        <f t="shared" si="4"/>
        <v>8.4210526315789469</v>
      </c>
      <c r="M69" s="165" t="s">
        <v>2085</v>
      </c>
      <c r="N69" s="105"/>
      <c r="O69" s="100"/>
      <c r="P69" s="172">
        <f t="shared" si="9"/>
        <v>2.1735749591378964E-3</v>
      </c>
      <c r="S69" s="155"/>
      <c r="T69" s="18"/>
      <c r="U69" s="19"/>
      <c r="V69" s="19"/>
      <c r="W69" s="181"/>
      <c r="X69" s="192"/>
      <c r="Y69" s="192"/>
    </row>
    <row r="70" spans="1:25" ht="16.8">
      <c r="A70" s="2">
        <f>IF(ISBLANK(F70),"",SUBTOTAL(3,F$14:$G70))</f>
        <v>89</v>
      </c>
      <c r="B70" s="98">
        <v>51</v>
      </c>
      <c r="C70" s="106" t="s">
        <v>1961</v>
      </c>
      <c r="D70" s="107">
        <v>5</v>
      </c>
      <c r="E70" s="100" t="s">
        <v>32</v>
      </c>
      <c r="F70" s="107" t="s">
        <v>32</v>
      </c>
      <c r="G70" s="108">
        <v>25</v>
      </c>
      <c r="H70" s="139" t="str">
        <f t="shared" si="0"/>
        <v/>
      </c>
      <c r="I70" s="102">
        <f t="shared" si="1"/>
        <v>0.2730031048436421</v>
      </c>
      <c r="J70" s="103" t="str">
        <f t="shared" si="2"/>
        <v/>
      </c>
      <c r="K70" s="152">
        <v>0.78</v>
      </c>
      <c r="L70" s="104">
        <f t="shared" si="4"/>
        <v>32.051282051282051</v>
      </c>
      <c r="M70" s="165" t="s">
        <v>2091</v>
      </c>
      <c r="N70" s="105"/>
      <c r="O70" s="100"/>
      <c r="P70" s="172">
        <f t="shared" si="9"/>
        <v>8.2728213588982441E-3</v>
      </c>
      <c r="S70" s="155"/>
      <c r="T70" s="18"/>
      <c r="U70" s="19"/>
      <c r="V70" s="19"/>
      <c r="W70" s="181"/>
      <c r="X70" s="192"/>
      <c r="Y70" s="192"/>
    </row>
    <row r="71" spans="1:25" ht="16.8">
      <c r="A71" s="2">
        <f>IF(ISBLANK(F71),"",SUBTOTAL(3,F$14:$G71))</f>
        <v>91</v>
      </c>
      <c r="B71" s="98">
        <v>52</v>
      </c>
      <c r="C71" s="106" t="s">
        <v>1962</v>
      </c>
      <c r="D71" s="107">
        <v>3</v>
      </c>
      <c r="E71" s="100" t="s">
        <v>32</v>
      </c>
      <c r="F71" s="107" t="s">
        <v>32</v>
      </c>
      <c r="G71" s="108">
        <v>20</v>
      </c>
      <c r="H71" s="139" t="str">
        <f t="shared" si="0"/>
        <v/>
      </c>
      <c r="I71" s="102">
        <f t="shared" si="1"/>
        <v>0.21840248387491365</v>
      </c>
      <c r="J71" s="103" t="str">
        <f t="shared" si="2"/>
        <v/>
      </c>
      <c r="K71" s="152">
        <v>0.78</v>
      </c>
      <c r="L71" s="104">
        <f t="shared" si="4"/>
        <v>25.641025641025639</v>
      </c>
      <c r="M71" s="165" t="s">
        <v>2091</v>
      </c>
      <c r="N71" s="105"/>
      <c r="O71" s="100"/>
      <c r="P71" s="172">
        <f t="shared" si="9"/>
        <v>6.6182570871185951E-3</v>
      </c>
      <c r="S71" s="155"/>
      <c r="T71" s="18"/>
      <c r="U71" s="19"/>
      <c r="V71" s="19"/>
      <c r="W71" s="181"/>
      <c r="X71" s="192"/>
      <c r="Y71" s="192"/>
    </row>
    <row r="72" spans="1:25" ht="16.8">
      <c r="A72" s="2">
        <f>IF(ISBLANK(F72),"",SUBTOTAL(3,F$14:$G72))</f>
        <v>93</v>
      </c>
      <c r="B72" s="98">
        <v>53</v>
      </c>
      <c r="C72" s="106" t="s">
        <v>1963</v>
      </c>
      <c r="D72" s="107">
        <v>4</v>
      </c>
      <c r="E72" s="100" t="s">
        <v>32</v>
      </c>
      <c r="F72" s="107" t="s">
        <v>32</v>
      </c>
      <c r="G72" s="108">
        <v>30</v>
      </c>
      <c r="H72" s="139" t="str">
        <f t="shared" si="0"/>
        <v/>
      </c>
      <c r="I72" s="102">
        <f t="shared" si="1"/>
        <v>0.32760372581237046</v>
      </c>
      <c r="J72" s="103" t="str">
        <f t="shared" si="2"/>
        <v/>
      </c>
      <c r="K72" s="152">
        <v>0.78</v>
      </c>
      <c r="L72" s="104">
        <f t="shared" si="4"/>
        <v>38.46153846153846</v>
      </c>
      <c r="M72" s="165" t="s">
        <v>2091</v>
      </c>
      <c r="N72" s="105"/>
      <c r="O72" s="100"/>
      <c r="P72" s="172">
        <f t="shared" si="9"/>
        <v>9.9273856306778922E-3</v>
      </c>
      <c r="S72" s="155"/>
      <c r="T72" s="18"/>
      <c r="U72" s="19"/>
      <c r="V72" s="19"/>
      <c r="W72" s="181"/>
      <c r="X72" s="192"/>
      <c r="Y72" s="192"/>
    </row>
    <row r="73" spans="1:25" ht="16.8">
      <c r="A73" s="2">
        <f>IF(ISBLANK(F73),"",SUBTOTAL(3,F$14:$G73))</f>
        <v>95</v>
      </c>
      <c r="B73" s="98">
        <v>54</v>
      </c>
      <c r="C73" s="106" t="s">
        <v>1964</v>
      </c>
      <c r="D73" s="107">
        <v>3</v>
      </c>
      <c r="E73" s="100" t="s">
        <v>32</v>
      </c>
      <c r="F73" s="107" t="s">
        <v>32</v>
      </c>
      <c r="G73" s="108">
        <v>10</v>
      </c>
      <c r="H73" s="139" t="str">
        <f t="shared" si="0"/>
        <v/>
      </c>
      <c r="I73" s="102">
        <f t="shared" si="1"/>
        <v>0.10920124193745682</v>
      </c>
      <c r="J73" s="103" t="str">
        <f t="shared" si="2"/>
        <v/>
      </c>
      <c r="K73" s="152">
        <v>0.78</v>
      </c>
      <c r="L73" s="104">
        <f t="shared" si="4"/>
        <v>12.820512820512819</v>
      </c>
      <c r="M73" s="165" t="s">
        <v>2091</v>
      </c>
      <c r="N73" s="105"/>
      <c r="O73" s="100"/>
      <c r="P73" s="172">
        <f t="shared" si="9"/>
        <v>3.3091285435592976E-3</v>
      </c>
      <c r="S73" s="155"/>
      <c r="T73" s="18"/>
      <c r="U73" s="19"/>
      <c r="V73" s="19"/>
      <c r="W73" s="181"/>
      <c r="X73" s="192"/>
      <c r="Y73" s="192"/>
    </row>
    <row r="74" spans="1:25" ht="16.8">
      <c r="A74" s="2">
        <f>IF(ISBLANK(F74),"",SUBTOTAL(3,F$14:$G74))</f>
        <v>97</v>
      </c>
      <c r="B74" s="98">
        <v>55</v>
      </c>
      <c r="C74" s="106" t="s">
        <v>1965</v>
      </c>
      <c r="D74" s="107">
        <v>4</v>
      </c>
      <c r="E74" s="100" t="s">
        <v>1943</v>
      </c>
      <c r="F74" s="107" t="s">
        <v>37</v>
      </c>
      <c r="G74" s="108">
        <v>30</v>
      </c>
      <c r="H74" s="139" t="str">
        <f t="shared" si="0"/>
        <v/>
      </c>
      <c r="I74" s="102">
        <f t="shared" si="1"/>
        <v>0.30062459545135178</v>
      </c>
      <c r="J74" s="103" t="str">
        <f t="shared" si="2"/>
        <v/>
      </c>
      <c r="K74" s="152">
        <v>0.85</v>
      </c>
      <c r="L74" s="104">
        <f t="shared" si="4"/>
        <v>35.294117647058826</v>
      </c>
      <c r="M74" s="165" t="s">
        <v>2075</v>
      </c>
      <c r="N74" s="105"/>
      <c r="O74" s="100"/>
      <c r="P74" s="172">
        <f t="shared" si="9"/>
        <v>9.1098362257985375E-3</v>
      </c>
      <c r="S74" s="155"/>
      <c r="T74" s="18"/>
      <c r="U74" s="19"/>
      <c r="V74" s="19"/>
      <c r="W74" s="181"/>
      <c r="X74" s="192"/>
      <c r="Y74" s="192"/>
    </row>
    <row r="75" spans="1:25" ht="16.8">
      <c r="A75" s="2">
        <f>IF(ISBLANK(F75),"",SUBTOTAL(3,F$14:$G75))</f>
        <v>99</v>
      </c>
      <c r="B75" s="98">
        <v>56</v>
      </c>
      <c r="C75" s="106" t="s">
        <v>1966</v>
      </c>
      <c r="D75" s="107">
        <v>4</v>
      </c>
      <c r="E75" s="100" t="s">
        <v>32</v>
      </c>
      <c r="F75" s="144" t="s">
        <v>32</v>
      </c>
      <c r="G75" s="108">
        <v>35</v>
      </c>
      <c r="H75" s="139" t="str">
        <f t="shared" si="0"/>
        <v/>
      </c>
      <c r="I75" s="102">
        <f t="shared" si="1"/>
        <v>0.38220434678109888</v>
      </c>
      <c r="J75" s="103" t="str">
        <f t="shared" si="2"/>
        <v/>
      </c>
      <c r="K75" s="152">
        <v>0.78</v>
      </c>
      <c r="L75" s="104">
        <f t="shared" si="4"/>
        <v>44.871794871794869</v>
      </c>
      <c r="M75" s="165" t="s">
        <v>2091</v>
      </c>
      <c r="N75" s="105"/>
      <c r="O75" s="100"/>
      <c r="P75" s="172">
        <f t="shared" si="9"/>
        <v>1.1581949902457542E-2</v>
      </c>
      <c r="S75" s="155"/>
      <c r="T75" s="18"/>
      <c r="U75" s="19"/>
      <c r="V75" s="19"/>
      <c r="W75" s="181"/>
      <c r="X75" s="192"/>
      <c r="Y75" s="192"/>
    </row>
    <row r="76" spans="1:25" ht="31.2">
      <c r="A76" s="2">
        <f>IF(ISBLANK(F76),"",SUBTOTAL(3,F$14:$G76))</f>
        <v>101</v>
      </c>
      <c r="B76" s="98">
        <v>57</v>
      </c>
      <c r="C76" s="106" t="s">
        <v>1967</v>
      </c>
      <c r="D76" s="107">
        <v>4</v>
      </c>
      <c r="E76" s="100" t="s">
        <v>32</v>
      </c>
      <c r="F76" s="107" t="s">
        <v>32</v>
      </c>
      <c r="G76" s="108">
        <v>40</v>
      </c>
      <c r="H76" s="139" t="str">
        <f t="shared" si="0"/>
        <v/>
      </c>
      <c r="I76" s="102">
        <f t="shared" si="1"/>
        <v>0.4368049677498273</v>
      </c>
      <c r="J76" s="103" t="str">
        <f t="shared" si="2"/>
        <v/>
      </c>
      <c r="K76" s="152">
        <v>0.78</v>
      </c>
      <c r="L76" s="104">
        <f t="shared" si="4"/>
        <v>51.282051282051277</v>
      </c>
      <c r="M76" s="165"/>
      <c r="N76" s="105"/>
      <c r="O76" s="100"/>
      <c r="P76" s="172">
        <f t="shared" si="9"/>
        <v>1.323651417423719E-2</v>
      </c>
      <c r="S76" s="155"/>
      <c r="T76" s="18"/>
      <c r="U76" s="19"/>
      <c r="V76" s="19"/>
      <c r="W76" s="181"/>
      <c r="X76" s="192"/>
      <c r="Y76" s="192"/>
    </row>
    <row r="77" spans="1:25" ht="16.8">
      <c r="A77" s="2">
        <f>IF(ISBLANK(F77),"",SUBTOTAL(3,F$14:$G77))</f>
        <v>103</v>
      </c>
      <c r="B77" s="98">
        <v>58</v>
      </c>
      <c r="C77" s="106" t="s">
        <v>1968</v>
      </c>
      <c r="D77" s="107">
        <v>3</v>
      </c>
      <c r="E77" s="100" t="s">
        <v>32</v>
      </c>
      <c r="F77" s="107" t="s">
        <v>32</v>
      </c>
      <c r="G77" s="108">
        <v>10</v>
      </c>
      <c r="H77" s="139" t="str">
        <f t="shared" ref="H77:H140" si="11">IFERROR(IF(OR(D77=0,B77=0),"",INDEX($AA$2:$AG$2,MATCH(D77,$AA$1:$AG$1,0))),"")</f>
        <v/>
      </c>
      <c r="I77" s="102">
        <f t="shared" ref="I77:I140" si="12">IFERROR(IF(ISBLANK(D77),"",(IF(K77&gt;0,L77,G77)/NhipSX)),"")</f>
        <v>0.10920124193745682</v>
      </c>
      <c r="J77" s="103" t="str">
        <f t="shared" ref="J77:J140" si="13">IFERROR(IF(OR(D77=0,B77=0),"",INDEX($AA$2:$AG$2,MATCH(D77,$AA$1:$AG$1,0))*IF($J$11="Đơn Giá CBC",L77,G77)),"")</f>
        <v/>
      </c>
      <c r="K77" s="152">
        <v>0.78</v>
      </c>
      <c r="L77" s="104">
        <f t="shared" ref="L77:L140" si="14">IFERROR(IF(ISBLANK(D77),"",IF(ISBLANK(K77),G77,(G77/K77))),"")</f>
        <v>12.820512820512819</v>
      </c>
      <c r="M77" s="165"/>
      <c r="N77" s="105"/>
      <c r="O77" s="100"/>
      <c r="P77" s="172">
        <f t="shared" si="9"/>
        <v>3.3091285435592976E-3</v>
      </c>
      <c r="S77" s="155"/>
      <c r="T77" s="18"/>
      <c r="U77" s="19"/>
      <c r="V77" s="19"/>
      <c r="W77" s="181"/>
      <c r="X77" s="192"/>
      <c r="Y77" s="192"/>
    </row>
    <row r="78" spans="1:25" ht="16.8">
      <c r="A78" s="2">
        <f>IF(ISBLANK(F78),"",SUBTOTAL(3,F$14:$G78))</f>
        <v>105</v>
      </c>
      <c r="B78" s="98">
        <v>59</v>
      </c>
      <c r="C78" s="106" t="s">
        <v>1969</v>
      </c>
      <c r="D78" s="107">
        <v>3</v>
      </c>
      <c r="E78" s="100" t="s">
        <v>37</v>
      </c>
      <c r="F78" s="144" t="s">
        <v>37</v>
      </c>
      <c r="G78" s="108">
        <v>15</v>
      </c>
      <c r="H78" s="139" t="str">
        <f t="shared" si="11"/>
        <v/>
      </c>
      <c r="I78" s="102">
        <f t="shared" si="12"/>
        <v>0.15031229772567589</v>
      </c>
      <c r="J78" s="103" t="str">
        <f t="shared" si="13"/>
        <v/>
      </c>
      <c r="K78" s="152">
        <v>0.85</v>
      </c>
      <c r="L78" s="104">
        <f t="shared" si="14"/>
        <v>17.647058823529413</v>
      </c>
      <c r="M78" s="165" t="s">
        <v>2076</v>
      </c>
      <c r="N78" s="105"/>
      <c r="O78" s="100"/>
      <c r="P78" s="172">
        <f t="shared" ref="P78:P141" si="15">IFERROR(IF(ISBLANK(G78),"",(L78/$I$4)),"")</f>
        <v>4.5549181128992687E-3</v>
      </c>
      <c r="S78" s="155"/>
      <c r="T78" s="18"/>
      <c r="U78" s="19"/>
      <c r="V78" s="19"/>
      <c r="W78" s="181"/>
      <c r="X78" s="192"/>
      <c r="Y78" s="192"/>
    </row>
    <row r="79" spans="1:25" ht="16.8">
      <c r="A79" s="2">
        <f>IF(ISBLANK(F79),"",SUBTOTAL(3,F$14:$G79))</f>
        <v>107</v>
      </c>
      <c r="B79" s="98">
        <v>60</v>
      </c>
      <c r="C79" s="106" t="s">
        <v>1970</v>
      </c>
      <c r="D79" s="107">
        <v>3</v>
      </c>
      <c r="E79" s="100" t="s">
        <v>32</v>
      </c>
      <c r="F79" s="107" t="s">
        <v>32</v>
      </c>
      <c r="G79" s="108">
        <v>10</v>
      </c>
      <c r="H79" s="139" t="str">
        <f t="shared" si="11"/>
        <v/>
      </c>
      <c r="I79" s="102">
        <f t="shared" si="12"/>
        <v>0.10920124193745682</v>
      </c>
      <c r="J79" s="103" t="str">
        <f t="shared" si="13"/>
        <v/>
      </c>
      <c r="K79" s="152">
        <v>0.78</v>
      </c>
      <c r="L79" s="104">
        <f t="shared" si="14"/>
        <v>12.820512820512819</v>
      </c>
      <c r="M79" s="165"/>
      <c r="N79" s="105"/>
      <c r="O79" s="100"/>
      <c r="P79" s="172">
        <f t="shared" si="15"/>
        <v>3.3091285435592976E-3</v>
      </c>
      <c r="S79" s="155"/>
      <c r="T79" s="18"/>
      <c r="U79" s="19"/>
      <c r="V79" s="19"/>
      <c r="W79" s="181"/>
      <c r="X79" s="192"/>
      <c r="Y79" s="192"/>
    </row>
    <row r="80" spans="1:25" ht="16.8">
      <c r="A80" s="2">
        <f>IF(ISBLANK(F80),"",SUBTOTAL(3,F$14:$G80))</f>
        <v>109</v>
      </c>
      <c r="B80" s="98">
        <v>61</v>
      </c>
      <c r="C80" s="106" t="s">
        <v>1971</v>
      </c>
      <c r="D80" s="107">
        <v>4</v>
      </c>
      <c r="E80" s="100" t="s">
        <v>33</v>
      </c>
      <c r="F80" s="107" t="s">
        <v>33</v>
      </c>
      <c r="G80" s="108">
        <v>30</v>
      </c>
      <c r="H80" s="139" t="str">
        <f t="shared" si="11"/>
        <v/>
      </c>
      <c r="I80" s="102">
        <f t="shared" si="12"/>
        <v>0.32760372581237046</v>
      </c>
      <c r="J80" s="103" t="str">
        <f t="shared" si="13"/>
        <v/>
      </c>
      <c r="K80" s="152">
        <v>0.78</v>
      </c>
      <c r="L80" s="104">
        <f t="shared" si="14"/>
        <v>38.46153846153846</v>
      </c>
      <c r="M80" s="165"/>
      <c r="N80" s="105"/>
      <c r="O80" s="100"/>
      <c r="P80" s="172">
        <f t="shared" si="15"/>
        <v>9.9273856306778922E-3</v>
      </c>
      <c r="S80" s="155"/>
      <c r="T80" s="18"/>
      <c r="U80" s="19"/>
      <c r="V80" s="19"/>
      <c r="W80" s="181"/>
      <c r="X80" s="192"/>
      <c r="Y80" s="192"/>
    </row>
    <row r="81" spans="1:25" ht="16.8">
      <c r="A81" s="2">
        <f>IF(ISBLANK(F81),"",SUBTOTAL(3,F$14:$G81))</f>
        <v>111</v>
      </c>
      <c r="B81" s="98">
        <v>62</v>
      </c>
      <c r="C81" s="106" t="s">
        <v>1972</v>
      </c>
      <c r="D81" s="107">
        <v>4</v>
      </c>
      <c r="E81" s="100" t="s">
        <v>1788</v>
      </c>
      <c r="F81" s="107" t="s">
        <v>1788</v>
      </c>
      <c r="G81" s="108">
        <v>25</v>
      </c>
      <c r="H81" s="139" t="str">
        <f t="shared" si="11"/>
        <v/>
      </c>
      <c r="I81" s="102">
        <f t="shared" si="12"/>
        <v>0.2730031048436421</v>
      </c>
      <c r="J81" s="103" t="str">
        <f t="shared" si="13"/>
        <v/>
      </c>
      <c r="K81" s="152">
        <v>0.78</v>
      </c>
      <c r="L81" s="104">
        <f t="shared" si="14"/>
        <v>32.051282051282051</v>
      </c>
      <c r="M81" s="165"/>
      <c r="N81" s="105"/>
      <c r="O81" s="100"/>
      <c r="P81" s="172">
        <f t="shared" si="15"/>
        <v>8.2728213588982441E-3</v>
      </c>
      <c r="S81" s="155"/>
      <c r="T81" s="18"/>
      <c r="U81" s="19"/>
      <c r="V81" s="19"/>
      <c r="W81" s="181"/>
      <c r="X81" s="192"/>
      <c r="Y81" s="192"/>
    </row>
    <row r="82" spans="1:25" ht="16.8">
      <c r="A82" s="2" t="str">
        <f>IF(ISBLANK(F82),"",SUBTOTAL(3,F$14:$G82))</f>
        <v/>
      </c>
      <c r="B82" s="98" t="s">
        <v>1892</v>
      </c>
      <c r="C82" s="170" t="s">
        <v>1973</v>
      </c>
      <c r="D82" s="107"/>
      <c r="E82" s="100"/>
      <c r="F82" s="107"/>
      <c r="G82" s="108"/>
      <c r="H82" s="139" t="str">
        <f t="shared" si="11"/>
        <v/>
      </c>
      <c r="I82" s="102" t="str">
        <f t="shared" si="12"/>
        <v/>
      </c>
      <c r="J82" s="103" t="str">
        <f t="shared" si="13"/>
        <v/>
      </c>
      <c r="K82" s="152" t="s">
        <v>1892</v>
      </c>
      <c r="L82" s="104" t="str">
        <f t="shared" si="14"/>
        <v/>
      </c>
      <c r="M82" s="165"/>
      <c r="N82" s="105"/>
      <c r="O82" s="100"/>
      <c r="P82" s="172" t="str">
        <f t="shared" si="15"/>
        <v/>
      </c>
      <c r="S82" s="155"/>
      <c r="T82" s="18"/>
      <c r="U82" s="19"/>
      <c r="V82" s="19"/>
      <c r="W82" s="181"/>
      <c r="X82" s="192"/>
      <c r="Y82" s="192"/>
    </row>
    <row r="83" spans="1:25" ht="16.8">
      <c r="A83" s="2">
        <f>IF(ISBLANK(F83),"",SUBTOTAL(3,F$14:$G83))</f>
        <v>113</v>
      </c>
      <c r="B83" s="98">
        <v>63</v>
      </c>
      <c r="C83" s="106" t="s">
        <v>1974</v>
      </c>
      <c r="D83" s="107">
        <v>4</v>
      </c>
      <c r="E83" s="100" t="s">
        <v>1975</v>
      </c>
      <c r="F83" s="107" t="s">
        <v>32</v>
      </c>
      <c r="G83" s="108">
        <v>10</v>
      </c>
      <c r="H83" s="139" t="str">
        <f t="shared" si="11"/>
        <v/>
      </c>
      <c r="I83" s="102">
        <f t="shared" si="12"/>
        <v>0.10920124193745682</v>
      </c>
      <c r="J83" s="103" t="str">
        <f t="shared" si="13"/>
        <v/>
      </c>
      <c r="K83" s="152">
        <v>0.78</v>
      </c>
      <c r="L83" s="104">
        <f t="shared" si="14"/>
        <v>12.820512820512819</v>
      </c>
      <c r="M83" s="165"/>
      <c r="N83" s="105"/>
      <c r="O83" s="100"/>
      <c r="P83" s="172">
        <f t="shared" si="15"/>
        <v>3.3091285435592976E-3</v>
      </c>
      <c r="S83" s="155"/>
      <c r="T83" s="18"/>
      <c r="U83" s="19"/>
      <c r="V83" s="19"/>
      <c r="W83" s="181"/>
      <c r="X83" s="192"/>
      <c r="Y83" s="192"/>
    </row>
    <row r="84" spans="1:25" ht="16.8">
      <c r="A84" s="2">
        <f>IF(ISBLANK(F84),"",SUBTOTAL(3,F$14:$G84))</f>
        <v>115</v>
      </c>
      <c r="B84" s="98">
        <v>64</v>
      </c>
      <c r="C84" s="106" t="s">
        <v>1976</v>
      </c>
      <c r="D84" s="107">
        <v>1</v>
      </c>
      <c r="E84" s="100" t="s">
        <v>1777</v>
      </c>
      <c r="F84" s="144" t="s">
        <v>1777</v>
      </c>
      <c r="G84" s="108">
        <v>7</v>
      </c>
      <c r="H84" s="139" t="str">
        <f t="shared" si="11"/>
        <v/>
      </c>
      <c r="I84" s="102">
        <f t="shared" si="12"/>
        <v>6.2761976945106768E-2</v>
      </c>
      <c r="J84" s="103" t="str">
        <f t="shared" si="13"/>
        <v/>
      </c>
      <c r="K84" s="152">
        <v>0.95</v>
      </c>
      <c r="L84" s="104">
        <f t="shared" si="14"/>
        <v>7.3684210526315796</v>
      </c>
      <c r="M84" s="165" t="s">
        <v>2085</v>
      </c>
      <c r="N84" s="105"/>
      <c r="O84" s="100"/>
      <c r="P84" s="172">
        <f t="shared" si="15"/>
        <v>1.9018780892456598E-3</v>
      </c>
      <c r="S84" s="155"/>
      <c r="T84" s="18"/>
      <c r="U84" s="19"/>
      <c r="V84" s="19"/>
      <c r="W84" s="181"/>
      <c r="X84" s="192"/>
      <c r="Y84" s="192"/>
    </row>
    <row r="85" spans="1:25" ht="16.8">
      <c r="A85" s="2">
        <f>IF(ISBLANK(F85),"",SUBTOTAL(3,F$14:$G85))</f>
        <v>117</v>
      </c>
      <c r="B85" s="98">
        <v>65</v>
      </c>
      <c r="C85" s="106" t="s">
        <v>1977</v>
      </c>
      <c r="D85" s="107">
        <v>4</v>
      </c>
      <c r="E85" s="100" t="s">
        <v>1958</v>
      </c>
      <c r="F85" s="107" t="s">
        <v>1838</v>
      </c>
      <c r="G85" s="108">
        <v>40</v>
      </c>
      <c r="H85" s="139" t="str">
        <f t="shared" si="11"/>
        <v/>
      </c>
      <c r="I85" s="102">
        <f t="shared" si="12"/>
        <v>0.4368049677498273</v>
      </c>
      <c r="J85" s="103" t="str">
        <f t="shared" si="13"/>
        <v/>
      </c>
      <c r="K85" s="152">
        <v>0.78</v>
      </c>
      <c r="L85" s="104">
        <f t="shared" si="14"/>
        <v>51.282051282051277</v>
      </c>
      <c r="M85" s="165"/>
      <c r="N85" s="105"/>
      <c r="O85" s="100"/>
      <c r="P85" s="172">
        <f t="shared" si="15"/>
        <v>1.323651417423719E-2</v>
      </c>
      <c r="S85" s="155"/>
      <c r="T85" s="18"/>
      <c r="U85" s="19"/>
      <c r="V85" s="19"/>
      <c r="W85" s="181"/>
      <c r="X85" s="192"/>
      <c r="Y85" s="192"/>
    </row>
    <row r="86" spans="1:25" ht="16.8">
      <c r="A86" s="2">
        <f>IF(ISBLANK(F86),"",SUBTOTAL(3,F$14:$G86))</f>
        <v>119</v>
      </c>
      <c r="B86" s="98">
        <v>66</v>
      </c>
      <c r="C86" s="106" t="s">
        <v>1978</v>
      </c>
      <c r="D86" s="107">
        <v>2</v>
      </c>
      <c r="E86" s="100" t="s">
        <v>1777</v>
      </c>
      <c r="F86" s="107" t="s">
        <v>1777</v>
      </c>
      <c r="G86" s="108">
        <v>23</v>
      </c>
      <c r="H86" s="139" t="str">
        <f t="shared" si="11"/>
        <v/>
      </c>
      <c r="I86" s="102">
        <f t="shared" si="12"/>
        <v>0.20621792424820798</v>
      </c>
      <c r="J86" s="103" t="str">
        <f t="shared" si="13"/>
        <v/>
      </c>
      <c r="K86" s="152">
        <v>0.95</v>
      </c>
      <c r="L86" s="104">
        <f t="shared" si="14"/>
        <v>24.210526315789476</v>
      </c>
      <c r="M86" s="165" t="s">
        <v>2085</v>
      </c>
      <c r="N86" s="105"/>
      <c r="O86" s="100"/>
      <c r="P86" s="172">
        <f t="shared" si="15"/>
        <v>6.2490280075214533E-3</v>
      </c>
      <c r="S86" s="155"/>
      <c r="T86" s="18"/>
      <c r="U86" s="19"/>
      <c r="V86" s="19"/>
      <c r="W86" s="181"/>
      <c r="X86" s="192"/>
      <c r="Y86" s="192"/>
    </row>
    <row r="87" spans="1:25" ht="16.8">
      <c r="A87" s="2">
        <f>IF(ISBLANK(F87),"",SUBTOTAL(3,F$14:$G87))</f>
        <v>121</v>
      </c>
      <c r="B87" s="98">
        <v>67</v>
      </c>
      <c r="C87" s="106" t="s">
        <v>1979</v>
      </c>
      <c r="D87" s="107">
        <v>2</v>
      </c>
      <c r="E87" s="100" t="s">
        <v>1777</v>
      </c>
      <c r="F87" s="107" t="s">
        <v>1777</v>
      </c>
      <c r="G87" s="108">
        <v>10</v>
      </c>
      <c r="H87" s="139" t="str">
        <f t="shared" si="11"/>
        <v/>
      </c>
      <c r="I87" s="102">
        <f t="shared" si="12"/>
        <v>8.965996706443824E-2</v>
      </c>
      <c r="J87" s="103" t="str">
        <f t="shared" si="13"/>
        <v/>
      </c>
      <c r="K87" s="152">
        <v>0.95</v>
      </c>
      <c r="L87" s="104">
        <f t="shared" si="14"/>
        <v>10.526315789473685</v>
      </c>
      <c r="M87" s="165" t="s">
        <v>2085</v>
      </c>
      <c r="N87" s="105"/>
      <c r="O87" s="100"/>
      <c r="P87" s="172">
        <f t="shared" si="15"/>
        <v>2.7169686989223711E-3</v>
      </c>
      <c r="S87" s="155"/>
      <c r="T87" s="18"/>
      <c r="U87" s="19"/>
      <c r="V87" s="19"/>
      <c r="W87" s="181"/>
      <c r="X87" s="192"/>
      <c r="Y87" s="192"/>
    </row>
    <row r="88" spans="1:25" ht="16.8">
      <c r="A88" s="2">
        <f>IF(ISBLANK(F88),"",SUBTOTAL(3,F$14:$G88))</f>
        <v>123</v>
      </c>
      <c r="B88" s="98">
        <v>68</v>
      </c>
      <c r="C88" s="106" t="s">
        <v>1980</v>
      </c>
      <c r="D88" s="107">
        <v>3</v>
      </c>
      <c r="E88" s="100" t="s">
        <v>32</v>
      </c>
      <c r="F88" s="107" t="s">
        <v>32</v>
      </c>
      <c r="G88" s="108">
        <v>10</v>
      </c>
      <c r="H88" s="139" t="str">
        <f t="shared" si="11"/>
        <v/>
      </c>
      <c r="I88" s="102">
        <f t="shared" si="12"/>
        <v>0.10920124193745682</v>
      </c>
      <c r="J88" s="103" t="str">
        <f t="shared" si="13"/>
        <v/>
      </c>
      <c r="K88" s="152">
        <v>0.78</v>
      </c>
      <c r="L88" s="104">
        <f t="shared" si="14"/>
        <v>12.820512820512819</v>
      </c>
      <c r="M88" s="165"/>
      <c r="N88" s="105"/>
      <c r="O88" s="100"/>
      <c r="P88" s="172">
        <f t="shared" si="15"/>
        <v>3.3091285435592976E-3</v>
      </c>
      <c r="S88" s="155"/>
      <c r="T88" s="18"/>
      <c r="U88" s="19"/>
      <c r="V88" s="19"/>
      <c r="W88" s="181"/>
      <c r="X88" s="192"/>
      <c r="Y88" s="192"/>
    </row>
    <row r="89" spans="1:25" ht="16.8">
      <c r="A89" s="2">
        <f>IF(ISBLANK(F89),"",SUBTOTAL(3,F$14:$G89))</f>
        <v>125</v>
      </c>
      <c r="B89" s="98">
        <v>69</v>
      </c>
      <c r="C89" s="106" t="s">
        <v>1981</v>
      </c>
      <c r="D89" s="107">
        <v>5</v>
      </c>
      <c r="E89" s="100" t="s">
        <v>32</v>
      </c>
      <c r="F89" s="144" t="s">
        <v>32</v>
      </c>
      <c r="G89" s="108">
        <v>20</v>
      </c>
      <c r="H89" s="139" t="str">
        <f t="shared" si="11"/>
        <v/>
      </c>
      <c r="I89" s="102">
        <f t="shared" si="12"/>
        <v>0.21840248387491365</v>
      </c>
      <c r="J89" s="103" t="str">
        <f t="shared" si="13"/>
        <v/>
      </c>
      <c r="K89" s="152">
        <v>0.78</v>
      </c>
      <c r="L89" s="104">
        <f t="shared" si="14"/>
        <v>25.641025641025639</v>
      </c>
      <c r="M89" s="165" t="s">
        <v>2090</v>
      </c>
      <c r="N89" s="105"/>
      <c r="O89" s="100"/>
      <c r="P89" s="172">
        <f t="shared" si="15"/>
        <v>6.6182570871185951E-3</v>
      </c>
      <c r="S89" s="155"/>
      <c r="T89" s="18"/>
      <c r="U89" s="19"/>
      <c r="V89" s="19"/>
      <c r="W89" s="181"/>
      <c r="X89" s="192"/>
      <c r="Y89" s="192"/>
    </row>
    <row r="90" spans="1:25" ht="16.8">
      <c r="A90" s="2">
        <f>IF(ISBLANK(F90),"",SUBTOTAL(3,F$14:$G90))</f>
        <v>127</v>
      </c>
      <c r="B90" s="98">
        <v>70</v>
      </c>
      <c r="C90" s="106" t="s">
        <v>1982</v>
      </c>
      <c r="D90" s="107">
        <v>4</v>
      </c>
      <c r="E90" s="100" t="s">
        <v>32</v>
      </c>
      <c r="F90" s="107" t="s">
        <v>32</v>
      </c>
      <c r="G90" s="108">
        <v>12</v>
      </c>
      <c r="H90" s="139" t="str">
        <f t="shared" si="11"/>
        <v/>
      </c>
      <c r="I90" s="102">
        <f t="shared" si="12"/>
        <v>0.13104149032494819</v>
      </c>
      <c r="J90" s="103" t="str">
        <f t="shared" si="13"/>
        <v/>
      </c>
      <c r="K90" s="152">
        <v>0.78</v>
      </c>
      <c r="L90" s="104">
        <f t="shared" si="14"/>
        <v>15.384615384615383</v>
      </c>
      <c r="M90" s="165" t="s">
        <v>2090</v>
      </c>
      <c r="N90" s="105"/>
      <c r="O90" s="100"/>
      <c r="P90" s="172">
        <f t="shared" si="15"/>
        <v>3.9709542522711567E-3</v>
      </c>
      <c r="S90" s="155"/>
      <c r="T90" s="18"/>
      <c r="U90" s="19"/>
      <c r="V90" s="19"/>
      <c r="W90" s="181"/>
      <c r="X90" s="192"/>
      <c r="Y90" s="192"/>
    </row>
    <row r="91" spans="1:25" ht="16.8">
      <c r="A91" s="2">
        <f>IF(ISBLANK(F91),"",SUBTOTAL(3,F$14:$G91))</f>
        <v>129</v>
      </c>
      <c r="B91" s="98">
        <v>71</v>
      </c>
      <c r="C91" s="106" t="s">
        <v>1983</v>
      </c>
      <c r="D91" s="107">
        <v>3</v>
      </c>
      <c r="E91" s="100" t="s">
        <v>32</v>
      </c>
      <c r="F91" s="107" t="s">
        <v>32</v>
      </c>
      <c r="G91" s="108">
        <v>10</v>
      </c>
      <c r="H91" s="139" t="str">
        <f t="shared" si="11"/>
        <v/>
      </c>
      <c r="I91" s="102">
        <f t="shared" si="12"/>
        <v>0.10920124193745682</v>
      </c>
      <c r="J91" s="103" t="str">
        <f t="shared" si="13"/>
        <v/>
      </c>
      <c r="K91" s="152">
        <v>0.78</v>
      </c>
      <c r="L91" s="104">
        <f t="shared" si="14"/>
        <v>12.820512820512819</v>
      </c>
      <c r="M91" s="105" t="s">
        <v>2090</v>
      </c>
      <c r="N91" s="105"/>
      <c r="O91" s="100"/>
      <c r="P91" s="172">
        <f t="shared" si="15"/>
        <v>3.3091285435592976E-3</v>
      </c>
      <c r="S91" s="155"/>
      <c r="T91" s="18"/>
      <c r="U91" s="19"/>
      <c r="V91" s="19"/>
      <c r="W91" s="181"/>
      <c r="X91" s="192"/>
      <c r="Y91" s="192"/>
    </row>
    <row r="92" spans="1:25" ht="16.8">
      <c r="A92" s="2">
        <f>IF(ISBLANK(F92),"",SUBTOTAL(3,F$14:$G92))</f>
        <v>131</v>
      </c>
      <c r="B92" s="98">
        <v>72</v>
      </c>
      <c r="C92" s="106" t="s">
        <v>1984</v>
      </c>
      <c r="D92" s="107">
        <v>4</v>
      </c>
      <c r="E92" s="100" t="s">
        <v>32</v>
      </c>
      <c r="F92" s="107" t="s">
        <v>32</v>
      </c>
      <c r="G92" s="108">
        <v>27</v>
      </c>
      <c r="H92" s="139" t="str">
        <f t="shared" si="11"/>
        <v/>
      </c>
      <c r="I92" s="102">
        <f t="shared" si="12"/>
        <v>0.29484335323113342</v>
      </c>
      <c r="J92" s="103" t="str">
        <f t="shared" si="13"/>
        <v/>
      </c>
      <c r="K92" s="152">
        <v>0.78</v>
      </c>
      <c r="L92" s="104">
        <f t="shared" si="14"/>
        <v>34.615384615384613</v>
      </c>
      <c r="M92" s="105" t="s">
        <v>2090</v>
      </c>
      <c r="N92" s="105"/>
      <c r="O92" s="100"/>
      <c r="P92" s="172">
        <f t="shared" si="15"/>
        <v>8.9346470676101037E-3</v>
      </c>
      <c r="S92" s="155"/>
      <c r="T92" s="18"/>
      <c r="U92" s="19"/>
      <c r="V92" s="19"/>
      <c r="W92" s="181"/>
      <c r="X92" s="192"/>
      <c r="Y92" s="192"/>
    </row>
    <row r="93" spans="1:25" ht="16.8">
      <c r="A93" s="2">
        <f>IF(ISBLANK(F93),"",SUBTOTAL(3,F$14:$G93))</f>
        <v>133</v>
      </c>
      <c r="B93" s="98">
        <v>73</v>
      </c>
      <c r="C93" s="106" t="s">
        <v>1985</v>
      </c>
      <c r="D93" s="107">
        <v>3</v>
      </c>
      <c r="E93" s="100" t="s">
        <v>37</v>
      </c>
      <c r="F93" s="107" t="s">
        <v>37</v>
      </c>
      <c r="G93" s="108">
        <v>20</v>
      </c>
      <c r="H93" s="139" t="str">
        <f t="shared" si="11"/>
        <v/>
      </c>
      <c r="I93" s="102">
        <f t="shared" si="12"/>
        <v>0.20041639696756786</v>
      </c>
      <c r="J93" s="103" t="str">
        <f t="shared" si="13"/>
        <v/>
      </c>
      <c r="K93" s="152">
        <v>0.85</v>
      </c>
      <c r="L93" s="104">
        <f t="shared" si="14"/>
        <v>23.529411764705884</v>
      </c>
      <c r="M93" s="105" t="s">
        <v>2076</v>
      </c>
      <c r="N93" s="105"/>
      <c r="O93" s="100"/>
      <c r="P93" s="172">
        <f t="shared" si="15"/>
        <v>6.0732241505323586E-3</v>
      </c>
      <c r="S93" s="155"/>
      <c r="T93" s="18"/>
      <c r="U93" s="19"/>
      <c r="V93" s="19"/>
      <c r="W93" s="181"/>
      <c r="X93" s="192"/>
      <c r="Y93" s="192"/>
    </row>
    <row r="94" spans="1:25" ht="16.8">
      <c r="A94" s="2">
        <f>IF(ISBLANK(F94),"",SUBTOTAL(3,F$14:$G94))</f>
        <v>135</v>
      </c>
      <c r="B94" s="98">
        <v>74</v>
      </c>
      <c r="C94" s="106" t="s">
        <v>1986</v>
      </c>
      <c r="D94" s="107">
        <v>4</v>
      </c>
      <c r="E94" s="100" t="s">
        <v>33</v>
      </c>
      <c r="F94" s="144" t="s">
        <v>33</v>
      </c>
      <c r="G94" s="108">
        <v>18</v>
      </c>
      <c r="H94" s="139" t="str">
        <f t="shared" si="11"/>
        <v/>
      </c>
      <c r="I94" s="102">
        <f t="shared" si="12"/>
        <v>0.18037475727081104</v>
      </c>
      <c r="J94" s="103" t="str">
        <f t="shared" si="13"/>
        <v/>
      </c>
      <c r="K94" s="152">
        <v>0.85</v>
      </c>
      <c r="L94" s="104">
        <f t="shared" si="14"/>
        <v>21.176470588235293</v>
      </c>
      <c r="M94" s="105"/>
      <c r="N94" s="105"/>
      <c r="O94" s="100"/>
      <c r="P94" s="172">
        <f t="shared" si="15"/>
        <v>5.4659017354791225E-3</v>
      </c>
      <c r="S94" s="155"/>
      <c r="T94" s="18"/>
      <c r="U94" s="19"/>
      <c r="V94" s="19"/>
      <c r="W94" s="181"/>
      <c r="X94" s="192"/>
      <c r="Y94" s="192"/>
    </row>
    <row r="95" spans="1:25" ht="16.8">
      <c r="A95" s="2">
        <f>IF(ISBLANK(F95),"",SUBTOTAL(3,F$14:$G95))</f>
        <v>137</v>
      </c>
      <c r="B95" s="98">
        <v>75</v>
      </c>
      <c r="C95" s="106" t="s">
        <v>1987</v>
      </c>
      <c r="D95" s="107">
        <v>4</v>
      </c>
      <c r="E95" s="100" t="s">
        <v>1988</v>
      </c>
      <c r="F95" s="107" t="s">
        <v>1798</v>
      </c>
      <c r="G95" s="108">
        <v>15</v>
      </c>
      <c r="H95" s="139" t="str">
        <f t="shared" si="11"/>
        <v/>
      </c>
      <c r="I95" s="102">
        <f t="shared" si="12"/>
        <v>0.16380186290618523</v>
      </c>
      <c r="J95" s="103" t="str">
        <f t="shared" si="13"/>
        <v/>
      </c>
      <c r="K95" s="152">
        <v>0.78</v>
      </c>
      <c r="L95" s="104">
        <f t="shared" si="14"/>
        <v>19.23076923076923</v>
      </c>
      <c r="M95" s="105"/>
      <c r="N95" s="105"/>
      <c r="O95" s="100"/>
      <c r="P95" s="172">
        <f t="shared" si="15"/>
        <v>4.9636928153389461E-3</v>
      </c>
      <c r="S95" s="155"/>
      <c r="T95" s="18"/>
      <c r="U95" s="19"/>
      <c r="V95" s="19"/>
      <c r="W95" s="181"/>
      <c r="X95" s="192"/>
      <c r="Y95" s="192"/>
    </row>
    <row r="96" spans="1:25" ht="16.8">
      <c r="A96" s="2">
        <f>IF(ISBLANK(F96),"",SUBTOTAL(3,F$14:$G96))</f>
        <v>139</v>
      </c>
      <c r="B96" s="98">
        <v>76</v>
      </c>
      <c r="C96" s="106" t="s">
        <v>1989</v>
      </c>
      <c r="D96" s="107">
        <v>4</v>
      </c>
      <c r="E96" s="100" t="s">
        <v>32</v>
      </c>
      <c r="F96" s="107" t="s">
        <v>32</v>
      </c>
      <c r="G96" s="108">
        <v>25</v>
      </c>
      <c r="H96" s="139" t="str">
        <f t="shared" si="11"/>
        <v/>
      </c>
      <c r="I96" s="102">
        <f t="shared" si="12"/>
        <v>0.2730031048436421</v>
      </c>
      <c r="J96" s="103" t="str">
        <f t="shared" si="13"/>
        <v/>
      </c>
      <c r="K96" s="152">
        <v>0.78</v>
      </c>
      <c r="L96" s="104">
        <f t="shared" si="14"/>
        <v>32.051282051282051</v>
      </c>
      <c r="M96" s="105"/>
      <c r="N96" s="105"/>
      <c r="O96" s="100"/>
      <c r="P96" s="172">
        <f t="shared" si="15"/>
        <v>8.2728213588982441E-3</v>
      </c>
      <c r="S96" s="155"/>
      <c r="T96" s="18"/>
      <c r="U96" s="19"/>
      <c r="V96" s="19"/>
      <c r="W96" s="181"/>
      <c r="X96" s="192"/>
      <c r="Y96" s="192"/>
    </row>
    <row r="97" spans="1:25" ht="16.8">
      <c r="A97" s="2">
        <f>IF(ISBLANK(F97),"",SUBTOTAL(3,F$14:$G97))</f>
        <v>141</v>
      </c>
      <c r="B97" s="98">
        <v>77</v>
      </c>
      <c r="C97" s="106" t="s">
        <v>1990</v>
      </c>
      <c r="D97" s="107">
        <v>4</v>
      </c>
      <c r="E97" s="100" t="s">
        <v>37</v>
      </c>
      <c r="F97" s="107" t="s">
        <v>37</v>
      </c>
      <c r="G97" s="108">
        <v>20</v>
      </c>
      <c r="H97" s="139" t="str">
        <f t="shared" si="11"/>
        <v/>
      </c>
      <c r="I97" s="102">
        <f t="shared" si="12"/>
        <v>0.20041639696756786</v>
      </c>
      <c r="J97" s="103" t="str">
        <f t="shared" si="13"/>
        <v/>
      </c>
      <c r="K97" s="152">
        <v>0.85</v>
      </c>
      <c r="L97" s="104">
        <f t="shared" si="14"/>
        <v>23.529411764705884</v>
      </c>
      <c r="M97" s="105" t="s">
        <v>2077</v>
      </c>
      <c r="N97" s="105"/>
      <c r="O97" s="100"/>
      <c r="P97" s="172">
        <f t="shared" si="15"/>
        <v>6.0732241505323586E-3</v>
      </c>
      <c r="S97" s="155"/>
      <c r="T97" s="18"/>
      <c r="U97" s="19"/>
      <c r="V97" s="19"/>
      <c r="W97" s="181"/>
      <c r="X97" s="192"/>
      <c r="Y97" s="192"/>
    </row>
    <row r="98" spans="1:25" ht="16.8">
      <c r="A98" s="2">
        <f>IF(ISBLANK(F98),"",SUBTOTAL(3,F$14:$G98))</f>
        <v>143</v>
      </c>
      <c r="B98" s="98">
        <v>78</v>
      </c>
      <c r="C98" s="106" t="s">
        <v>1991</v>
      </c>
      <c r="D98" s="107">
        <v>4</v>
      </c>
      <c r="E98" s="100" t="s">
        <v>32</v>
      </c>
      <c r="F98" s="107" t="s">
        <v>32</v>
      </c>
      <c r="G98" s="108">
        <v>18</v>
      </c>
      <c r="H98" s="139" t="str">
        <f t="shared" si="11"/>
        <v/>
      </c>
      <c r="I98" s="102">
        <f t="shared" si="12"/>
        <v>0.1965622354874223</v>
      </c>
      <c r="J98" s="103" t="str">
        <f t="shared" si="13"/>
        <v/>
      </c>
      <c r="K98" s="152">
        <v>0.78</v>
      </c>
      <c r="L98" s="104">
        <f t="shared" si="14"/>
        <v>23.076923076923077</v>
      </c>
      <c r="M98" s="105"/>
      <c r="N98" s="105"/>
      <c r="O98" s="100"/>
      <c r="P98" s="172">
        <f t="shared" si="15"/>
        <v>5.9564313784067364E-3</v>
      </c>
      <c r="S98" s="155"/>
      <c r="T98" s="18"/>
      <c r="U98" s="19"/>
      <c r="V98" s="19"/>
      <c r="W98" s="181"/>
      <c r="X98" s="192"/>
      <c r="Y98" s="192"/>
    </row>
    <row r="99" spans="1:25" ht="16.8">
      <c r="A99" s="2">
        <f>IF(ISBLANK(F99),"",SUBTOTAL(3,F$14:$G99))</f>
        <v>145</v>
      </c>
      <c r="B99" s="98">
        <v>79</v>
      </c>
      <c r="C99" s="106" t="s">
        <v>1992</v>
      </c>
      <c r="D99" s="107">
        <v>2</v>
      </c>
      <c r="E99" s="100" t="s">
        <v>1777</v>
      </c>
      <c r="F99" s="144" t="s">
        <v>1777</v>
      </c>
      <c r="G99" s="108">
        <v>20</v>
      </c>
      <c r="H99" s="139" t="str">
        <f t="shared" si="11"/>
        <v/>
      </c>
      <c r="I99" s="102">
        <f t="shared" si="12"/>
        <v>0.17931993412887648</v>
      </c>
      <c r="J99" s="103" t="str">
        <f t="shared" si="13"/>
        <v/>
      </c>
      <c r="K99" s="152">
        <v>0.95</v>
      </c>
      <c r="L99" s="104">
        <f t="shared" si="14"/>
        <v>21.05263157894737</v>
      </c>
      <c r="M99" s="105" t="s">
        <v>2086</v>
      </c>
      <c r="N99" s="105"/>
      <c r="O99" s="100"/>
      <c r="P99" s="172">
        <f t="shared" si="15"/>
        <v>5.4339373978447422E-3</v>
      </c>
      <c r="S99" s="155"/>
      <c r="T99" s="18"/>
      <c r="U99" s="19"/>
      <c r="V99" s="19"/>
      <c r="W99" s="181"/>
      <c r="X99" s="192"/>
      <c r="Y99" s="192"/>
    </row>
    <row r="100" spans="1:25" ht="16.8">
      <c r="A100" s="2">
        <f>IF(ISBLANK(F100),"",SUBTOTAL(3,F$14:$G100))</f>
        <v>147</v>
      </c>
      <c r="B100" s="98">
        <v>80</v>
      </c>
      <c r="C100" s="106" t="s">
        <v>1993</v>
      </c>
      <c r="D100" s="107">
        <v>5</v>
      </c>
      <c r="E100" s="100" t="s">
        <v>1945</v>
      </c>
      <c r="F100" s="107" t="s">
        <v>1796</v>
      </c>
      <c r="G100" s="108">
        <v>60</v>
      </c>
      <c r="H100" s="139" t="str">
        <f t="shared" si="11"/>
        <v/>
      </c>
      <c r="I100" s="102">
        <f t="shared" si="12"/>
        <v>0.65520745162474092</v>
      </c>
      <c r="J100" s="103" t="str">
        <f t="shared" si="13"/>
        <v/>
      </c>
      <c r="K100" s="152">
        <v>0.78</v>
      </c>
      <c r="L100" s="104">
        <f t="shared" si="14"/>
        <v>76.92307692307692</v>
      </c>
      <c r="M100" s="105" t="s">
        <v>2078</v>
      </c>
      <c r="N100" s="105"/>
      <c r="O100" s="100"/>
      <c r="P100" s="172">
        <f t="shared" si="15"/>
        <v>1.9854771261355784E-2</v>
      </c>
      <c r="S100" s="155"/>
      <c r="T100" s="18"/>
      <c r="U100" s="19"/>
      <c r="V100" s="19"/>
      <c r="W100" s="181"/>
      <c r="X100" s="192"/>
      <c r="Y100" s="192"/>
    </row>
    <row r="101" spans="1:25" ht="16.8">
      <c r="A101" s="2" t="str">
        <f>IF(ISBLANK(F101),"",SUBTOTAL(3,F$14:$G101))</f>
        <v/>
      </c>
      <c r="B101" s="98" t="s">
        <v>1892</v>
      </c>
      <c r="C101" s="170" t="s">
        <v>1994</v>
      </c>
      <c r="D101" s="107"/>
      <c r="E101" s="100"/>
      <c r="F101" s="107"/>
      <c r="G101" s="108"/>
      <c r="H101" s="139" t="str">
        <f t="shared" si="11"/>
        <v/>
      </c>
      <c r="I101" s="102" t="str">
        <f t="shared" si="12"/>
        <v/>
      </c>
      <c r="J101" s="103" t="str">
        <f t="shared" si="13"/>
        <v/>
      </c>
      <c r="K101" s="152" t="s">
        <v>1892</v>
      </c>
      <c r="L101" s="104" t="str">
        <f t="shared" si="14"/>
        <v/>
      </c>
      <c r="M101" s="105"/>
      <c r="N101" s="105"/>
      <c r="O101" s="100"/>
      <c r="P101" s="172" t="str">
        <f t="shared" si="15"/>
        <v/>
      </c>
      <c r="S101" s="155"/>
      <c r="T101" s="18"/>
      <c r="U101" s="19"/>
      <c r="V101" s="19"/>
      <c r="W101" s="181"/>
      <c r="X101" s="192"/>
      <c r="Y101" s="192"/>
    </row>
    <row r="102" spans="1:25" ht="16.8">
      <c r="A102" s="2">
        <f>IF(ISBLANK(F102),"",SUBTOTAL(3,F$14:$G102))</f>
        <v>149</v>
      </c>
      <c r="B102" s="98">
        <v>81</v>
      </c>
      <c r="C102" s="106" t="s">
        <v>1995</v>
      </c>
      <c r="D102" s="107">
        <v>4</v>
      </c>
      <c r="E102" s="100" t="s">
        <v>32</v>
      </c>
      <c r="F102" s="144" t="s">
        <v>32</v>
      </c>
      <c r="G102" s="108">
        <v>12</v>
      </c>
      <c r="H102" s="139" t="str">
        <f t="shared" si="11"/>
        <v/>
      </c>
      <c r="I102" s="102">
        <f t="shared" si="12"/>
        <v>0.13104149032494819</v>
      </c>
      <c r="J102" s="103" t="str">
        <f t="shared" si="13"/>
        <v/>
      </c>
      <c r="K102" s="152">
        <v>0.78</v>
      </c>
      <c r="L102" s="104">
        <f t="shared" si="14"/>
        <v>15.384615384615383</v>
      </c>
      <c r="M102" s="105"/>
      <c r="N102" s="105"/>
      <c r="O102" s="100"/>
      <c r="P102" s="172">
        <f t="shared" si="15"/>
        <v>3.9709542522711567E-3</v>
      </c>
      <c r="S102" s="155"/>
      <c r="T102" s="18"/>
      <c r="U102" s="19"/>
      <c r="V102" s="19"/>
      <c r="W102" s="181"/>
      <c r="X102" s="192"/>
      <c r="Y102" s="192"/>
    </row>
    <row r="103" spans="1:25" ht="16.8">
      <c r="A103" s="2">
        <f>IF(ISBLANK(F103),"",SUBTOTAL(3,F$14:$G103))</f>
        <v>151</v>
      </c>
      <c r="B103" s="98">
        <v>82</v>
      </c>
      <c r="C103" s="106" t="s">
        <v>1996</v>
      </c>
      <c r="D103" s="107">
        <v>3</v>
      </c>
      <c r="E103" s="100" t="s">
        <v>37</v>
      </c>
      <c r="F103" s="107" t="s">
        <v>37</v>
      </c>
      <c r="G103" s="108">
        <v>8</v>
      </c>
      <c r="H103" s="139" t="str">
        <f t="shared" si="11"/>
        <v/>
      </c>
      <c r="I103" s="102">
        <f t="shared" si="12"/>
        <v>8.0166558787027137E-2</v>
      </c>
      <c r="J103" s="103" t="str">
        <f t="shared" si="13"/>
        <v/>
      </c>
      <c r="K103" s="152">
        <v>0.85</v>
      </c>
      <c r="L103" s="104">
        <f t="shared" si="14"/>
        <v>9.4117647058823533</v>
      </c>
      <c r="M103" s="105" t="s">
        <v>2077</v>
      </c>
      <c r="N103" s="105"/>
      <c r="O103" s="100"/>
      <c r="P103" s="172">
        <f t="shared" si="15"/>
        <v>2.4292896602129436E-3</v>
      </c>
      <c r="S103" s="155"/>
      <c r="T103" s="18"/>
      <c r="U103" s="19"/>
      <c r="V103" s="19"/>
      <c r="W103" s="181"/>
      <c r="X103" s="192"/>
      <c r="Y103" s="192"/>
    </row>
    <row r="104" spans="1:25" ht="16.8">
      <c r="A104" s="2">
        <f>IF(ISBLANK(F104),"",SUBTOTAL(3,F$14:$G104))</f>
        <v>153</v>
      </c>
      <c r="B104" s="98">
        <v>83</v>
      </c>
      <c r="C104" s="106" t="s">
        <v>1997</v>
      </c>
      <c r="D104" s="107">
        <v>3</v>
      </c>
      <c r="E104" s="100" t="s">
        <v>37</v>
      </c>
      <c r="F104" s="107" t="s">
        <v>37</v>
      </c>
      <c r="G104" s="108">
        <v>12</v>
      </c>
      <c r="H104" s="139" t="str">
        <f t="shared" si="11"/>
        <v/>
      </c>
      <c r="I104" s="102">
        <f t="shared" si="12"/>
        <v>0.12024983818054069</v>
      </c>
      <c r="J104" s="103" t="str">
        <f t="shared" si="13"/>
        <v/>
      </c>
      <c r="K104" s="152">
        <v>0.85</v>
      </c>
      <c r="L104" s="104">
        <f t="shared" si="14"/>
        <v>14.117647058823529</v>
      </c>
      <c r="M104" s="105" t="s">
        <v>2077</v>
      </c>
      <c r="N104" s="105"/>
      <c r="O104" s="100"/>
      <c r="P104" s="172">
        <f t="shared" si="15"/>
        <v>3.643934490319415E-3</v>
      </c>
      <c r="S104" s="155"/>
      <c r="T104" s="18"/>
      <c r="U104" s="19"/>
      <c r="V104" s="19"/>
      <c r="W104" s="181"/>
      <c r="X104" s="192"/>
      <c r="Y104" s="192"/>
    </row>
    <row r="105" spans="1:25" ht="16.8">
      <c r="A105" s="2">
        <f>IF(ISBLANK(F105),"",SUBTOTAL(3,F$14:$G105))</f>
        <v>155</v>
      </c>
      <c r="B105" s="98">
        <v>84</v>
      </c>
      <c r="C105" s="106" t="s">
        <v>1998</v>
      </c>
      <c r="D105" s="107">
        <v>3</v>
      </c>
      <c r="E105" s="100" t="s">
        <v>37</v>
      </c>
      <c r="F105" s="107" t="s">
        <v>37</v>
      </c>
      <c r="G105" s="108">
        <v>22</v>
      </c>
      <c r="H105" s="139" t="str">
        <f t="shared" si="11"/>
        <v/>
      </c>
      <c r="I105" s="102">
        <f t="shared" si="12"/>
        <v>0.22045803666432462</v>
      </c>
      <c r="J105" s="103" t="str">
        <f t="shared" si="13"/>
        <v/>
      </c>
      <c r="K105" s="152">
        <v>0.85</v>
      </c>
      <c r="L105" s="104">
        <f t="shared" si="14"/>
        <v>25.882352941176471</v>
      </c>
      <c r="M105" s="105" t="s">
        <v>2077</v>
      </c>
      <c r="N105" s="105"/>
      <c r="O105" s="100"/>
      <c r="P105" s="172">
        <f t="shared" si="15"/>
        <v>6.6805465655855939E-3</v>
      </c>
      <c r="S105" s="155"/>
      <c r="T105" s="18"/>
      <c r="U105" s="19"/>
      <c r="V105" s="19"/>
      <c r="W105" s="181"/>
      <c r="X105" s="192"/>
      <c r="Y105" s="192"/>
    </row>
    <row r="106" spans="1:25" ht="16.8">
      <c r="A106" s="2">
        <f>IF(ISBLANK(F106),"",SUBTOTAL(3,F$14:$G106))</f>
        <v>157</v>
      </c>
      <c r="B106" s="98">
        <v>85</v>
      </c>
      <c r="C106" s="106" t="s">
        <v>1999</v>
      </c>
      <c r="D106" s="107">
        <v>4</v>
      </c>
      <c r="E106" s="100" t="s">
        <v>32</v>
      </c>
      <c r="F106" s="107" t="s">
        <v>32</v>
      </c>
      <c r="G106" s="108">
        <v>12</v>
      </c>
      <c r="H106" s="139" t="str">
        <f t="shared" si="11"/>
        <v/>
      </c>
      <c r="I106" s="102">
        <f t="shared" si="12"/>
        <v>0.13104149032494819</v>
      </c>
      <c r="J106" s="103" t="str">
        <f t="shared" si="13"/>
        <v/>
      </c>
      <c r="K106" s="152">
        <v>0.78</v>
      </c>
      <c r="L106" s="104">
        <f t="shared" si="14"/>
        <v>15.384615384615383</v>
      </c>
      <c r="M106" s="105" t="s">
        <v>2089</v>
      </c>
      <c r="N106" s="105"/>
      <c r="O106" s="100"/>
      <c r="P106" s="172">
        <f t="shared" si="15"/>
        <v>3.9709542522711567E-3</v>
      </c>
      <c r="S106" s="155"/>
      <c r="T106" s="18"/>
      <c r="U106" s="19"/>
      <c r="V106" s="19"/>
      <c r="W106" s="181"/>
      <c r="X106" s="192"/>
      <c r="Y106" s="192"/>
    </row>
    <row r="107" spans="1:25" ht="16.8">
      <c r="A107" s="2">
        <f>IF(ISBLANK(F107),"",SUBTOTAL(3,F$14:$G107))</f>
        <v>159</v>
      </c>
      <c r="B107" s="98">
        <v>86</v>
      </c>
      <c r="C107" s="106" t="s">
        <v>2000</v>
      </c>
      <c r="D107" s="107">
        <v>5</v>
      </c>
      <c r="E107" s="100" t="s">
        <v>32</v>
      </c>
      <c r="F107" s="144" t="s">
        <v>32</v>
      </c>
      <c r="G107" s="108">
        <v>25</v>
      </c>
      <c r="H107" s="139" t="str">
        <f t="shared" si="11"/>
        <v/>
      </c>
      <c r="I107" s="102">
        <f t="shared" si="12"/>
        <v>0.2730031048436421</v>
      </c>
      <c r="J107" s="103" t="str">
        <f t="shared" si="13"/>
        <v/>
      </c>
      <c r="K107" s="152">
        <v>0.78</v>
      </c>
      <c r="L107" s="104">
        <f t="shared" si="14"/>
        <v>32.051282051282051</v>
      </c>
      <c r="M107" s="105" t="s">
        <v>2089</v>
      </c>
      <c r="N107" s="105"/>
      <c r="O107" s="100"/>
      <c r="P107" s="172">
        <f t="shared" si="15"/>
        <v>8.2728213588982441E-3</v>
      </c>
      <c r="S107" s="155"/>
      <c r="T107" s="18"/>
      <c r="U107" s="19"/>
      <c r="V107" s="19"/>
      <c r="W107" s="181"/>
      <c r="X107" s="192"/>
      <c r="Y107" s="192"/>
    </row>
    <row r="108" spans="1:25" ht="16.8">
      <c r="A108" s="2">
        <f>IF(ISBLANK(F108),"",SUBTOTAL(3,F$14:$G108))</f>
        <v>161</v>
      </c>
      <c r="B108" s="98">
        <v>87</v>
      </c>
      <c r="C108" s="106" t="s">
        <v>2001</v>
      </c>
      <c r="D108" s="107">
        <v>5</v>
      </c>
      <c r="E108" s="100" t="s">
        <v>32</v>
      </c>
      <c r="F108" s="107" t="s">
        <v>32</v>
      </c>
      <c r="G108" s="108">
        <v>18</v>
      </c>
      <c r="H108" s="139" t="str">
        <f t="shared" si="11"/>
        <v/>
      </c>
      <c r="I108" s="102">
        <f t="shared" si="12"/>
        <v>0.1965622354874223</v>
      </c>
      <c r="J108" s="103" t="str">
        <f t="shared" si="13"/>
        <v/>
      </c>
      <c r="K108" s="152">
        <v>0.78</v>
      </c>
      <c r="L108" s="104">
        <f t="shared" si="14"/>
        <v>23.076923076923077</v>
      </c>
      <c r="M108" s="105" t="s">
        <v>2089</v>
      </c>
      <c r="N108" s="105"/>
      <c r="O108" s="100"/>
      <c r="P108" s="172">
        <f t="shared" si="15"/>
        <v>5.9564313784067364E-3</v>
      </c>
      <c r="S108" s="155"/>
      <c r="T108" s="18"/>
      <c r="U108" s="19"/>
      <c r="V108" s="19"/>
      <c r="W108" s="181"/>
      <c r="X108" s="192"/>
      <c r="Y108" s="192"/>
    </row>
    <row r="109" spans="1:25" ht="16.8">
      <c r="A109" s="2">
        <f>IF(ISBLANK(F109),"",SUBTOTAL(3,F$14:$G109))</f>
        <v>163</v>
      </c>
      <c r="B109" s="98">
        <v>88</v>
      </c>
      <c r="C109" s="106" t="s">
        <v>2002</v>
      </c>
      <c r="D109" s="107">
        <v>5</v>
      </c>
      <c r="E109" s="100" t="s">
        <v>32</v>
      </c>
      <c r="F109" s="107" t="s">
        <v>32</v>
      </c>
      <c r="G109" s="108">
        <v>33</v>
      </c>
      <c r="H109" s="139" t="str">
        <f t="shared" si="11"/>
        <v/>
      </c>
      <c r="I109" s="102">
        <f t="shared" si="12"/>
        <v>0.36036409839360756</v>
      </c>
      <c r="J109" s="103" t="str">
        <f t="shared" si="13"/>
        <v/>
      </c>
      <c r="K109" s="152">
        <v>0.78</v>
      </c>
      <c r="L109" s="104">
        <f t="shared" si="14"/>
        <v>42.307692307692307</v>
      </c>
      <c r="M109" s="105" t="s">
        <v>2089</v>
      </c>
      <c r="N109" s="105"/>
      <c r="O109" s="100"/>
      <c r="P109" s="172">
        <f t="shared" si="15"/>
        <v>1.0920124193745682E-2</v>
      </c>
      <c r="S109" s="155"/>
      <c r="T109" s="18"/>
      <c r="U109" s="19"/>
      <c r="V109" s="19"/>
      <c r="W109" s="181"/>
      <c r="X109" s="192"/>
      <c r="Y109" s="192"/>
    </row>
    <row r="110" spans="1:25" ht="16.8">
      <c r="A110" s="2">
        <f>IF(ISBLANK(F110),"",SUBTOTAL(3,F$14:$G110))</f>
        <v>165</v>
      </c>
      <c r="B110" s="98">
        <v>89</v>
      </c>
      <c r="C110" s="106" t="s">
        <v>2003</v>
      </c>
      <c r="D110" s="107">
        <v>3</v>
      </c>
      <c r="E110" s="100" t="s">
        <v>32</v>
      </c>
      <c r="F110" s="107" t="s">
        <v>32</v>
      </c>
      <c r="G110" s="108">
        <v>5</v>
      </c>
      <c r="H110" s="139" t="str">
        <f t="shared" si="11"/>
        <v/>
      </c>
      <c r="I110" s="102">
        <f t="shared" si="12"/>
        <v>5.4600620968728412E-2</v>
      </c>
      <c r="J110" s="103" t="str">
        <f t="shared" si="13"/>
        <v/>
      </c>
      <c r="K110" s="152">
        <v>0.78</v>
      </c>
      <c r="L110" s="104">
        <f t="shared" si="14"/>
        <v>6.4102564102564097</v>
      </c>
      <c r="M110" s="105" t="s">
        <v>2089</v>
      </c>
      <c r="N110" s="105"/>
      <c r="O110" s="100"/>
      <c r="P110" s="172">
        <f t="shared" si="15"/>
        <v>1.6545642717796488E-3</v>
      </c>
      <c r="S110" s="155"/>
      <c r="T110" s="18"/>
      <c r="U110" s="19"/>
      <c r="V110" s="19"/>
      <c r="W110" s="181"/>
      <c r="X110" s="192"/>
      <c r="Y110" s="192"/>
    </row>
    <row r="111" spans="1:25" ht="16.8">
      <c r="A111" s="2">
        <f>IF(ISBLANK(F111),"",SUBTOTAL(3,F$14:$G111))</f>
        <v>167</v>
      </c>
      <c r="B111" s="98">
        <v>90</v>
      </c>
      <c r="C111" s="106" t="s">
        <v>2004</v>
      </c>
      <c r="D111" s="107">
        <v>4</v>
      </c>
      <c r="E111" s="100" t="s">
        <v>32</v>
      </c>
      <c r="F111" s="107" t="s">
        <v>32</v>
      </c>
      <c r="G111" s="108">
        <v>20</v>
      </c>
      <c r="H111" s="139" t="str">
        <f t="shared" si="11"/>
        <v/>
      </c>
      <c r="I111" s="102">
        <f t="shared" si="12"/>
        <v>0.21840248387491365</v>
      </c>
      <c r="J111" s="103" t="str">
        <f t="shared" si="13"/>
        <v/>
      </c>
      <c r="K111" s="152">
        <v>0.78</v>
      </c>
      <c r="L111" s="104">
        <f t="shared" si="14"/>
        <v>25.641025641025639</v>
      </c>
      <c r="M111" s="105" t="s">
        <v>2089</v>
      </c>
      <c r="N111" s="105"/>
      <c r="O111" s="100"/>
      <c r="P111" s="172">
        <f t="shared" si="15"/>
        <v>6.6182570871185951E-3</v>
      </c>
      <c r="S111" s="155"/>
      <c r="T111" s="18"/>
      <c r="U111" s="19"/>
      <c r="V111" s="19"/>
      <c r="W111" s="181"/>
      <c r="X111" s="192"/>
      <c r="Y111" s="192"/>
    </row>
    <row r="112" spans="1:25" ht="16.8">
      <c r="A112" s="2">
        <f>IF(ISBLANK(F112),"",SUBTOTAL(3,F$14:$G112))</f>
        <v>169</v>
      </c>
      <c r="B112" s="98">
        <v>91</v>
      </c>
      <c r="C112" s="106" t="s">
        <v>2005</v>
      </c>
      <c r="D112" s="107">
        <v>3</v>
      </c>
      <c r="E112" s="100" t="s">
        <v>32</v>
      </c>
      <c r="F112" s="107" t="s">
        <v>32</v>
      </c>
      <c r="G112" s="108">
        <v>6</v>
      </c>
      <c r="H112" s="139" t="str">
        <f t="shared" si="11"/>
        <v/>
      </c>
      <c r="I112" s="102">
        <f t="shared" si="12"/>
        <v>6.5520745162474095E-2</v>
      </c>
      <c r="J112" s="103" t="str">
        <f t="shared" si="13"/>
        <v/>
      </c>
      <c r="K112" s="152">
        <v>0.78</v>
      </c>
      <c r="L112" s="104">
        <f t="shared" si="14"/>
        <v>7.6923076923076916</v>
      </c>
      <c r="M112" s="105" t="s">
        <v>2089</v>
      </c>
      <c r="N112" s="105"/>
      <c r="O112" s="100"/>
      <c r="P112" s="172">
        <f t="shared" si="15"/>
        <v>1.9854771261355784E-3</v>
      </c>
      <c r="S112" s="155"/>
      <c r="T112" s="18"/>
      <c r="U112" s="19"/>
      <c r="V112" s="19"/>
      <c r="W112" s="181"/>
      <c r="X112" s="192"/>
      <c r="Y112" s="192"/>
    </row>
    <row r="113" spans="1:25" ht="16.8">
      <c r="A113" s="2">
        <f>IF(ISBLANK(F113),"",SUBTOTAL(3,F$14:$G113))</f>
        <v>171</v>
      </c>
      <c r="B113" s="98">
        <v>92</v>
      </c>
      <c r="C113" s="106" t="s">
        <v>2006</v>
      </c>
      <c r="D113" s="107">
        <v>4</v>
      </c>
      <c r="E113" s="100" t="s">
        <v>2007</v>
      </c>
      <c r="F113" s="107" t="s">
        <v>1837</v>
      </c>
      <c r="G113" s="108">
        <v>32</v>
      </c>
      <c r="H113" s="139" t="str">
        <f t="shared" si="11"/>
        <v/>
      </c>
      <c r="I113" s="102">
        <f t="shared" si="12"/>
        <v>0.34944397419986184</v>
      </c>
      <c r="J113" s="103" t="str">
        <f t="shared" si="13"/>
        <v/>
      </c>
      <c r="K113" s="152">
        <v>0.78</v>
      </c>
      <c r="L113" s="104">
        <f t="shared" si="14"/>
        <v>41.025641025641022</v>
      </c>
      <c r="M113" s="105" t="s">
        <v>2074</v>
      </c>
      <c r="N113" s="105"/>
      <c r="O113" s="100"/>
      <c r="P113" s="172">
        <f t="shared" si="15"/>
        <v>1.0589211339389752E-2</v>
      </c>
      <c r="S113" s="155"/>
      <c r="T113" s="18"/>
      <c r="U113" s="19"/>
      <c r="V113" s="19"/>
      <c r="W113" s="181"/>
      <c r="X113" s="192"/>
      <c r="Y113" s="192"/>
    </row>
    <row r="114" spans="1:25" ht="16.8">
      <c r="A114" s="2">
        <f>IF(ISBLANK(F114),"",SUBTOTAL(3,F$14:$G114))</f>
        <v>173</v>
      </c>
      <c r="B114" s="98">
        <v>93</v>
      </c>
      <c r="C114" s="106" t="s">
        <v>2008</v>
      </c>
      <c r="D114" s="107">
        <v>4</v>
      </c>
      <c r="E114" s="100" t="s">
        <v>1945</v>
      </c>
      <c r="F114" s="107" t="s">
        <v>1796</v>
      </c>
      <c r="G114" s="108">
        <v>15</v>
      </c>
      <c r="H114" s="139" t="str">
        <f t="shared" si="11"/>
        <v/>
      </c>
      <c r="I114" s="102">
        <f t="shared" si="12"/>
        <v>0.16380186290618523</v>
      </c>
      <c r="J114" s="103" t="str">
        <f t="shared" si="13"/>
        <v/>
      </c>
      <c r="K114" s="152">
        <v>0.78</v>
      </c>
      <c r="L114" s="104">
        <f t="shared" si="14"/>
        <v>19.23076923076923</v>
      </c>
      <c r="M114" s="105" t="s">
        <v>2078</v>
      </c>
      <c r="N114" s="105"/>
      <c r="O114" s="100"/>
      <c r="P114" s="172">
        <f t="shared" si="15"/>
        <v>4.9636928153389461E-3</v>
      </c>
      <c r="S114" s="155"/>
      <c r="T114" s="18"/>
      <c r="U114" s="19"/>
      <c r="V114" s="19"/>
      <c r="W114" s="181"/>
      <c r="X114" s="192"/>
      <c r="Y114" s="192"/>
    </row>
    <row r="115" spans="1:25" ht="16.8">
      <c r="A115" s="2" t="str">
        <f>IF(ISBLANK(F115),"",SUBTOTAL(3,F$14:$G115))</f>
        <v/>
      </c>
      <c r="B115" s="98" t="s">
        <v>1892</v>
      </c>
      <c r="C115" s="106" t="s">
        <v>2009</v>
      </c>
      <c r="D115" s="107"/>
      <c r="E115" s="100"/>
      <c r="F115" s="107"/>
      <c r="G115" s="108"/>
      <c r="H115" s="139" t="str">
        <f t="shared" si="11"/>
        <v/>
      </c>
      <c r="I115" s="102" t="str">
        <f t="shared" si="12"/>
        <v/>
      </c>
      <c r="J115" s="103" t="str">
        <f t="shared" si="13"/>
        <v/>
      </c>
      <c r="K115" s="152" t="s">
        <v>1892</v>
      </c>
      <c r="L115" s="104" t="str">
        <f t="shared" si="14"/>
        <v/>
      </c>
      <c r="M115" s="105"/>
      <c r="N115" s="105"/>
      <c r="O115" s="100"/>
      <c r="P115" s="172" t="str">
        <f t="shared" si="15"/>
        <v/>
      </c>
      <c r="S115" s="155"/>
      <c r="T115" s="18"/>
      <c r="U115" s="19"/>
      <c r="V115" s="19"/>
      <c r="W115" s="181"/>
      <c r="X115" s="192"/>
      <c r="Y115" s="192"/>
    </row>
    <row r="116" spans="1:25" ht="16.8">
      <c r="A116" s="2">
        <f>IF(ISBLANK(F116),"",SUBTOTAL(3,F$14:$G116))</f>
        <v>175</v>
      </c>
      <c r="B116" s="98">
        <v>94</v>
      </c>
      <c r="C116" s="106" t="s">
        <v>2010</v>
      </c>
      <c r="D116" s="107">
        <v>2</v>
      </c>
      <c r="E116" s="100" t="s">
        <v>2011</v>
      </c>
      <c r="F116" s="107" t="s">
        <v>1794</v>
      </c>
      <c r="G116" s="108">
        <v>25</v>
      </c>
      <c r="H116" s="139" t="str">
        <f t="shared" si="11"/>
        <v/>
      </c>
      <c r="I116" s="102">
        <f t="shared" si="12"/>
        <v>0.2730031048436421</v>
      </c>
      <c r="J116" s="103" t="str">
        <f t="shared" si="13"/>
        <v/>
      </c>
      <c r="K116" s="152">
        <v>0.78</v>
      </c>
      <c r="L116" s="104">
        <f t="shared" si="14"/>
        <v>32.051282051282051</v>
      </c>
      <c r="M116" s="105"/>
      <c r="N116" s="105"/>
      <c r="O116" s="100"/>
      <c r="P116" s="172">
        <f t="shared" si="15"/>
        <v>8.2728213588982441E-3</v>
      </c>
      <c r="S116" s="155"/>
      <c r="T116" s="18"/>
      <c r="U116" s="19"/>
      <c r="V116" s="19"/>
      <c r="W116" s="181"/>
      <c r="X116" s="192"/>
      <c r="Y116" s="192"/>
    </row>
    <row r="117" spans="1:25" ht="31.2">
      <c r="A117" s="2">
        <f>IF(ISBLANK(F117),"",SUBTOTAL(3,F$14:$G117))</f>
        <v>177</v>
      </c>
      <c r="B117" s="98">
        <v>95</v>
      </c>
      <c r="C117" s="106" t="s">
        <v>2012</v>
      </c>
      <c r="D117" s="107">
        <v>4</v>
      </c>
      <c r="E117" s="100" t="s">
        <v>32</v>
      </c>
      <c r="F117" s="107" t="s">
        <v>32</v>
      </c>
      <c r="G117" s="108">
        <v>22</v>
      </c>
      <c r="H117" s="139" t="str">
        <f t="shared" si="11"/>
        <v/>
      </c>
      <c r="I117" s="102">
        <f t="shared" si="12"/>
        <v>0.24024273226240503</v>
      </c>
      <c r="J117" s="103" t="str">
        <f t="shared" si="13"/>
        <v/>
      </c>
      <c r="K117" s="152">
        <v>0.78</v>
      </c>
      <c r="L117" s="104">
        <f t="shared" si="14"/>
        <v>28.205128205128204</v>
      </c>
      <c r="M117" s="105"/>
      <c r="N117" s="105"/>
      <c r="O117" s="100"/>
      <c r="P117" s="172">
        <f t="shared" si="15"/>
        <v>7.2800827958304547E-3</v>
      </c>
      <c r="S117" s="155"/>
      <c r="T117" s="18"/>
      <c r="U117" s="19"/>
      <c r="V117" s="19"/>
      <c r="W117" s="181"/>
      <c r="X117" s="192"/>
      <c r="Y117" s="192"/>
    </row>
    <row r="118" spans="1:25" ht="16.8">
      <c r="A118" s="2" t="str">
        <f>IF(ISBLANK(F118),"",SUBTOTAL(3,F$14:$G118))</f>
        <v/>
      </c>
      <c r="B118" s="98" t="s">
        <v>1892</v>
      </c>
      <c r="C118" s="170" t="s">
        <v>2013</v>
      </c>
      <c r="D118" s="107"/>
      <c r="E118" s="100"/>
      <c r="F118" s="107"/>
      <c r="G118" s="108"/>
      <c r="H118" s="139" t="str">
        <f t="shared" si="11"/>
        <v/>
      </c>
      <c r="I118" s="102" t="str">
        <f t="shared" si="12"/>
        <v/>
      </c>
      <c r="J118" s="103" t="str">
        <f t="shared" si="13"/>
        <v/>
      </c>
      <c r="K118" s="152" t="s">
        <v>1892</v>
      </c>
      <c r="L118" s="104" t="str">
        <f t="shared" si="14"/>
        <v/>
      </c>
      <c r="M118" s="105"/>
      <c r="N118" s="105"/>
      <c r="O118" s="100"/>
      <c r="P118" s="172" t="str">
        <f t="shared" si="15"/>
        <v/>
      </c>
      <c r="S118" s="155"/>
      <c r="T118" s="18"/>
      <c r="U118" s="19"/>
      <c r="V118" s="19"/>
      <c r="W118" s="181"/>
      <c r="X118" s="192"/>
      <c r="Y118" s="192"/>
    </row>
    <row r="119" spans="1:25" ht="16.8">
      <c r="A119" s="2">
        <f>IF(ISBLANK(F119),"",SUBTOTAL(3,F$14:$G119))</f>
        <v>179</v>
      </c>
      <c r="B119" s="98">
        <v>96</v>
      </c>
      <c r="C119" s="106" t="s">
        <v>2014</v>
      </c>
      <c r="D119" s="107">
        <v>4</v>
      </c>
      <c r="E119" s="100" t="s">
        <v>1975</v>
      </c>
      <c r="F119" s="107" t="s">
        <v>32</v>
      </c>
      <c r="G119" s="108">
        <v>96</v>
      </c>
      <c r="H119" s="139" t="str">
        <f t="shared" si="11"/>
        <v/>
      </c>
      <c r="I119" s="102">
        <f t="shared" si="12"/>
        <v>1.0483319225995855</v>
      </c>
      <c r="J119" s="103" t="str">
        <f t="shared" si="13"/>
        <v/>
      </c>
      <c r="K119" s="152">
        <v>0.78</v>
      </c>
      <c r="L119" s="104">
        <f t="shared" si="14"/>
        <v>123.07692307692307</v>
      </c>
      <c r="M119" s="105"/>
      <c r="N119" s="105"/>
      <c r="O119" s="100"/>
      <c r="P119" s="172">
        <f t="shared" si="15"/>
        <v>3.1767634018169254E-2</v>
      </c>
      <c r="S119" s="155"/>
      <c r="T119" s="18"/>
      <c r="U119" s="19"/>
      <c r="V119" s="19"/>
      <c r="W119" s="181"/>
      <c r="X119" s="192"/>
      <c r="Y119" s="192"/>
    </row>
    <row r="120" spans="1:25" ht="31.2">
      <c r="A120" s="2">
        <f>IF(ISBLANK(F120),"",SUBTOTAL(3,F$14:$G120))</f>
        <v>181</v>
      </c>
      <c r="B120" s="98">
        <v>97</v>
      </c>
      <c r="C120" s="106" t="s">
        <v>2015</v>
      </c>
      <c r="D120" s="107">
        <v>5</v>
      </c>
      <c r="E120" s="100" t="s">
        <v>32</v>
      </c>
      <c r="F120" s="107" t="s">
        <v>32</v>
      </c>
      <c r="G120" s="108">
        <v>160</v>
      </c>
      <c r="H120" s="139" t="str">
        <f t="shared" si="11"/>
        <v/>
      </c>
      <c r="I120" s="102">
        <f t="shared" si="12"/>
        <v>1.7472198709993092</v>
      </c>
      <c r="J120" s="103" t="str">
        <f t="shared" si="13"/>
        <v/>
      </c>
      <c r="K120" s="152">
        <v>0.78</v>
      </c>
      <c r="L120" s="104">
        <f t="shared" si="14"/>
        <v>205.12820512820511</v>
      </c>
      <c r="M120" s="105"/>
      <c r="N120" s="105"/>
      <c r="O120" s="100"/>
      <c r="P120" s="172">
        <f t="shared" si="15"/>
        <v>5.2946056696948761E-2</v>
      </c>
      <c r="S120" s="155"/>
      <c r="T120" s="18"/>
      <c r="U120" s="19"/>
      <c r="V120" s="19"/>
      <c r="W120" s="181"/>
      <c r="X120" s="192"/>
      <c r="Y120" s="192"/>
    </row>
    <row r="121" spans="1:25" ht="16.8">
      <c r="A121" s="2">
        <f>IF(ISBLANK(F121),"",SUBTOTAL(3,F$14:$G121))</f>
        <v>183</v>
      </c>
      <c r="B121" s="98">
        <v>98</v>
      </c>
      <c r="C121" s="106" t="s">
        <v>2016</v>
      </c>
      <c r="D121" s="107">
        <v>3</v>
      </c>
      <c r="E121" s="100" t="s">
        <v>32</v>
      </c>
      <c r="F121" s="107" t="s">
        <v>32</v>
      </c>
      <c r="G121" s="108">
        <v>15</v>
      </c>
      <c r="H121" s="139" t="str">
        <f t="shared" si="11"/>
        <v/>
      </c>
      <c r="I121" s="102">
        <f t="shared" si="12"/>
        <v>0.16380186290618523</v>
      </c>
      <c r="J121" s="103" t="str">
        <f t="shared" si="13"/>
        <v/>
      </c>
      <c r="K121" s="152">
        <v>0.78</v>
      </c>
      <c r="L121" s="104">
        <f t="shared" si="14"/>
        <v>19.23076923076923</v>
      </c>
      <c r="M121" s="105"/>
      <c r="N121" s="105"/>
      <c r="O121" s="100"/>
      <c r="P121" s="172">
        <f t="shared" si="15"/>
        <v>4.9636928153389461E-3</v>
      </c>
      <c r="S121" s="155"/>
      <c r="T121" s="18"/>
      <c r="U121" s="19"/>
      <c r="V121" s="19"/>
      <c r="W121" s="181"/>
      <c r="X121" s="192"/>
      <c r="Y121" s="192"/>
    </row>
    <row r="122" spans="1:25" ht="16.8">
      <c r="A122" s="2">
        <f>IF(ISBLANK(F122),"",SUBTOTAL(3,F$14:$G122))</f>
        <v>185</v>
      </c>
      <c r="B122" s="98">
        <v>99</v>
      </c>
      <c r="C122" s="106" t="s">
        <v>2017</v>
      </c>
      <c r="D122" s="107">
        <v>4</v>
      </c>
      <c r="E122" s="100" t="s">
        <v>32</v>
      </c>
      <c r="F122" s="107" t="s">
        <v>32</v>
      </c>
      <c r="G122" s="108">
        <v>20</v>
      </c>
      <c r="H122" s="139" t="str">
        <f t="shared" si="11"/>
        <v/>
      </c>
      <c r="I122" s="102">
        <f t="shared" si="12"/>
        <v>0.21840248387491365</v>
      </c>
      <c r="J122" s="103" t="str">
        <f t="shared" si="13"/>
        <v/>
      </c>
      <c r="K122" s="152">
        <v>0.78</v>
      </c>
      <c r="L122" s="104">
        <f t="shared" si="14"/>
        <v>25.641025641025639</v>
      </c>
      <c r="M122" s="105"/>
      <c r="N122" s="105"/>
      <c r="O122" s="100"/>
      <c r="P122" s="172">
        <f t="shared" si="15"/>
        <v>6.6182570871185951E-3</v>
      </c>
      <c r="S122" s="155"/>
      <c r="T122" s="18"/>
      <c r="U122" s="19"/>
      <c r="V122" s="19"/>
      <c r="W122" s="181"/>
      <c r="X122" s="192"/>
      <c r="Y122" s="192"/>
    </row>
    <row r="123" spans="1:25" ht="16.8">
      <c r="A123" s="2">
        <f>IF(ISBLANK(F123),"",SUBTOTAL(3,F$14:$G123))</f>
        <v>187</v>
      </c>
      <c r="B123" s="98">
        <v>100</v>
      </c>
      <c r="C123" s="106" t="s">
        <v>2018</v>
      </c>
      <c r="D123" s="107">
        <v>3</v>
      </c>
      <c r="E123" s="100" t="s">
        <v>32</v>
      </c>
      <c r="F123" s="107" t="s">
        <v>32</v>
      </c>
      <c r="G123" s="108">
        <v>12</v>
      </c>
      <c r="H123" s="139" t="str">
        <f t="shared" si="11"/>
        <v/>
      </c>
      <c r="I123" s="102">
        <f t="shared" si="12"/>
        <v>0.13104149032494819</v>
      </c>
      <c r="J123" s="103" t="str">
        <f t="shared" si="13"/>
        <v/>
      </c>
      <c r="K123" s="152">
        <v>0.78</v>
      </c>
      <c r="L123" s="104">
        <f t="shared" si="14"/>
        <v>15.384615384615383</v>
      </c>
      <c r="M123" s="105"/>
      <c r="N123" s="105"/>
      <c r="O123" s="100"/>
      <c r="P123" s="172">
        <f t="shared" si="15"/>
        <v>3.9709542522711567E-3</v>
      </c>
      <c r="S123" s="155"/>
      <c r="T123" s="18"/>
      <c r="U123" s="19"/>
      <c r="V123" s="19"/>
      <c r="W123" s="181"/>
      <c r="X123" s="192"/>
      <c r="Y123" s="192"/>
    </row>
    <row r="124" spans="1:25" ht="16.8">
      <c r="A124" s="2">
        <f>IF(ISBLANK(F124),"",SUBTOTAL(3,F$14:$G124))</f>
        <v>189</v>
      </c>
      <c r="B124" s="98">
        <v>101</v>
      </c>
      <c r="C124" s="106" t="s">
        <v>2019</v>
      </c>
      <c r="D124" s="107">
        <v>4</v>
      </c>
      <c r="E124" s="100" t="s">
        <v>1943</v>
      </c>
      <c r="F124" s="107" t="s">
        <v>37</v>
      </c>
      <c r="G124" s="108">
        <v>60</v>
      </c>
      <c r="H124" s="139" t="str">
        <f t="shared" si="11"/>
        <v/>
      </c>
      <c r="I124" s="102">
        <f t="shared" si="12"/>
        <v>0.65520745162474092</v>
      </c>
      <c r="J124" s="103" t="str">
        <f t="shared" si="13"/>
        <v/>
      </c>
      <c r="K124" s="152">
        <v>0.78</v>
      </c>
      <c r="L124" s="104">
        <f t="shared" si="14"/>
        <v>76.92307692307692</v>
      </c>
      <c r="M124" s="105" t="s">
        <v>2076</v>
      </c>
      <c r="N124" s="105"/>
      <c r="O124" s="100"/>
      <c r="P124" s="172">
        <f t="shared" si="15"/>
        <v>1.9854771261355784E-2</v>
      </c>
      <c r="S124" s="155"/>
      <c r="T124" s="18"/>
      <c r="U124" s="19"/>
      <c r="V124" s="19"/>
      <c r="W124" s="181"/>
      <c r="X124" s="192"/>
      <c r="Y124" s="192"/>
    </row>
    <row r="125" spans="1:25" ht="16.8">
      <c r="A125" s="2">
        <f>IF(ISBLANK(F125),"",SUBTOTAL(3,F$14:$G125))</f>
        <v>191</v>
      </c>
      <c r="B125" s="98">
        <v>102</v>
      </c>
      <c r="C125" s="106" t="s">
        <v>2020</v>
      </c>
      <c r="D125" s="107">
        <v>4</v>
      </c>
      <c r="E125" s="100" t="s">
        <v>32</v>
      </c>
      <c r="F125" s="107" t="s">
        <v>32</v>
      </c>
      <c r="G125" s="108">
        <v>30</v>
      </c>
      <c r="H125" s="139" t="str">
        <f t="shared" si="11"/>
        <v/>
      </c>
      <c r="I125" s="102">
        <f t="shared" si="12"/>
        <v>0.32760372581237046</v>
      </c>
      <c r="J125" s="103" t="str">
        <f t="shared" si="13"/>
        <v/>
      </c>
      <c r="K125" s="152">
        <v>0.78</v>
      </c>
      <c r="L125" s="104">
        <f t="shared" si="14"/>
        <v>38.46153846153846</v>
      </c>
      <c r="M125" s="105"/>
      <c r="N125" s="105"/>
      <c r="O125" s="100"/>
      <c r="P125" s="172">
        <f t="shared" si="15"/>
        <v>9.9273856306778922E-3</v>
      </c>
      <c r="S125" s="155"/>
      <c r="T125" s="18"/>
      <c r="U125" s="19"/>
      <c r="V125" s="19"/>
      <c r="W125" s="181"/>
      <c r="X125" s="192"/>
      <c r="Y125" s="192"/>
    </row>
    <row r="126" spans="1:25" ht="16.8">
      <c r="A126" s="2">
        <f>IF(ISBLANK(F126),"",SUBTOTAL(3,F$14:$G126))</f>
        <v>193</v>
      </c>
      <c r="B126" s="98">
        <v>103</v>
      </c>
      <c r="C126" s="106" t="s">
        <v>2021</v>
      </c>
      <c r="D126" s="107">
        <v>5</v>
      </c>
      <c r="E126" s="100" t="s">
        <v>33</v>
      </c>
      <c r="F126" s="107" t="s">
        <v>33</v>
      </c>
      <c r="G126" s="108">
        <v>85</v>
      </c>
      <c r="H126" s="139" t="str">
        <f t="shared" si="11"/>
        <v/>
      </c>
      <c r="I126" s="102">
        <f t="shared" si="12"/>
        <v>0.92821055646838302</v>
      </c>
      <c r="J126" s="103" t="str">
        <f t="shared" si="13"/>
        <v/>
      </c>
      <c r="K126" s="152">
        <v>0.78</v>
      </c>
      <c r="L126" s="104">
        <f t="shared" si="14"/>
        <v>108.97435897435896</v>
      </c>
      <c r="M126" s="105" t="s">
        <v>2079</v>
      </c>
      <c r="N126" s="105"/>
      <c r="O126" s="100"/>
      <c r="P126" s="172">
        <f t="shared" si="15"/>
        <v>2.8127592620254029E-2</v>
      </c>
      <c r="S126" s="155"/>
      <c r="T126" s="18"/>
      <c r="U126" s="19"/>
      <c r="V126" s="19"/>
      <c r="W126" s="181"/>
      <c r="X126" s="192"/>
      <c r="Y126" s="192"/>
    </row>
    <row r="127" spans="1:25" ht="16.8">
      <c r="A127" s="2">
        <f>IF(ISBLANK(F127),"",SUBTOTAL(3,F$14:$G127))</f>
        <v>195</v>
      </c>
      <c r="B127" s="98">
        <v>104</v>
      </c>
      <c r="C127" s="106" t="s">
        <v>2022</v>
      </c>
      <c r="D127" s="107">
        <v>1</v>
      </c>
      <c r="E127" s="100" t="s">
        <v>1777</v>
      </c>
      <c r="F127" s="107" t="s">
        <v>1777</v>
      </c>
      <c r="G127" s="108">
        <v>10</v>
      </c>
      <c r="H127" s="139" t="str">
        <f t="shared" si="11"/>
        <v/>
      </c>
      <c r="I127" s="102">
        <f t="shared" si="12"/>
        <v>8.965996706443824E-2</v>
      </c>
      <c r="J127" s="103" t="str">
        <f t="shared" si="13"/>
        <v/>
      </c>
      <c r="K127" s="152">
        <v>0.95</v>
      </c>
      <c r="L127" s="104">
        <f t="shared" si="14"/>
        <v>10.526315789473685</v>
      </c>
      <c r="M127" s="105" t="s">
        <v>2086</v>
      </c>
      <c r="N127" s="105"/>
      <c r="O127" s="100"/>
      <c r="P127" s="172">
        <f t="shared" si="15"/>
        <v>2.7169686989223711E-3</v>
      </c>
      <c r="S127" s="155"/>
      <c r="T127" s="18"/>
      <c r="U127" s="19"/>
      <c r="V127" s="19"/>
      <c r="W127" s="181"/>
      <c r="X127" s="192"/>
      <c r="Y127" s="192"/>
    </row>
    <row r="128" spans="1:25" ht="16.8">
      <c r="A128" s="2">
        <f>IF(ISBLANK(F128),"",SUBTOTAL(3,F$14:$G128))</f>
        <v>197</v>
      </c>
      <c r="B128" s="98">
        <v>105</v>
      </c>
      <c r="C128" s="106" t="s">
        <v>2023</v>
      </c>
      <c r="D128" s="107">
        <v>5</v>
      </c>
      <c r="E128" s="100" t="s">
        <v>2024</v>
      </c>
      <c r="F128" s="107" t="s">
        <v>1811</v>
      </c>
      <c r="G128" s="108">
        <v>80</v>
      </c>
      <c r="H128" s="139" t="str">
        <f t="shared" si="11"/>
        <v/>
      </c>
      <c r="I128" s="102">
        <f t="shared" si="12"/>
        <v>0.8736099354996546</v>
      </c>
      <c r="J128" s="103" t="str">
        <f t="shared" si="13"/>
        <v/>
      </c>
      <c r="K128" s="152">
        <v>0.78</v>
      </c>
      <c r="L128" s="104">
        <f t="shared" si="14"/>
        <v>102.56410256410255</v>
      </c>
      <c r="M128" s="105"/>
      <c r="N128" s="105"/>
      <c r="O128" s="100"/>
      <c r="P128" s="172">
        <f t="shared" si="15"/>
        <v>2.647302834847438E-2</v>
      </c>
      <c r="S128" s="155"/>
      <c r="T128" s="18"/>
      <c r="U128" s="19"/>
      <c r="V128" s="19"/>
      <c r="W128" s="181"/>
      <c r="X128" s="192"/>
      <c r="Y128" s="192"/>
    </row>
    <row r="129" spans="1:25" ht="16.8">
      <c r="A129" s="2">
        <f>IF(ISBLANK(F129),"",SUBTOTAL(3,F$14:$G129))</f>
        <v>199</v>
      </c>
      <c r="B129" s="98">
        <v>106</v>
      </c>
      <c r="C129" s="106" t="s">
        <v>2025</v>
      </c>
      <c r="D129" s="107">
        <v>2</v>
      </c>
      <c r="E129" s="100" t="s">
        <v>1777</v>
      </c>
      <c r="F129" s="107" t="s">
        <v>1777</v>
      </c>
      <c r="G129" s="108">
        <v>20</v>
      </c>
      <c r="H129" s="139" t="str">
        <f t="shared" si="11"/>
        <v/>
      </c>
      <c r="I129" s="102">
        <f t="shared" si="12"/>
        <v>0.17931993412887648</v>
      </c>
      <c r="J129" s="103" t="str">
        <f t="shared" si="13"/>
        <v/>
      </c>
      <c r="K129" s="152">
        <v>0.95</v>
      </c>
      <c r="L129" s="104">
        <f t="shared" si="14"/>
        <v>21.05263157894737</v>
      </c>
      <c r="M129" s="105" t="s">
        <v>2086</v>
      </c>
      <c r="N129" s="105"/>
      <c r="O129" s="100"/>
      <c r="P129" s="172">
        <f t="shared" si="15"/>
        <v>5.4339373978447422E-3</v>
      </c>
      <c r="S129" s="155"/>
      <c r="T129" s="18"/>
      <c r="U129" s="19"/>
      <c r="V129" s="19"/>
      <c r="W129" s="181"/>
      <c r="X129" s="192"/>
      <c r="Y129" s="192"/>
    </row>
    <row r="130" spans="1:25" ht="16.8">
      <c r="A130" s="2">
        <f>IF(ISBLANK(F130),"",SUBTOTAL(3,F$14:$G130))</f>
        <v>201</v>
      </c>
      <c r="B130" s="98">
        <v>107</v>
      </c>
      <c r="C130" s="106" t="s">
        <v>2026</v>
      </c>
      <c r="D130" s="107">
        <v>4</v>
      </c>
      <c r="E130" s="100" t="s">
        <v>32</v>
      </c>
      <c r="F130" s="107" t="s">
        <v>32</v>
      </c>
      <c r="G130" s="108">
        <v>30</v>
      </c>
      <c r="H130" s="139" t="str">
        <f t="shared" si="11"/>
        <v/>
      </c>
      <c r="I130" s="102">
        <f t="shared" si="12"/>
        <v>0.32760372581237046</v>
      </c>
      <c r="J130" s="103" t="str">
        <f t="shared" si="13"/>
        <v/>
      </c>
      <c r="K130" s="152">
        <v>0.78</v>
      </c>
      <c r="L130" s="104">
        <f t="shared" si="14"/>
        <v>38.46153846153846</v>
      </c>
      <c r="M130" s="105"/>
      <c r="N130" s="105"/>
      <c r="O130" s="100"/>
      <c r="P130" s="172">
        <f t="shared" si="15"/>
        <v>9.9273856306778922E-3</v>
      </c>
      <c r="S130" s="155"/>
      <c r="T130" s="18"/>
      <c r="U130" s="19"/>
      <c r="V130" s="19"/>
      <c r="W130" s="181"/>
      <c r="X130" s="192"/>
      <c r="Y130" s="192"/>
    </row>
    <row r="131" spans="1:25" ht="16.8">
      <c r="A131" s="2">
        <f>IF(ISBLANK(F131),"",SUBTOTAL(3,F$14:$G131))</f>
        <v>202</v>
      </c>
      <c r="B131" s="98">
        <v>108</v>
      </c>
      <c r="C131" s="106" t="s">
        <v>2027</v>
      </c>
      <c r="D131" s="107">
        <v>2</v>
      </c>
      <c r="E131" s="100" t="s">
        <v>1777</v>
      </c>
      <c r="F131" s="107" t="s">
        <v>1777</v>
      </c>
      <c r="G131" s="108"/>
      <c r="H131" s="139" t="str">
        <f t="shared" si="11"/>
        <v/>
      </c>
      <c r="I131" s="102">
        <f t="shared" si="12"/>
        <v>0</v>
      </c>
      <c r="J131" s="103" t="str">
        <f t="shared" si="13"/>
        <v/>
      </c>
      <c r="K131" s="152">
        <v>0.95</v>
      </c>
      <c r="L131" s="104">
        <f t="shared" si="14"/>
        <v>0</v>
      </c>
      <c r="M131" s="105" t="s">
        <v>2086</v>
      </c>
      <c r="N131" s="105"/>
      <c r="O131" s="100"/>
      <c r="P131" s="172" t="str">
        <f t="shared" si="15"/>
        <v/>
      </c>
      <c r="S131" s="155"/>
      <c r="T131" s="18"/>
      <c r="U131" s="19"/>
      <c r="V131" s="19"/>
      <c r="W131" s="181"/>
      <c r="X131" s="192"/>
      <c r="Y131" s="192"/>
    </row>
    <row r="132" spans="1:25" ht="16.8">
      <c r="A132" s="2">
        <f>IF(ISBLANK(F132),"",SUBTOTAL(3,F$14:$G132))</f>
        <v>204</v>
      </c>
      <c r="B132" s="98">
        <v>109</v>
      </c>
      <c r="C132" s="106" t="s">
        <v>2028</v>
      </c>
      <c r="D132" s="107">
        <v>5</v>
      </c>
      <c r="E132" s="100" t="s">
        <v>32</v>
      </c>
      <c r="F132" s="107" t="s">
        <v>32</v>
      </c>
      <c r="G132" s="108">
        <v>85</v>
      </c>
      <c r="H132" s="139" t="str">
        <f t="shared" si="11"/>
        <v/>
      </c>
      <c r="I132" s="102">
        <f t="shared" si="12"/>
        <v>0.92821055646838302</v>
      </c>
      <c r="J132" s="103" t="str">
        <f t="shared" si="13"/>
        <v/>
      </c>
      <c r="K132" s="152">
        <v>0.78</v>
      </c>
      <c r="L132" s="104">
        <f t="shared" si="14"/>
        <v>108.97435897435896</v>
      </c>
      <c r="M132" s="105"/>
      <c r="N132" s="105"/>
      <c r="O132" s="100"/>
      <c r="P132" s="172">
        <f t="shared" si="15"/>
        <v>2.8127592620254029E-2</v>
      </c>
      <c r="S132" s="155"/>
      <c r="T132" s="18"/>
      <c r="U132" s="19"/>
      <c r="V132" s="19"/>
      <c r="W132" s="181"/>
      <c r="X132" s="192"/>
      <c r="Y132" s="192"/>
    </row>
    <row r="133" spans="1:25" ht="16.8">
      <c r="A133" s="2">
        <f>IF(ISBLANK(F133),"",SUBTOTAL(3,F$14:$G133))</f>
        <v>206</v>
      </c>
      <c r="B133" s="98">
        <v>110</v>
      </c>
      <c r="C133" s="106" t="s">
        <v>2029</v>
      </c>
      <c r="D133" s="107">
        <v>4</v>
      </c>
      <c r="E133" s="100" t="s">
        <v>32</v>
      </c>
      <c r="F133" s="107" t="s">
        <v>32</v>
      </c>
      <c r="G133" s="108">
        <v>20</v>
      </c>
      <c r="H133" s="139" t="str">
        <f t="shared" si="11"/>
        <v/>
      </c>
      <c r="I133" s="102">
        <f t="shared" si="12"/>
        <v>0.21840248387491365</v>
      </c>
      <c r="J133" s="103" t="str">
        <f t="shared" si="13"/>
        <v/>
      </c>
      <c r="K133" s="152">
        <v>0.78</v>
      </c>
      <c r="L133" s="104">
        <f t="shared" si="14"/>
        <v>25.641025641025639</v>
      </c>
      <c r="M133" s="105"/>
      <c r="N133" s="105"/>
      <c r="O133" s="100"/>
      <c r="P133" s="172">
        <f t="shared" si="15"/>
        <v>6.6182570871185951E-3</v>
      </c>
      <c r="S133" s="155"/>
      <c r="T133" s="18"/>
      <c r="U133" s="19"/>
      <c r="V133" s="19"/>
      <c r="W133" s="181"/>
      <c r="X133" s="192"/>
      <c r="Y133" s="192"/>
    </row>
    <row r="134" spans="1:25" ht="16.8">
      <c r="A134" s="2">
        <f>IF(ISBLANK(F134),"",SUBTOTAL(3,F$14:$G134))</f>
        <v>208</v>
      </c>
      <c r="B134" s="98">
        <v>111</v>
      </c>
      <c r="C134" s="106" t="s">
        <v>2030</v>
      </c>
      <c r="D134" s="107">
        <v>4</v>
      </c>
      <c r="E134" s="100" t="s">
        <v>32</v>
      </c>
      <c r="F134" s="107" t="s">
        <v>32</v>
      </c>
      <c r="G134" s="108">
        <v>25</v>
      </c>
      <c r="H134" s="139" t="str">
        <f t="shared" si="11"/>
        <v/>
      </c>
      <c r="I134" s="102">
        <f t="shared" si="12"/>
        <v>0.2730031048436421</v>
      </c>
      <c r="J134" s="103" t="str">
        <f t="shared" si="13"/>
        <v/>
      </c>
      <c r="K134" s="152">
        <v>0.78</v>
      </c>
      <c r="L134" s="104">
        <f t="shared" si="14"/>
        <v>32.051282051282051</v>
      </c>
      <c r="M134" s="105"/>
      <c r="N134" s="105"/>
      <c r="O134" s="100"/>
      <c r="P134" s="172">
        <f t="shared" si="15"/>
        <v>8.2728213588982441E-3</v>
      </c>
      <c r="S134" s="155"/>
      <c r="T134" s="18"/>
      <c r="U134" s="19"/>
      <c r="V134" s="19"/>
      <c r="W134" s="181"/>
      <c r="X134" s="192"/>
      <c r="Y134" s="192"/>
    </row>
    <row r="135" spans="1:25" ht="16.8">
      <c r="A135" s="2">
        <f>IF(ISBLANK(F135),"",SUBTOTAL(3,F$14:$G135))</f>
        <v>210</v>
      </c>
      <c r="B135" s="98">
        <v>112</v>
      </c>
      <c r="C135" s="106" t="s">
        <v>2031</v>
      </c>
      <c r="D135" s="107">
        <v>1</v>
      </c>
      <c r="E135" s="100" t="s">
        <v>1777</v>
      </c>
      <c r="F135" s="107" t="s">
        <v>1777</v>
      </c>
      <c r="G135" s="108">
        <v>10</v>
      </c>
      <c r="H135" s="139" t="str">
        <f t="shared" si="11"/>
        <v/>
      </c>
      <c r="I135" s="102">
        <f t="shared" si="12"/>
        <v>8.965996706443824E-2</v>
      </c>
      <c r="J135" s="103" t="str">
        <f t="shared" si="13"/>
        <v/>
      </c>
      <c r="K135" s="152">
        <v>0.95</v>
      </c>
      <c r="L135" s="104">
        <f t="shared" si="14"/>
        <v>10.526315789473685</v>
      </c>
      <c r="M135" s="105" t="s">
        <v>2086</v>
      </c>
      <c r="N135" s="105"/>
      <c r="O135" s="100"/>
      <c r="P135" s="172">
        <f t="shared" si="15"/>
        <v>2.7169686989223711E-3</v>
      </c>
      <c r="S135" s="155"/>
      <c r="T135" s="18"/>
      <c r="U135" s="19"/>
      <c r="V135" s="19"/>
      <c r="W135" s="181"/>
      <c r="X135" s="192"/>
      <c r="Y135" s="192"/>
    </row>
    <row r="136" spans="1:25" ht="16.8">
      <c r="A136" s="2">
        <f>IF(ISBLANK(F136),"",SUBTOTAL(3,F$14:$G136))</f>
        <v>212</v>
      </c>
      <c r="B136" s="98">
        <v>113</v>
      </c>
      <c r="C136" s="106" t="s">
        <v>2032</v>
      </c>
      <c r="D136" s="107">
        <v>4</v>
      </c>
      <c r="E136" s="100" t="s">
        <v>32</v>
      </c>
      <c r="F136" s="107" t="s">
        <v>32</v>
      </c>
      <c r="G136" s="108">
        <v>25</v>
      </c>
      <c r="H136" s="139" t="str">
        <f t="shared" si="11"/>
        <v/>
      </c>
      <c r="I136" s="102">
        <f t="shared" si="12"/>
        <v>0.2730031048436421</v>
      </c>
      <c r="J136" s="103" t="str">
        <f t="shared" si="13"/>
        <v/>
      </c>
      <c r="K136" s="152">
        <v>0.78</v>
      </c>
      <c r="L136" s="104">
        <f t="shared" si="14"/>
        <v>32.051282051282051</v>
      </c>
      <c r="M136" s="105"/>
      <c r="N136" s="105"/>
      <c r="O136" s="100"/>
      <c r="P136" s="172">
        <f t="shared" si="15"/>
        <v>8.2728213588982441E-3</v>
      </c>
      <c r="S136" s="155"/>
      <c r="T136" s="18"/>
      <c r="U136" s="19"/>
      <c r="V136" s="19"/>
      <c r="W136" s="181"/>
      <c r="X136" s="192"/>
      <c r="Y136" s="192"/>
    </row>
    <row r="137" spans="1:25" ht="16.8">
      <c r="A137" s="2">
        <f>IF(ISBLANK(F137),"",SUBTOTAL(3,F$14:$G137))</f>
        <v>214</v>
      </c>
      <c r="B137" s="98">
        <v>114</v>
      </c>
      <c r="C137" s="106" t="s">
        <v>2033</v>
      </c>
      <c r="D137" s="107">
        <v>4</v>
      </c>
      <c r="E137" s="100" t="s">
        <v>32</v>
      </c>
      <c r="F137" s="107" t="s">
        <v>32</v>
      </c>
      <c r="G137" s="108">
        <v>15</v>
      </c>
      <c r="H137" s="139" t="str">
        <f t="shared" si="11"/>
        <v/>
      </c>
      <c r="I137" s="102">
        <f t="shared" si="12"/>
        <v>0.16380186290618523</v>
      </c>
      <c r="J137" s="103" t="str">
        <f t="shared" si="13"/>
        <v/>
      </c>
      <c r="K137" s="152">
        <v>0.78</v>
      </c>
      <c r="L137" s="104">
        <f t="shared" si="14"/>
        <v>19.23076923076923</v>
      </c>
      <c r="M137" s="105"/>
      <c r="N137" s="105"/>
      <c r="O137" s="100"/>
      <c r="P137" s="172">
        <f t="shared" si="15"/>
        <v>4.9636928153389461E-3</v>
      </c>
      <c r="S137" s="155"/>
      <c r="T137" s="18"/>
      <c r="U137" s="19"/>
      <c r="V137" s="19"/>
      <c r="W137" s="181"/>
      <c r="X137" s="192"/>
      <c r="Y137" s="192"/>
    </row>
    <row r="138" spans="1:25" ht="16.8">
      <c r="A138" s="2">
        <f>IF(ISBLANK(F138),"",SUBTOTAL(3,F$14:$G138))</f>
        <v>216</v>
      </c>
      <c r="B138" s="98">
        <v>115</v>
      </c>
      <c r="C138" s="106" t="s">
        <v>2034</v>
      </c>
      <c r="D138" s="107">
        <v>6</v>
      </c>
      <c r="E138" s="100" t="s">
        <v>32</v>
      </c>
      <c r="F138" s="107" t="s">
        <v>32</v>
      </c>
      <c r="G138" s="108">
        <v>100</v>
      </c>
      <c r="H138" s="139" t="str">
        <f t="shared" si="11"/>
        <v/>
      </c>
      <c r="I138" s="102">
        <f t="shared" si="12"/>
        <v>1.0920124193745684</v>
      </c>
      <c r="J138" s="103" t="str">
        <f t="shared" si="13"/>
        <v/>
      </c>
      <c r="K138" s="152">
        <v>0.78</v>
      </c>
      <c r="L138" s="104">
        <f t="shared" si="14"/>
        <v>128.2051282051282</v>
      </c>
      <c r="M138" s="105"/>
      <c r="N138" s="105"/>
      <c r="O138" s="100"/>
      <c r="P138" s="172">
        <f t="shared" si="15"/>
        <v>3.3091285435592976E-2</v>
      </c>
      <c r="S138" s="155"/>
      <c r="T138" s="18"/>
      <c r="U138" s="19"/>
      <c r="V138" s="19"/>
      <c r="W138" s="181"/>
      <c r="X138" s="192"/>
      <c r="Y138" s="192"/>
    </row>
    <row r="139" spans="1:25" ht="16.8">
      <c r="A139" s="2">
        <f>IF(ISBLANK(F139),"",SUBTOTAL(3,F$14:$G139))</f>
        <v>218</v>
      </c>
      <c r="B139" s="98">
        <v>116</v>
      </c>
      <c r="C139" s="106" t="s">
        <v>2035</v>
      </c>
      <c r="D139" s="107">
        <v>1</v>
      </c>
      <c r="E139" s="100" t="s">
        <v>1777</v>
      </c>
      <c r="F139" s="107" t="s">
        <v>1777</v>
      </c>
      <c r="G139" s="108">
        <v>9</v>
      </c>
      <c r="H139" s="139" t="str">
        <f t="shared" si="11"/>
        <v/>
      </c>
      <c r="I139" s="102">
        <f t="shared" si="12"/>
        <v>8.069397035799443E-2</v>
      </c>
      <c r="J139" s="103" t="str">
        <f t="shared" si="13"/>
        <v/>
      </c>
      <c r="K139" s="152">
        <v>0.95</v>
      </c>
      <c r="L139" s="104">
        <f t="shared" si="14"/>
        <v>9.4736842105263168</v>
      </c>
      <c r="M139" s="105" t="s">
        <v>2086</v>
      </c>
      <c r="N139" s="105"/>
      <c r="O139" s="100"/>
      <c r="P139" s="172">
        <f t="shared" si="15"/>
        <v>2.4452718290301342E-3</v>
      </c>
      <c r="S139" s="155"/>
      <c r="T139" s="18"/>
      <c r="U139" s="19"/>
      <c r="V139" s="19"/>
      <c r="W139" s="181"/>
      <c r="X139" s="192"/>
      <c r="Y139" s="192"/>
    </row>
    <row r="140" spans="1:25" ht="16.8">
      <c r="A140" s="2">
        <f>IF(ISBLANK(F140),"",SUBTOTAL(3,F$14:$G140))</f>
        <v>220</v>
      </c>
      <c r="B140" s="98">
        <v>117</v>
      </c>
      <c r="C140" s="106" t="s">
        <v>2036</v>
      </c>
      <c r="D140" s="107">
        <v>2</v>
      </c>
      <c r="E140" s="100" t="s">
        <v>1777</v>
      </c>
      <c r="F140" s="107" t="s">
        <v>1777</v>
      </c>
      <c r="G140" s="108">
        <v>20</v>
      </c>
      <c r="H140" s="139" t="str">
        <f t="shared" si="11"/>
        <v/>
      </c>
      <c r="I140" s="102">
        <f t="shared" si="12"/>
        <v>0.17931993412887648</v>
      </c>
      <c r="J140" s="103" t="str">
        <f t="shared" si="13"/>
        <v/>
      </c>
      <c r="K140" s="152">
        <v>0.95</v>
      </c>
      <c r="L140" s="104">
        <f t="shared" si="14"/>
        <v>21.05263157894737</v>
      </c>
      <c r="M140" s="105" t="s">
        <v>2086</v>
      </c>
      <c r="N140" s="105"/>
      <c r="O140" s="100"/>
      <c r="P140" s="172">
        <f t="shared" si="15"/>
        <v>5.4339373978447422E-3</v>
      </c>
      <c r="S140" s="155"/>
      <c r="T140" s="18"/>
      <c r="U140" s="19"/>
      <c r="V140" s="19"/>
      <c r="W140" s="181"/>
      <c r="X140" s="192"/>
      <c r="Y140" s="192"/>
    </row>
    <row r="141" spans="1:25" ht="16.8">
      <c r="A141" s="2">
        <f>IF(ISBLANK(F141),"",SUBTOTAL(3,F$14:$G141))</f>
        <v>222</v>
      </c>
      <c r="B141" s="98">
        <v>118</v>
      </c>
      <c r="C141" s="106" t="s">
        <v>2037</v>
      </c>
      <c r="D141" s="107">
        <v>3</v>
      </c>
      <c r="E141" s="100" t="s">
        <v>2038</v>
      </c>
      <c r="F141" s="107" t="s">
        <v>1813</v>
      </c>
      <c r="G141" s="108">
        <v>16</v>
      </c>
      <c r="H141" s="139" t="str">
        <f t="shared" ref="H141:H204" si="16">IFERROR(IF(OR(D141=0,B141=0),"",INDEX($AA$2:$AG$2,MATCH(D141,$AA$1:$AG$1,0))),"")</f>
        <v/>
      </c>
      <c r="I141" s="102">
        <f t="shared" ref="I141:I204" si="17">IFERROR(IF(ISBLANK(D141),"",(IF(K141&gt;0,L141,G141)/NhipSX)),"")</f>
        <v>0.14345594730310118</v>
      </c>
      <c r="J141" s="103" t="str">
        <f t="shared" ref="J141:J204" si="18">IFERROR(IF(OR(D141=0,B141=0),"",INDEX($AA$2:$AG$2,MATCH(D141,$AA$1:$AG$1,0))*IF($J$11="Đơn Giá CBC",L141,G141)),"")</f>
        <v/>
      </c>
      <c r="K141" s="152">
        <v>0.95</v>
      </c>
      <c r="L141" s="104">
        <f t="shared" ref="L141:L204" si="19">IFERROR(IF(ISBLANK(D141),"",IF(ISBLANK(K141),G141,(G141/K141))),"")</f>
        <v>16.842105263157894</v>
      </c>
      <c r="M141" s="105" t="s">
        <v>2080</v>
      </c>
      <c r="N141" s="105"/>
      <c r="O141" s="100"/>
      <c r="P141" s="172">
        <f t="shared" si="15"/>
        <v>4.3471499182757929E-3</v>
      </c>
      <c r="S141" s="155"/>
      <c r="T141" s="18"/>
      <c r="U141" s="19"/>
      <c r="V141" s="19"/>
      <c r="W141" s="181"/>
      <c r="X141" s="192"/>
      <c r="Y141" s="192"/>
    </row>
    <row r="142" spans="1:25" ht="16.8">
      <c r="A142" s="2">
        <f>IF(ISBLANK(F142),"",SUBTOTAL(3,F$14:$G142))</f>
        <v>224</v>
      </c>
      <c r="B142" s="98">
        <v>119</v>
      </c>
      <c r="C142" s="106" t="s">
        <v>2039</v>
      </c>
      <c r="D142" s="107">
        <v>4</v>
      </c>
      <c r="E142" s="100" t="s">
        <v>2040</v>
      </c>
      <c r="F142" s="107" t="s">
        <v>1813</v>
      </c>
      <c r="G142" s="108">
        <v>32</v>
      </c>
      <c r="H142" s="139" t="str">
        <f t="shared" si="16"/>
        <v/>
      </c>
      <c r="I142" s="102">
        <f t="shared" si="17"/>
        <v>0.28691189460620237</v>
      </c>
      <c r="J142" s="103" t="str">
        <f t="shared" si="18"/>
        <v/>
      </c>
      <c r="K142" s="152">
        <v>0.95</v>
      </c>
      <c r="L142" s="104">
        <f t="shared" si="19"/>
        <v>33.684210526315788</v>
      </c>
      <c r="M142" s="105" t="s">
        <v>2080</v>
      </c>
      <c r="N142" s="105"/>
      <c r="O142" s="100"/>
      <c r="P142" s="172">
        <f t="shared" ref="P142:P205" si="20">IFERROR(IF(ISBLANK(G142),"",(L142/$I$4)),"")</f>
        <v>8.6942998365515858E-3</v>
      </c>
      <c r="S142" s="155"/>
      <c r="T142" s="18"/>
      <c r="U142" s="19"/>
      <c r="V142" s="19"/>
      <c r="W142" s="181"/>
      <c r="X142" s="192"/>
      <c r="Y142" s="192"/>
    </row>
    <row r="143" spans="1:25" ht="16.8">
      <c r="A143" s="2">
        <f>IF(ISBLANK(F143),"",SUBTOTAL(3,F$14:$G143))</f>
        <v>226</v>
      </c>
      <c r="B143" s="98">
        <v>120</v>
      </c>
      <c r="C143" s="106" t="s">
        <v>2041</v>
      </c>
      <c r="D143" s="107">
        <v>1</v>
      </c>
      <c r="E143" s="100" t="s">
        <v>1777</v>
      </c>
      <c r="F143" s="107" t="s">
        <v>1777</v>
      </c>
      <c r="G143" s="108">
        <v>12</v>
      </c>
      <c r="H143" s="139" t="str">
        <f t="shared" si="16"/>
        <v/>
      </c>
      <c r="I143" s="102">
        <f t="shared" si="17"/>
        <v>0.10759196047732589</v>
      </c>
      <c r="J143" s="103" t="str">
        <f t="shared" si="18"/>
        <v/>
      </c>
      <c r="K143" s="152">
        <v>0.95</v>
      </c>
      <c r="L143" s="104">
        <f t="shared" si="19"/>
        <v>12.631578947368421</v>
      </c>
      <c r="M143" s="105" t="s">
        <v>2086</v>
      </c>
      <c r="N143" s="105"/>
      <c r="O143" s="100"/>
      <c r="P143" s="172">
        <f t="shared" si="20"/>
        <v>3.2603624387068449E-3</v>
      </c>
      <c r="S143" s="155"/>
      <c r="T143" s="18"/>
      <c r="U143" s="19"/>
      <c r="V143" s="19"/>
      <c r="W143" s="181"/>
      <c r="X143" s="192"/>
      <c r="Y143" s="192"/>
    </row>
    <row r="144" spans="1:25" ht="16.8">
      <c r="A144" s="2">
        <f>IF(ISBLANK(F144),"",SUBTOTAL(3,F$14:$G144))</f>
        <v>228</v>
      </c>
      <c r="B144" s="98">
        <v>121</v>
      </c>
      <c r="C144" s="106" t="s">
        <v>2042</v>
      </c>
      <c r="D144" s="107">
        <v>3</v>
      </c>
      <c r="E144" s="100" t="s">
        <v>32</v>
      </c>
      <c r="F144" s="107" t="s">
        <v>32</v>
      </c>
      <c r="G144" s="108">
        <v>8</v>
      </c>
      <c r="H144" s="139" t="str">
        <f t="shared" si="16"/>
        <v/>
      </c>
      <c r="I144" s="102">
        <f t="shared" si="17"/>
        <v>8.736099354996546E-2</v>
      </c>
      <c r="J144" s="103" t="str">
        <f t="shared" si="18"/>
        <v/>
      </c>
      <c r="K144" s="152">
        <v>0.78</v>
      </c>
      <c r="L144" s="104">
        <f t="shared" si="19"/>
        <v>10.256410256410255</v>
      </c>
      <c r="M144" s="105"/>
      <c r="N144" s="105"/>
      <c r="O144" s="100"/>
      <c r="P144" s="172">
        <f t="shared" si="20"/>
        <v>2.647302834847438E-3</v>
      </c>
      <c r="S144" s="155"/>
      <c r="T144" s="18"/>
      <c r="U144" s="19"/>
      <c r="V144" s="19"/>
      <c r="W144" s="181"/>
      <c r="X144" s="192"/>
      <c r="Y144" s="192"/>
    </row>
    <row r="145" spans="1:25" ht="16.8">
      <c r="A145" s="2">
        <f>IF(ISBLANK(F145),"",SUBTOTAL(3,F$14:$G145))</f>
        <v>230</v>
      </c>
      <c r="B145" s="98">
        <v>122</v>
      </c>
      <c r="C145" s="106" t="s">
        <v>2043</v>
      </c>
      <c r="D145" s="107">
        <v>3</v>
      </c>
      <c r="E145" s="100" t="s">
        <v>32</v>
      </c>
      <c r="F145" s="107" t="s">
        <v>32</v>
      </c>
      <c r="G145" s="108">
        <v>10</v>
      </c>
      <c r="H145" s="139" t="str">
        <f t="shared" si="16"/>
        <v/>
      </c>
      <c r="I145" s="102">
        <f t="shared" si="17"/>
        <v>0.10920124193745682</v>
      </c>
      <c r="J145" s="103" t="str">
        <f t="shared" si="18"/>
        <v/>
      </c>
      <c r="K145" s="152">
        <v>0.78</v>
      </c>
      <c r="L145" s="104">
        <f t="shared" si="19"/>
        <v>12.820512820512819</v>
      </c>
      <c r="M145" s="105"/>
      <c r="N145" s="105"/>
      <c r="O145" s="100"/>
      <c r="P145" s="172">
        <f t="shared" si="20"/>
        <v>3.3091285435592976E-3</v>
      </c>
      <c r="S145" s="155"/>
      <c r="T145" s="18"/>
      <c r="U145" s="19"/>
      <c r="V145" s="19"/>
      <c r="W145" s="181"/>
      <c r="X145" s="192"/>
      <c r="Y145" s="192"/>
    </row>
    <row r="146" spans="1:25" ht="16.8">
      <c r="A146" s="2">
        <f>IF(ISBLANK(F146),"",SUBTOTAL(3,F$14:$G146))</f>
        <v>232</v>
      </c>
      <c r="B146" s="98">
        <v>123</v>
      </c>
      <c r="C146" s="106" t="s">
        <v>2044</v>
      </c>
      <c r="D146" s="107">
        <v>5</v>
      </c>
      <c r="E146" s="100" t="s">
        <v>1796</v>
      </c>
      <c r="F146" s="107" t="s">
        <v>1796</v>
      </c>
      <c r="G146" s="108">
        <v>90</v>
      </c>
      <c r="H146" s="139" t="str">
        <f t="shared" si="16"/>
        <v/>
      </c>
      <c r="I146" s="102">
        <f t="shared" si="17"/>
        <v>0.98281117743711155</v>
      </c>
      <c r="J146" s="103" t="str">
        <f t="shared" si="18"/>
        <v/>
      </c>
      <c r="K146" s="152">
        <v>0.78</v>
      </c>
      <c r="L146" s="104">
        <f t="shared" si="19"/>
        <v>115.38461538461539</v>
      </c>
      <c r="M146" s="105" t="s">
        <v>2081</v>
      </c>
      <c r="N146" s="105"/>
      <c r="O146" s="100"/>
      <c r="P146" s="172">
        <f t="shared" si="20"/>
        <v>2.978215689203368E-2</v>
      </c>
      <c r="S146" s="155"/>
      <c r="T146" s="18"/>
      <c r="U146" s="19"/>
      <c r="V146" s="19"/>
      <c r="W146" s="181"/>
      <c r="X146" s="192"/>
      <c r="Y146" s="192"/>
    </row>
    <row r="147" spans="1:25" ht="16.8">
      <c r="A147" s="2">
        <f>IF(ISBLANK(F147),"",SUBTOTAL(3,F$14:$G147))</f>
        <v>234</v>
      </c>
      <c r="B147" s="98">
        <v>124</v>
      </c>
      <c r="C147" s="106" t="s">
        <v>2045</v>
      </c>
      <c r="D147" s="107">
        <v>2</v>
      </c>
      <c r="E147" s="100" t="s">
        <v>1777</v>
      </c>
      <c r="F147" s="107" t="s">
        <v>1777</v>
      </c>
      <c r="G147" s="108">
        <v>15</v>
      </c>
      <c r="H147" s="139" t="str">
        <f t="shared" si="16"/>
        <v/>
      </c>
      <c r="I147" s="102">
        <f t="shared" si="17"/>
        <v>0.13448995059665736</v>
      </c>
      <c r="J147" s="103" t="str">
        <f t="shared" si="18"/>
        <v/>
      </c>
      <c r="K147" s="152">
        <v>0.95</v>
      </c>
      <c r="L147" s="104">
        <f t="shared" si="19"/>
        <v>15.789473684210527</v>
      </c>
      <c r="M147" s="105" t="s">
        <v>2086</v>
      </c>
      <c r="N147" s="105"/>
      <c r="O147" s="100"/>
      <c r="P147" s="172">
        <f t="shared" si="20"/>
        <v>4.0754530483835564E-3</v>
      </c>
      <c r="S147" s="155"/>
      <c r="T147" s="18"/>
      <c r="U147" s="19"/>
      <c r="V147" s="19"/>
      <c r="W147" s="181"/>
      <c r="X147" s="192"/>
      <c r="Y147" s="192"/>
    </row>
    <row r="148" spans="1:25" ht="16.8">
      <c r="A148" s="2">
        <f>IF(ISBLANK(F148),"",SUBTOTAL(3,F$14:$G148))</f>
        <v>236</v>
      </c>
      <c r="B148" s="98">
        <v>125</v>
      </c>
      <c r="C148" s="106" t="s">
        <v>2046</v>
      </c>
      <c r="D148" s="107">
        <v>3</v>
      </c>
      <c r="E148" s="100" t="s">
        <v>32</v>
      </c>
      <c r="F148" s="107" t="s">
        <v>32</v>
      </c>
      <c r="G148" s="108">
        <v>30</v>
      </c>
      <c r="H148" s="139" t="str">
        <f t="shared" si="16"/>
        <v/>
      </c>
      <c r="I148" s="102">
        <f t="shared" si="17"/>
        <v>0.32760372581237046</v>
      </c>
      <c r="J148" s="103" t="str">
        <f t="shared" si="18"/>
        <v/>
      </c>
      <c r="K148" s="152">
        <v>0.78</v>
      </c>
      <c r="L148" s="104">
        <f t="shared" si="19"/>
        <v>38.46153846153846</v>
      </c>
      <c r="M148" s="105"/>
      <c r="N148" s="105"/>
      <c r="O148" s="100"/>
      <c r="P148" s="172">
        <f t="shared" si="20"/>
        <v>9.9273856306778922E-3</v>
      </c>
      <c r="S148" s="155"/>
      <c r="T148" s="18"/>
      <c r="U148" s="19"/>
      <c r="V148" s="19"/>
      <c r="W148" s="181"/>
      <c r="X148" s="192"/>
      <c r="Y148" s="192"/>
    </row>
    <row r="149" spans="1:25" ht="16.8">
      <c r="A149" s="2">
        <f>IF(ISBLANK(F149),"",SUBTOTAL(3,F$14:$G149))</f>
        <v>238</v>
      </c>
      <c r="B149" s="98">
        <v>126</v>
      </c>
      <c r="C149" s="106" t="s">
        <v>2047</v>
      </c>
      <c r="D149" s="107">
        <v>2</v>
      </c>
      <c r="E149" s="100" t="s">
        <v>1777</v>
      </c>
      <c r="F149" s="107" t="s">
        <v>1777</v>
      </c>
      <c r="G149" s="108">
        <v>25</v>
      </c>
      <c r="H149" s="139" t="str">
        <f t="shared" si="16"/>
        <v/>
      </c>
      <c r="I149" s="102">
        <f t="shared" si="17"/>
        <v>0.22414991766109563</v>
      </c>
      <c r="J149" s="103" t="str">
        <f t="shared" si="18"/>
        <v/>
      </c>
      <c r="K149" s="152">
        <v>0.95</v>
      </c>
      <c r="L149" s="104">
        <f t="shared" si="19"/>
        <v>26.315789473684212</v>
      </c>
      <c r="M149" s="105" t="s">
        <v>2086</v>
      </c>
      <c r="N149" s="105"/>
      <c r="O149" s="100"/>
      <c r="P149" s="172">
        <f t="shared" si="20"/>
        <v>6.792421747305928E-3</v>
      </c>
      <c r="S149" s="155"/>
      <c r="T149" s="18"/>
      <c r="U149" s="19"/>
      <c r="V149" s="19"/>
      <c r="W149" s="181"/>
      <c r="X149" s="192"/>
      <c r="Y149" s="192"/>
    </row>
    <row r="150" spans="1:25" ht="16.8">
      <c r="A150" s="2">
        <f>IF(ISBLANK(F150),"",SUBTOTAL(3,F$14:$G150))</f>
        <v>240</v>
      </c>
      <c r="B150" s="98">
        <v>127</v>
      </c>
      <c r="C150" s="106" t="s">
        <v>2048</v>
      </c>
      <c r="D150" s="107">
        <v>2</v>
      </c>
      <c r="E150" s="100" t="s">
        <v>1777</v>
      </c>
      <c r="F150" s="107" t="s">
        <v>1777</v>
      </c>
      <c r="G150" s="108">
        <v>20</v>
      </c>
      <c r="H150" s="139" t="str">
        <f t="shared" si="16"/>
        <v/>
      </c>
      <c r="I150" s="102">
        <f t="shared" si="17"/>
        <v>0.17931993412887648</v>
      </c>
      <c r="J150" s="103" t="str">
        <f t="shared" si="18"/>
        <v/>
      </c>
      <c r="K150" s="152">
        <v>0.95</v>
      </c>
      <c r="L150" s="104">
        <f t="shared" si="19"/>
        <v>21.05263157894737</v>
      </c>
      <c r="M150" s="105" t="s">
        <v>2087</v>
      </c>
      <c r="N150" s="105"/>
      <c r="O150" s="100"/>
      <c r="P150" s="172">
        <f t="shared" si="20"/>
        <v>5.4339373978447422E-3</v>
      </c>
      <c r="S150" s="155"/>
      <c r="T150" s="18"/>
      <c r="U150" s="19"/>
      <c r="V150" s="19"/>
      <c r="W150" s="181"/>
      <c r="X150" s="192"/>
      <c r="Y150" s="192"/>
    </row>
    <row r="151" spans="1:25" ht="16.8">
      <c r="A151" s="2">
        <f>IF(ISBLANK(F151),"",SUBTOTAL(3,F$14:$G151))</f>
        <v>242</v>
      </c>
      <c r="B151" s="98">
        <v>128</v>
      </c>
      <c r="C151" s="106" t="s">
        <v>2049</v>
      </c>
      <c r="D151" s="107">
        <v>3</v>
      </c>
      <c r="E151" s="100" t="s">
        <v>2050</v>
      </c>
      <c r="F151" s="107" t="s">
        <v>1813</v>
      </c>
      <c r="G151" s="108">
        <v>16</v>
      </c>
      <c r="H151" s="139" t="str">
        <f t="shared" si="16"/>
        <v/>
      </c>
      <c r="I151" s="102">
        <f t="shared" si="17"/>
        <v>0.14345594730310118</v>
      </c>
      <c r="J151" s="103" t="str">
        <f t="shared" si="18"/>
        <v/>
      </c>
      <c r="K151" s="152">
        <v>0.95</v>
      </c>
      <c r="L151" s="104">
        <f t="shared" si="19"/>
        <v>16.842105263157894</v>
      </c>
      <c r="M151" s="105" t="s">
        <v>2082</v>
      </c>
      <c r="N151" s="105"/>
      <c r="O151" s="100"/>
      <c r="P151" s="172">
        <f t="shared" si="20"/>
        <v>4.3471499182757929E-3</v>
      </c>
      <c r="S151" s="155"/>
      <c r="T151" s="18"/>
      <c r="U151" s="19"/>
      <c r="V151" s="19"/>
      <c r="W151" s="181"/>
      <c r="X151" s="192"/>
      <c r="Y151" s="192"/>
    </row>
    <row r="152" spans="1:25" ht="16.8">
      <c r="A152" s="2">
        <f>IF(ISBLANK(F152),"",SUBTOTAL(3,F$14:$G152))</f>
        <v>244</v>
      </c>
      <c r="B152" s="98">
        <v>129</v>
      </c>
      <c r="C152" s="106" t="s">
        <v>2051</v>
      </c>
      <c r="D152" s="107">
        <v>4</v>
      </c>
      <c r="E152" s="100" t="s">
        <v>2052</v>
      </c>
      <c r="F152" s="107" t="s">
        <v>1813</v>
      </c>
      <c r="G152" s="108">
        <v>32</v>
      </c>
      <c r="H152" s="139" t="str">
        <f t="shared" si="16"/>
        <v/>
      </c>
      <c r="I152" s="102">
        <f t="shared" si="17"/>
        <v>0.28691189460620237</v>
      </c>
      <c r="J152" s="103" t="str">
        <f t="shared" si="18"/>
        <v/>
      </c>
      <c r="K152" s="152">
        <v>0.95</v>
      </c>
      <c r="L152" s="104">
        <f t="shared" si="19"/>
        <v>33.684210526315788</v>
      </c>
      <c r="M152" s="105" t="s">
        <v>2080</v>
      </c>
      <c r="N152" s="105"/>
      <c r="O152" s="100"/>
      <c r="P152" s="172">
        <f t="shared" si="20"/>
        <v>8.6942998365515858E-3</v>
      </c>
      <c r="S152" s="155"/>
      <c r="T152" s="18"/>
      <c r="U152" s="19"/>
      <c r="V152" s="19"/>
      <c r="W152" s="181"/>
      <c r="X152" s="192"/>
      <c r="Y152" s="192"/>
    </row>
    <row r="153" spans="1:25" ht="16.8">
      <c r="A153" s="2">
        <f>IF(ISBLANK(F153),"",SUBTOTAL(3,F$14:$G153))</f>
        <v>246</v>
      </c>
      <c r="B153" s="98">
        <v>130</v>
      </c>
      <c r="C153" s="106" t="s">
        <v>2053</v>
      </c>
      <c r="D153" s="107">
        <v>4</v>
      </c>
      <c r="E153" s="100" t="s">
        <v>32</v>
      </c>
      <c r="F153" s="107" t="s">
        <v>32</v>
      </c>
      <c r="G153" s="108">
        <v>35</v>
      </c>
      <c r="H153" s="139" t="str">
        <f t="shared" si="16"/>
        <v/>
      </c>
      <c r="I153" s="102">
        <f t="shared" si="17"/>
        <v>0.38220434678109888</v>
      </c>
      <c r="J153" s="103" t="str">
        <f t="shared" si="18"/>
        <v/>
      </c>
      <c r="K153" s="152">
        <v>0.78</v>
      </c>
      <c r="L153" s="104">
        <f t="shared" si="19"/>
        <v>44.871794871794869</v>
      </c>
      <c r="M153" s="105"/>
      <c r="N153" s="105"/>
      <c r="O153" s="100"/>
      <c r="P153" s="172">
        <f t="shared" si="20"/>
        <v>1.1581949902457542E-2</v>
      </c>
      <c r="S153" s="155"/>
      <c r="T153" s="18"/>
      <c r="U153" s="19"/>
      <c r="V153" s="19"/>
      <c r="W153" s="181"/>
      <c r="X153" s="192"/>
      <c r="Y153" s="192"/>
    </row>
    <row r="154" spans="1:25" ht="16.8">
      <c r="A154" s="2">
        <f>IF(ISBLANK(F154),"",SUBTOTAL(3,F$14:$G154))</f>
        <v>248</v>
      </c>
      <c r="B154" s="98">
        <v>131</v>
      </c>
      <c r="C154" s="106" t="s">
        <v>2054</v>
      </c>
      <c r="D154" s="107">
        <v>4</v>
      </c>
      <c r="E154" s="100" t="s">
        <v>32</v>
      </c>
      <c r="F154" s="107" t="s">
        <v>32</v>
      </c>
      <c r="G154" s="108">
        <v>40</v>
      </c>
      <c r="H154" s="139" t="str">
        <f t="shared" si="16"/>
        <v/>
      </c>
      <c r="I154" s="102">
        <f t="shared" si="17"/>
        <v>0.4368049677498273</v>
      </c>
      <c r="J154" s="103" t="str">
        <f t="shared" si="18"/>
        <v/>
      </c>
      <c r="K154" s="152">
        <v>0.78</v>
      </c>
      <c r="L154" s="104">
        <f t="shared" si="19"/>
        <v>51.282051282051277</v>
      </c>
      <c r="M154" s="105"/>
      <c r="N154" s="105"/>
      <c r="O154" s="100"/>
      <c r="P154" s="172">
        <f t="shared" si="20"/>
        <v>1.323651417423719E-2</v>
      </c>
      <c r="S154" s="155"/>
      <c r="T154" s="18"/>
      <c r="U154" s="19"/>
      <c r="V154" s="19"/>
      <c r="W154" s="181"/>
      <c r="X154" s="192"/>
      <c r="Y154" s="192"/>
    </row>
    <row r="155" spans="1:25" ht="16.8">
      <c r="A155" s="2">
        <f>IF(ISBLANK(F155),"",SUBTOTAL(3,F$14:$G155))</f>
        <v>250</v>
      </c>
      <c r="B155" s="98">
        <v>132</v>
      </c>
      <c r="C155" s="106" t="s">
        <v>2055</v>
      </c>
      <c r="D155" s="107">
        <v>4</v>
      </c>
      <c r="E155" s="100" t="s">
        <v>1777</v>
      </c>
      <c r="F155" s="107" t="s">
        <v>1777</v>
      </c>
      <c r="G155" s="108">
        <v>15</v>
      </c>
      <c r="H155" s="139" t="str">
        <f t="shared" si="16"/>
        <v/>
      </c>
      <c r="I155" s="102">
        <f t="shared" si="17"/>
        <v>0.13448995059665736</v>
      </c>
      <c r="J155" s="103" t="str">
        <f t="shared" si="18"/>
        <v/>
      </c>
      <c r="K155" s="152">
        <v>0.95</v>
      </c>
      <c r="L155" s="104">
        <f t="shared" si="19"/>
        <v>15.789473684210527</v>
      </c>
      <c r="M155" s="105" t="s">
        <v>2087</v>
      </c>
      <c r="N155" s="105"/>
      <c r="O155" s="100"/>
      <c r="P155" s="172">
        <f t="shared" si="20"/>
        <v>4.0754530483835564E-3</v>
      </c>
      <c r="S155" s="155"/>
      <c r="T155" s="18"/>
      <c r="U155" s="19"/>
      <c r="V155" s="19"/>
      <c r="W155" s="181"/>
      <c r="X155" s="192"/>
      <c r="Y155" s="192"/>
    </row>
    <row r="156" spans="1:25" ht="16.8">
      <c r="A156" s="2">
        <f>IF(ISBLANK(F156),"",SUBTOTAL(3,F$14:$G156))</f>
        <v>252</v>
      </c>
      <c r="B156" s="98">
        <v>133</v>
      </c>
      <c r="C156" s="106" t="s">
        <v>2056</v>
      </c>
      <c r="D156" s="107">
        <v>4</v>
      </c>
      <c r="E156" s="100" t="s">
        <v>2057</v>
      </c>
      <c r="F156" s="107" t="s">
        <v>1805</v>
      </c>
      <c r="G156" s="108">
        <v>65</v>
      </c>
      <c r="H156" s="139" t="str">
        <f t="shared" si="16"/>
        <v/>
      </c>
      <c r="I156" s="102">
        <f t="shared" si="17"/>
        <v>0.58278978591884856</v>
      </c>
      <c r="J156" s="103" t="str">
        <f t="shared" si="18"/>
        <v/>
      </c>
      <c r="K156" s="152">
        <v>0.95</v>
      </c>
      <c r="L156" s="104">
        <f t="shared" si="19"/>
        <v>68.421052631578945</v>
      </c>
      <c r="M156" s="105" t="s">
        <v>2082</v>
      </c>
      <c r="N156" s="105"/>
      <c r="O156" s="100"/>
      <c r="P156" s="172">
        <f t="shared" si="20"/>
        <v>1.7660296542995411E-2</v>
      </c>
      <c r="S156" s="155"/>
      <c r="T156" s="18"/>
      <c r="U156" s="19"/>
      <c r="V156" s="19"/>
      <c r="W156" s="181"/>
      <c r="X156" s="192"/>
      <c r="Y156" s="192"/>
    </row>
    <row r="157" spans="1:25" ht="16.8">
      <c r="A157" s="2">
        <f>IF(ISBLANK(F157),"",SUBTOTAL(3,F$14:$G157))</f>
        <v>254</v>
      </c>
      <c r="B157" s="98">
        <v>134</v>
      </c>
      <c r="C157" s="106" t="s">
        <v>2058</v>
      </c>
      <c r="D157" s="107">
        <v>4</v>
      </c>
      <c r="E157" s="100" t="s">
        <v>2057</v>
      </c>
      <c r="F157" s="107" t="s">
        <v>1805</v>
      </c>
      <c r="G157" s="108">
        <v>12</v>
      </c>
      <c r="H157" s="139" t="str">
        <f t="shared" si="16"/>
        <v/>
      </c>
      <c r="I157" s="102">
        <f t="shared" si="17"/>
        <v>0.10759196047732589</v>
      </c>
      <c r="J157" s="103" t="str">
        <f t="shared" si="18"/>
        <v/>
      </c>
      <c r="K157" s="152">
        <v>0.95</v>
      </c>
      <c r="L157" s="104">
        <f t="shared" si="19"/>
        <v>12.631578947368421</v>
      </c>
      <c r="M157" s="105" t="s">
        <v>1805</v>
      </c>
      <c r="N157" s="105"/>
      <c r="O157" s="100"/>
      <c r="P157" s="172">
        <f t="shared" si="20"/>
        <v>3.2603624387068449E-3</v>
      </c>
      <c r="S157" s="155"/>
      <c r="T157" s="18"/>
      <c r="U157" s="19"/>
      <c r="V157" s="19"/>
      <c r="W157" s="181"/>
      <c r="X157" s="192"/>
      <c r="Y157" s="192"/>
    </row>
    <row r="158" spans="1:25" ht="16.8">
      <c r="A158" s="2">
        <f>IF(ISBLANK(F158),"",SUBTOTAL(3,F$14:$G158))</f>
        <v>256</v>
      </c>
      <c r="B158" s="98">
        <v>135</v>
      </c>
      <c r="C158" s="106" t="s">
        <v>2059</v>
      </c>
      <c r="D158" s="107">
        <v>4</v>
      </c>
      <c r="E158" s="100" t="s">
        <v>2057</v>
      </c>
      <c r="F158" s="107" t="s">
        <v>1805</v>
      </c>
      <c r="G158" s="108">
        <v>12</v>
      </c>
      <c r="H158" s="139" t="str">
        <f t="shared" si="16"/>
        <v/>
      </c>
      <c r="I158" s="102">
        <f t="shared" si="17"/>
        <v>0.10759196047732589</v>
      </c>
      <c r="J158" s="103" t="str">
        <f t="shared" si="18"/>
        <v/>
      </c>
      <c r="K158" s="152">
        <v>0.95</v>
      </c>
      <c r="L158" s="104">
        <f t="shared" si="19"/>
        <v>12.631578947368421</v>
      </c>
      <c r="M158" s="105" t="s">
        <v>1805</v>
      </c>
      <c r="N158" s="105"/>
      <c r="O158" s="100"/>
      <c r="P158" s="172">
        <f t="shared" si="20"/>
        <v>3.2603624387068449E-3</v>
      </c>
      <c r="S158" s="155"/>
      <c r="T158" s="18"/>
      <c r="U158" s="19"/>
      <c r="V158" s="19"/>
      <c r="W158" s="181"/>
      <c r="X158" s="192"/>
      <c r="Y158" s="192"/>
    </row>
    <row r="159" spans="1:25" ht="16.8">
      <c r="A159" s="2">
        <f>IF(ISBLANK(F159),"",SUBTOTAL(3,F$14:$G159))</f>
        <v>258</v>
      </c>
      <c r="B159" s="98">
        <v>136</v>
      </c>
      <c r="C159" s="106" t="s">
        <v>2060</v>
      </c>
      <c r="D159" s="107">
        <v>4</v>
      </c>
      <c r="E159" s="100" t="s">
        <v>2057</v>
      </c>
      <c r="F159" s="107" t="s">
        <v>1805</v>
      </c>
      <c r="G159" s="108">
        <v>24</v>
      </c>
      <c r="H159" s="139" t="str">
        <f t="shared" si="16"/>
        <v/>
      </c>
      <c r="I159" s="102">
        <f t="shared" si="17"/>
        <v>0.21518392095465178</v>
      </c>
      <c r="J159" s="103" t="str">
        <f t="shared" si="18"/>
        <v/>
      </c>
      <c r="K159" s="152">
        <v>0.95</v>
      </c>
      <c r="L159" s="104">
        <f t="shared" si="19"/>
        <v>25.263157894736842</v>
      </c>
      <c r="M159" s="105" t="s">
        <v>1805</v>
      </c>
      <c r="N159" s="105"/>
      <c r="O159" s="100"/>
      <c r="P159" s="172">
        <f t="shared" si="20"/>
        <v>6.5207248774136898E-3</v>
      </c>
      <c r="S159" s="155"/>
      <c r="T159" s="18"/>
      <c r="U159" s="19"/>
      <c r="V159" s="19"/>
      <c r="W159" s="181"/>
      <c r="X159" s="192"/>
      <c r="Y159" s="192"/>
    </row>
    <row r="160" spans="1:25" ht="16.8">
      <c r="A160" s="2">
        <f>IF(ISBLANK(F160),"",SUBTOTAL(3,F$14:$G160))</f>
        <v>260</v>
      </c>
      <c r="B160" s="98">
        <v>137</v>
      </c>
      <c r="C160" s="106" t="s">
        <v>2061</v>
      </c>
      <c r="D160" s="107">
        <v>4</v>
      </c>
      <c r="E160" s="100" t="s">
        <v>2057</v>
      </c>
      <c r="F160" s="107" t="s">
        <v>1805</v>
      </c>
      <c r="G160" s="108">
        <v>12</v>
      </c>
      <c r="H160" s="139" t="str">
        <f t="shared" si="16"/>
        <v/>
      </c>
      <c r="I160" s="102">
        <f t="shared" si="17"/>
        <v>0.10759196047732589</v>
      </c>
      <c r="J160" s="103" t="str">
        <f t="shared" si="18"/>
        <v/>
      </c>
      <c r="K160" s="152">
        <v>0.95</v>
      </c>
      <c r="L160" s="104">
        <f t="shared" si="19"/>
        <v>12.631578947368421</v>
      </c>
      <c r="M160" s="105" t="s">
        <v>1805</v>
      </c>
      <c r="N160" s="105"/>
      <c r="O160" s="100"/>
      <c r="P160" s="172">
        <f t="shared" si="20"/>
        <v>3.2603624387068449E-3</v>
      </c>
      <c r="S160" s="155"/>
      <c r="T160" s="18"/>
      <c r="U160" s="19"/>
      <c r="V160" s="19"/>
      <c r="W160" s="181"/>
      <c r="X160" s="192"/>
      <c r="Y160" s="192"/>
    </row>
    <row r="161" spans="1:25" ht="16.8">
      <c r="A161" s="2">
        <f>IF(ISBLANK(F161),"",SUBTOTAL(3,F$14:$G161))</f>
        <v>262</v>
      </c>
      <c r="B161" s="98">
        <v>138</v>
      </c>
      <c r="C161" s="106" t="s">
        <v>2062</v>
      </c>
      <c r="D161" s="107">
        <v>4</v>
      </c>
      <c r="E161" s="100" t="s">
        <v>2057</v>
      </c>
      <c r="F161" s="107" t="s">
        <v>1805</v>
      </c>
      <c r="G161" s="108">
        <v>10</v>
      </c>
      <c r="H161" s="139" t="str">
        <f t="shared" si="16"/>
        <v/>
      </c>
      <c r="I161" s="102">
        <f t="shared" si="17"/>
        <v>8.965996706443824E-2</v>
      </c>
      <c r="J161" s="103" t="str">
        <f t="shared" si="18"/>
        <v/>
      </c>
      <c r="K161" s="152">
        <v>0.95</v>
      </c>
      <c r="L161" s="104">
        <f t="shared" si="19"/>
        <v>10.526315789473685</v>
      </c>
      <c r="M161" s="105" t="s">
        <v>1805</v>
      </c>
      <c r="N161" s="105"/>
      <c r="O161" s="100"/>
      <c r="P161" s="172">
        <f t="shared" si="20"/>
        <v>2.7169686989223711E-3</v>
      </c>
      <c r="S161" s="155"/>
      <c r="T161" s="18"/>
      <c r="U161" s="19"/>
      <c r="V161" s="19"/>
      <c r="W161" s="181"/>
      <c r="X161" s="192"/>
      <c r="Y161" s="192"/>
    </row>
    <row r="162" spans="1:25" ht="16.8">
      <c r="A162" s="2">
        <f>IF(ISBLANK(F162),"",SUBTOTAL(3,F$14:$G162))</f>
        <v>264</v>
      </c>
      <c r="B162" s="98">
        <v>139</v>
      </c>
      <c r="C162" s="106" t="s">
        <v>2063</v>
      </c>
      <c r="D162" s="107">
        <v>2</v>
      </c>
      <c r="E162" s="100" t="s">
        <v>1777</v>
      </c>
      <c r="F162" s="107" t="s">
        <v>1777</v>
      </c>
      <c r="G162" s="108">
        <v>25</v>
      </c>
      <c r="H162" s="139" t="str">
        <f t="shared" si="16"/>
        <v/>
      </c>
      <c r="I162" s="102">
        <f t="shared" si="17"/>
        <v>0.22414991766109563</v>
      </c>
      <c r="J162" s="103" t="str">
        <f t="shared" si="18"/>
        <v/>
      </c>
      <c r="K162" s="152">
        <v>0.95</v>
      </c>
      <c r="L162" s="104">
        <f t="shared" si="19"/>
        <v>26.315789473684212</v>
      </c>
      <c r="M162" s="105" t="s">
        <v>2087</v>
      </c>
      <c r="N162" s="105"/>
      <c r="O162" s="100"/>
      <c r="P162" s="172">
        <f t="shared" si="20"/>
        <v>6.792421747305928E-3</v>
      </c>
      <c r="S162" s="155"/>
      <c r="T162" s="18"/>
      <c r="U162" s="19"/>
      <c r="V162" s="19"/>
      <c r="W162" s="181"/>
      <c r="X162" s="192"/>
      <c r="Y162" s="192"/>
    </row>
    <row r="163" spans="1:25" ht="16.8">
      <c r="A163" s="2">
        <f>IF(ISBLANK(F163),"",SUBTOTAL(3,F$14:$G163))</f>
        <v>266</v>
      </c>
      <c r="B163" s="98">
        <v>140</v>
      </c>
      <c r="C163" s="106" t="s">
        <v>2064</v>
      </c>
      <c r="D163" s="107">
        <v>1</v>
      </c>
      <c r="E163" s="100" t="s">
        <v>1777</v>
      </c>
      <c r="F163" s="107" t="s">
        <v>1777</v>
      </c>
      <c r="G163" s="108">
        <v>2</v>
      </c>
      <c r="H163" s="139" t="str">
        <f t="shared" si="16"/>
        <v/>
      </c>
      <c r="I163" s="102">
        <f t="shared" si="17"/>
        <v>1.7931993412887648E-2</v>
      </c>
      <c r="J163" s="103" t="str">
        <f t="shared" si="18"/>
        <v/>
      </c>
      <c r="K163" s="152">
        <v>0.95</v>
      </c>
      <c r="L163" s="104">
        <f t="shared" si="19"/>
        <v>2.1052631578947367</v>
      </c>
      <c r="M163" s="105" t="s">
        <v>2087</v>
      </c>
      <c r="N163" s="105"/>
      <c r="O163" s="100"/>
      <c r="P163" s="172">
        <f t="shared" si="20"/>
        <v>5.4339373978447411E-4</v>
      </c>
      <c r="S163" s="155"/>
      <c r="T163" s="18"/>
      <c r="U163" s="19"/>
      <c r="V163" s="19"/>
      <c r="W163" s="181"/>
      <c r="X163" s="192"/>
      <c r="Y163" s="192"/>
    </row>
    <row r="164" spans="1:25" ht="16.8">
      <c r="A164" s="2">
        <f>IF(ISBLANK(F164),"",SUBTOTAL(3,F$14:$G164))</f>
        <v>268</v>
      </c>
      <c r="B164" s="98">
        <v>141</v>
      </c>
      <c r="C164" s="106" t="s">
        <v>2065</v>
      </c>
      <c r="D164" s="107">
        <v>5</v>
      </c>
      <c r="E164" s="100" t="s">
        <v>1895</v>
      </c>
      <c r="F164" s="107" t="s">
        <v>1807</v>
      </c>
      <c r="G164" s="108">
        <v>75</v>
      </c>
      <c r="H164" s="139" t="str">
        <f t="shared" si="16"/>
        <v/>
      </c>
      <c r="I164" s="102">
        <f t="shared" si="17"/>
        <v>0.6724497529832868</v>
      </c>
      <c r="J164" s="103" t="str">
        <f t="shared" si="18"/>
        <v/>
      </c>
      <c r="K164" s="152">
        <v>0.95</v>
      </c>
      <c r="L164" s="104">
        <f t="shared" si="19"/>
        <v>78.94736842105263</v>
      </c>
      <c r="M164" s="105" t="s">
        <v>2083</v>
      </c>
      <c r="N164" s="105"/>
      <c r="O164" s="100"/>
      <c r="P164" s="172">
        <f t="shared" si="20"/>
        <v>2.037726524191778E-2</v>
      </c>
      <c r="S164" s="155"/>
      <c r="T164" s="18"/>
      <c r="U164" s="19"/>
      <c r="V164" s="19"/>
      <c r="W164" s="181"/>
      <c r="X164" s="192"/>
      <c r="Y164" s="192"/>
    </row>
    <row r="165" spans="1:25" ht="16.8">
      <c r="A165" s="2">
        <f>IF(ISBLANK(F165),"",SUBTOTAL(3,F$14:$G165))</f>
        <v>269</v>
      </c>
      <c r="B165" s="98">
        <v>142</v>
      </c>
      <c r="C165" s="106" t="s">
        <v>2066</v>
      </c>
      <c r="D165" s="107">
        <v>4</v>
      </c>
      <c r="E165" s="100" t="s">
        <v>1958</v>
      </c>
      <c r="F165" s="107" t="s">
        <v>1838</v>
      </c>
      <c r="G165" s="108"/>
      <c r="H165" s="139" t="str">
        <f t="shared" si="16"/>
        <v/>
      </c>
      <c r="I165" s="102">
        <f t="shared" si="17"/>
        <v>0</v>
      </c>
      <c r="J165" s="103" t="str">
        <f t="shared" si="18"/>
        <v/>
      </c>
      <c r="K165" s="152">
        <v>0.78</v>
      </c>
      <c r="L165" s="104">
        <f t="shared" si="19"/>
        <v>0</v>
      </c>
      <c r="M165" s="105"/>
      <c r="N165" s="105"/>
      <c r="O165" s="100"/>
      <c r="P165" s="172" t="str">
        <f t="shared" si="20"/>
        <v/>
      </c>
      <c r="S165" s="155"/>
      <c r="T165" s="18"/>
      <c r="U165" s="19"/>
      <c r="V165" s="19"/>
      <c r="W165" s="181"/>
      <c r="X165" s="192"/>
      <c r="Y165" s="192"/>
    </row>
    <row r="166" spans="1:25" ht="16.8">
      <c r="A166" s="2">
        <f>IF(ISBLANK(F166),"",SUBTOTAL(3,F$14:$G166))</f>
        <v>270</v>
      </c>
      <c r="B166" s="98">
        <v>143</v>
      </c>
      <c r="C166" s="106" t="s">
        <v>2067</v>
      </c>
      <c r="D166" s="107">
        <v>4</v>
      </c>
      <c r="E166" s="100" t="s">
        <v>2068</v>
      </c>
      <c r="F166" s="107" t="s">
        <v>1878</v>
      </c>
      <c r="G166" s="108"/>
      <c r="H166" s="139" t="str">
        <f t="shared" si="16"/>
        <v/>
      </c>
      <c r="I166" s="102">
        <f t="shared" si="17"/>
        <v>0</v>
      </c>
      <c r="J166" s="103" t="str">
        <f t="shared" si="18"/>
        <v/>
      </c>
      <c r="K166" s="152">
        <v>0.78</v>
      </c>
      <c r="L166" s="104">
        <f t="shared" si="19"/>
        <v>0</v>
      </c>
      <c r="M166" s="105"/>
      <c r="N166" s="105"/>
      <c r="O166" s="100"/>
      <c r="P166" s="172" t="str">
        <f t="shared" si="20"/>
        <v/>
      </c>
      <c r="S166" s="155"/>
      <c r="T166" s="18"/>
      <c r="U166" s="19"/>
      <c r="V166" s="19"/>
      <c r="W166" s="181"/>
      <c r="X166" s="192"/>
      <c r="Y166" s="192"/>
    </row>
    <row r="167" spans="1:25" ht="16.8">
      <c r="A167" s="2">
        <f>IF(ISBLANK(F167),"",SUBTOTAL(3,F$14:$G167))</f>
        <v>272</v>
      </c>
      <c r="B167" s="98">
        <v>144</v>
      </c>
      <c r="C167" s="106" t="s">
        <v>2069</v>
      </c>
      <c r="D167" s="107">
        <v>3</v>
      </c>
      <c r="E167" s="100" t="s">
        <v>32</v>
      </c>
      <c r="F167" s="107" t="s">
        <v>32</v>
      </c>
      <c r="G167" s="108">
        <v>5</v>
      </c>
      <c r="H167" s="139" t="str">
        <f t="shared" si="16"/>
        <v/>
      </c>
      <c r="I167" s="102">
        <f t="shared" si="17"/>
        <v>5.4600620968728412E-2</v>
      </c>
      <c r="J167" s="103" t="str">
        <f t="shared" si="18"/>
        <v/>
      </c>
      <c r="K167" s="152">
        <v>0.78</v>
      </c>
      <c r="L167" s="104">
        <f t="shared" si="19"/>
        <v>6.4102564102564097</v>
      </c>
      <c r="M167" s="105"/>
      <c r="N167" s="105"/>
      <c r="O167" s="100"/>
      <c r="P167" s="172">
        <f t="shared" si="20"/>
        <v>1.6545642717796488E-3</v>
      </c>
      <c r="S167" s="155"/>
      <c r="T167" s="18"/>
      <c r="U167" s="19"/>
      <c r="V167" s="19"/>
      <c r="W167" s="181"/>
      <c r="X167" s="192"/>
      <c r="Y167" s="192"/>
    </row>
    <row r="168" spans="1:25" ht="16.8">
      <c r="A168" s="2">
        <f>IF(ISBLANK(F168),"",SUBTOTAL(3,F$14:$G168))</f>
        <v>274</v>
      </c>
      <c r="B168" s="98">
        <v>145</v>
      </c>
      <c r="C168" s="106" t="s">
        <v>2070</v>
      </c>
      <c r="D168" s="107">
        <v>1</v>
      </c>
      <c r="E168" s="100" t="s">
        <v>1777</v>
      </c>
      <c r="F168" s="107" t="s">
        <v>1777</v>
      </c>
      <c r="G168" s="108">
        <v>4</v>
      </c>
      <c r="H168" s="139" t="str">
        <f t="shared" si="16"/>
        <v/>
      </c>
      <c r="I168" s="102">
        <f t="shared" si="17"/>
        <v>3.5863986825775296E-2</v>
      </c>
      <c r="J168" s="103" t="str">
        <f t="shared" si="18"/>
        <v/>
      </c>
      <c r="K168" s="152">
        <v>0.95</v>
      </c>
      <c r="L168" s="104">
        <f t="shared" si="19"/>
        <v>4.2105263157894735</v>
      </c>
      <c r="M168" s="105" t="s">
        <v>2087</v>
      </c>
      <c r="N168" s="105"/>
      <c r="O168" s="100"/>
      <c r="P168" s="172">
        <f t="shared" si="20"/>
        <v>1.0867874795689482E-3</v>
      </c>
      <c r="S168" s="155"/>
      <c r="T168" s="18"/>
      <c r="U168" s="19"/>
      <c r="V168" s="19"/>
      <c r="W168" s="181"/>
      <c r="X168" s="192"/>
      <c r="Y168" s="192"/>
    </row>
    <row r="169" spans="1:25" ht="16.8">
      <c r="A169" s="2">
        <f>IF(ISBLANK(F169),"",SUBTOTAL(3,F$14:$G169))</f>
        <v>276</v>
      </c>
      <c r="B169" s="98">
        <v>146</v>
      </c>
      <c r="C169" s="106" t="s">
        <v>2071</v>
      </c>
      <c r="D169" s="107">
        <v>4</v>
      </c>
      <c r="E169" s="100" t="s">
        <v>32</v>
      </c>
      <c r="F169" s="107" t="s">
        <v>32</v>
      </c>
      <c r="G169" s="108">
        <v>5</v>
      </c>
      <c r="H169" s="139" t="str">
        <f t="shared" si="16"/>
        <v/>
      </c>
      <c r="I169" s="102">
        <f t="shared" si="17"/>
        <v>5.4600620968728412E-2</v>
      </c>
      <c r="J169" s="103" t="str">
        <f t="shared" si="18"/>
        <v/>
      </c>
      <c r="K169" s="152">
        <v>0.78</v>
      </c>
      <c r="L169" s="104">
        <f t="shared" si="19"/>
        <v>6.4102564102564097</v>
      </c>
      <c r="M169" s="105"/>
      <c r="N169" s="105"/>
      <c r="O169" s="100"/>
      <c r="P169" s="172">
        <f t="shared" si="20"/>
        <v>1.6545642717796488E-3</v>
      </c>
      <c r="S169" s="155"/>
      <c r="T169" s="18"/>
      <c r="U169" s="19"/>
      <c r="V169" s="19"/>
      <c r="W169" s="181"/>
      <c r="X169" s="192"/>
      <c r="Y169" s="192"/>
    </row>
    <row r="170" spans="1:25" ht="16.8">
      <c r="A170" s="2">
        <f>IF(ISBLANK(F170),"",SUBTOTAL(3,F$14:$G170))</f>
        <v>278</v>
      </c>
      <c r="B170" s="98">
        <v>147</v>
      </c>
      <c r="C170" s="106" t="s">
        <v>2072</v>
      </c>
      <c r="D170" s="107">
        <v>4</v>
      </c>
      <c r="E170" s="100" t="s">
        <v>32</v>
      </c>
      <c r="F170" s="107" t="s">
        <v>32</v>
      </c>
      <c r="G170" s="108">
        <v>20</v>
      </c>
      <c r="H170" s="139" t="str">
        <f t="shared" si="16"/>
        <v/>
      </c>
      <c r="I170" s="102">
        <f t="shared" si="17"/>
        <v>0.21840248387491365</v>
      </c>
      <c r="J170" s="103" t="str">
        <f t="shared" si="18"/>
        <v/>
      </c>
      <c r="K170" s="152">
        <v>0.78</v>
      </c>
      <c r="L170" s="104">
        <f t="shared" si="19"/>
        <v>25.641025641025639</v>
      </c>
      <c r="M170" s="105"/>
      <c r="N170" s="105"/>
      <c r="O170" s="100"/>
      <c r="P170" s="172">
        <f t="shared" si="20"/>
        <v>6.6182570871185951E-3</v>
      </c>
      <c r="S170" s="155"/>
      <c r="T170" s="18"/>
      <c r="U170" s="19"/>
      <c r="V170" s="19"/>
      <c r="W170" s="181"/>
      <c r="X170" s="192"/>
      <c r="Y170" s="192"/>
    </row>
    <row r="171" spans="1:25" ht="16.8">
      <c r="A171" s="2" t="str">
        <f>IF(ISBLANK(F171),"",SUBTOTAL(3,F$14:$G171))</f>
        <v/>
      </c>
      <c r="B171" s="98" t="str">
        <f>IF(ISBLANK(G171),"",SUBTOTAL(3,$G$13:G171))</f>
        <v/>
      </c>
      <c r="C171" s="106"/>
      <c r="D171" s="107"/>
      <c r="E171" s="100"/>
      <c r="F171" s="107"/>
      <c r="G171" s="108"/>
      <c r="H171" s="139" t="str">
        <f t="shared" si="16"/>
        <v/>
      </c>
      <c r="I171" s="102" t="str">
        <f t="shared" si="17"/>
        <v/>
      </c>
      <c r="J171" s="103" t="str">
        <f t="shared" si="18"/>
        <v/>
      </c>
      <c r="K171" s="152" t="str">
        <f t="shared" ref="K171:K204" si="21">IF(OR(ISBLANK(D171),$K$12=0),"",$K$12)</f>
        <v/>
      </c>
      <c r="L171" s="104" t="str">
        <f t="shared" si="19"/>
        <v/>
      </c>
      <c r="M171" s="105"/>
      <c r="N171" s="105"/>
      <c r="O171" s="100"/>
      <c r="P171" s="172" t="str">
        <f t="shared" si="20"/>
        <v/>
      </c>
      <c r="S171" s="155"/>
      <c r="T171" s="18"/>
      <c r="U171" s="19"/>
      <c r="V171" s="19"/>
      <c r="W171" s="181"/>
      <c r="X171" s="192"/>
      <c r="Y171" s="192"/>
    </row>
    <row r="172" spans="1:25" ht="16.8">
      <c r="A172" s="2" t="str">
        <f>IF(ISBLANK(F172),"",SUBTOTAL(3,F$14:$G172))</f>
        <v/>
      </c>
      <c r="B172" s="98" t="str">
        <f>IF(ISBLANK(G172),"",SUBTOTAL(3,$G$13:G172))</f>
        <v/>
      </c>
      <c r="C172" s="106"/>
      <c r="D172" s="107"/>
      <c r="E172" s="100"/>
      <c r="F172" s="107"/>
      <c r="G172" s="108"/>
      <c r="H172" s="139" t="str">
        <f t="shared" si="16"/>
        <v/>
      </c>
      <c r="I172" s="102" t="str">
        <f t="shared" si="17"/>
        <v/>
      </c>
      <c r="J172" s="103" t="str">
        <f t="shared" si="18"/>
        <v/>
      </c>
      <c r="K172" s="152" t="str">
        <f t="shared" si="21"/>
        <v/>
      </c>
      <c r="L172" s="104" t="str">
        <f t="shared" si="19"/>
        <v/>
      </c>
      <c r="M172" s="105"/>
      <c r="N172" s="105"/>
      <c r="O172" s="100"/>
      <c r="P172" s="172" t="str">
        <f t="shared" si="20"/>
        <v/>
      </c>
      <c r="S172" s="155"/>
      <c r="T172" s="18"/>
      <c r="U172" s="19"/>
      <c r="V172" s="19"/>
      <c r="W172" s="181"/>
      <c r="X172" s="192"/>
      <c r="Y172" s="192"/>
    </row>
    <row r="173" spans="1:25" ht="16.8">
      <c r="A173" s="2" t="str">
        <f>IF(ISBLANK(F173),"",SUBTOTAL(3,F$14:$G173))</f>
        <v/>
      </c>
      <c r="B173" s="98" t="str">
        <f>IF(ISBLANK(G173),"",SUBTOTAL(3,$G$13:G173))</f>
        <v/>
      </c>
      <c r="C173" s="106"/>
      <c r="D173" s="107"/>
      <c r="E173" s="100"/>
      <c r="F173" s="107"/>
      <c r="G173" s="108"/>
      <c r="H173" s="139" t="str">
        <f t="shared" si="16"/>
        <v/>
      </c>
      <c r="I173" s="102" t="str">
        <f t="shared" si="17"/>
        <v/>
      </c>
      <c r="J173" s="103" t="str">
        <f t="shared" si="18"/>
        <v/>
      </c>
      <c r="K173" s="152" t="str">
        <f t="shared" si="21"/>
        <v/>
      </c>
      <c r="L173" s="104" t="str">
        <f t="shared" si="19"/>
        <v/>
      </c>
      <c r="M173" s="105"/>
      <c r="N173" s="105"/>
      <c r="O173" s="100"/>
      <c r="P173" s="172" t="str">
        <f t="shared" si="20"/>
        <v/>
      </c>
      <c r="S173" s="155"/>
      <c r="T173" s="18"/>
      <c r="U173" s="19"/>
      <c r="V173" s="19"/>
      <c r="W173" s="181"/>
      <c r="X173" s="192"/>
      <c r="Y173" s="192"/>
    </row>
    <row r="174" spans="1:25" ht="16.8">
      <c r="A174" s="2" t="str">
        <f>IF(ISBLANK(F174),"",SUBTOTAL(3,F$14:$G174))</f>
        <v/>
      </c>
      <c r="B174" s="98" t="str">
        <f>IF(ISBLANK(G174),"",SUBTOTAL(3,$G$13:G174))</f>
        <v/>
      </c>
      <c r="C174" s="106"/>
      <c r="D174" s="107"/>
      <c r="E174" s="100"/>
      <c r="F174" s="107"/>
      <c r="G174" s="108"/>
      <c r="H174" s="139" t="str">
        <f t="shared" si="16"/>
        <v/>
      </c>
      <c r="I174" s="102" t="str">
        <f t="shared" si="17"/>
        <v/>
      </c>
      <c r="J174" s="103" t="str">
        <f t="shared" si="18"/>
        <v/>
      </c>
      <c r="K174" s="152" t="str">
        <f t="shared" si="21"/>
        <v/>
      </c>
      <c r="L174" s="104" t="str">
        <f t="shared" si="19"/>
        <v/>
      </c>
      <c r="M174" s="105"/>
      <c r="N174" s="105"/>
      <c r="O174" s="100"/>
      <c r="P174" s="172" t="str">
        <f t="shared" si="20"/>
        <v/>
      </c>
      <c r="S174" s="155"/>
      <c r="T174" s="18"/>
      <c r="U174" s="19"/>
      <c r="V174" s="19"/>
      <c r="W174" s="181"/>
      <c r="X174" s="192"/>
      <c r="Y174" s="192"/>
    </row>
    <row r="175" spans="1:25" ht="16.8">
      <c r="A175" s="2" t="str">
        <f>IF(ISBLANK(F175),"",SUBTOTAL(3,F$14:$G175))</f>
        <v/>
      </c>
      <c r="B175" s="98" t="str">
        <f>IF(ISBLANK(G175),"",SUBTOTAL(3,$G$13:G175))</f>
        <v/>
      </c>
      <c r="C175" s="106"/>
      <c r="D175" s="107"/>
      <c r="E175" s="100"/>
      <c r="F175" s="107"/>
      <c r="G175" s="108"/>
      <c r="H175" s="139" t="str">
        <f t="shared" si="16"/>
        <v/>
      </c>
      <c r="I175" s="102" t="str">
        <f t="shared" si="17"/>
        <v/>
      </c>
      <c r="J175" s="103" t="str">
        <f t="shared" si="18"/>
        <v/>
      </c>
      <c r="K175" s="152" t="str">
        <f t="shared" si="21"/>
        <v/>
      </c>
      <c r="L175" s="104" t="str">
        <f t="shared" si="19"/>
        <v/>
      </c>
      <c r="M175" s="105"/>
      <c r="N175" s="105"/>
      <c r="O175" s="100"/>
      <c r="P175" s="172" t="str">
        <f t="shared" si="20"/>
        <v/>
      </c>
      <c r="S175" s="155"/>
      <c r="T175" s="18"/>
      <c r="U175" s="19"/>
      <c r="V175" s="19"/>
      <c r="W175" s="181"/>
      <c r="X175" s="192"/>
      <c r="Y175" s="192"/>
    </row>
    <row r="176" spans="1:25" ht="16.8">
      <c r="A176" s="2" t="str">
        <f>IF(ISBLANK(F176),"",SUBTOTAL(3,F$14:$G176))</f>
        <v/>
      </c>
      <c r="B176" s="98" t="str">
        <f>IF(ISBLANK(G176),"",SUBTOTAL(3,$G$13:G176))</f>
        <v/>
      </c>
      <c r="C176" s="106"/>
      <c r="D176" s="107"/>
      <c r="E176" s="100"/>
      <c r="F176" s="107"/>
      <c r="G176" s="108"/>
      <c r="H176" s="139" t="str">
        <f t="shared" si="16"/>
        <v/>
      </c>
      <c r="I176" s="102" t="str">
        <f t="shared" si="17"/>
        <v/>
      </c>
      <c r="J176" s="103" t="str">
        <f t="shared" si="18"/>
        <v/>
      </c>
      <c r="K176" s="152" t="str">
        <f t="shared" si="21"/>
        <v/>
      </c>
      <c r="L176" s="104" t="str">
        <f t="shared" si="19"/>
        <v/>
      </c>
      <c r="M176" s="105"/>
      <c r="N176" s="105"/>
      <c r="O176" s="100"/>
      <c r="P176" s="172" t="str">
        <f t="shared" si="20"/>
        <v/>
      </c>
      <c r="S176" s="155"/>
      <c r="T176" s="18"/>
      <c r="U176" s="19"/>
      <c r="V176" s="19"/>
      <c r="W176" s="181"/>
      <c r="X176" s="192"/>
      <c r="Y176" s="192"/>
    </row>
    <row r="177" spans="1:25" ht="16.8">
      <c r="A177" s="2" t="str">
        <f>IF(ISBLANK(F177),"",SUBTOTAL(3,F$14:$G177))</f>
        <v/>
      </c>
      <c r="B177" s="98" t="str">
        <f>IF(ISBLANK(G177),"",SUBTOTAL(3,$G$13:G177))</f>
        <v/>
      </c>
      <c r="C177" s="106"/>
      <c r="D177" s="107"/>
      <c r="E177" s="100"/>
      <c r="F177" s="107"/>
      <c r="G177" s="108"/>
      <c r="H177" s="139" t="str">
        <f t="shared" si="16"/>
        <v/>
      </c>
      <c r="I177" s="102" t="str">
        <f t="shared" si="17"/>
        <v/>
      </c>
      <c r="J177" s="103" t="str">
        <f t="shared" si="18"/>
        <v/>
      </c>
      <c r="K177" s="152" t="str">
        <f t="shared" si="21"/>
        <v/>
      </c>
      <c r="L177" s="104" t="str">
        <f t="shared" si="19"/>
        <v/>
      </c>
      <c r="M177" s="105"/>
      <c r="N177" s="105"/>
      <c r="O177" s="100"/>
      <c r="P177" s="172" t="str">
        <f t="shared" si="20"/>
        <v/>
      </c>
      <c r="S177" s="155"/>
      <c r="T177" s="18"/>
      <c r="U177" s="19"/>
      <c r="V177" s="19"/>
      <c r="W177" s="181"/>
      <c r="X177" s="192"/>
      <c r="Y177" s="192"/>
    </row>
    <row r="178" spans="1:25" ht="16.8">
      <c r="A178" s="2" t="str">
        <f>IF(ISBLANK(F178),"",SUBTOTAL(3,F$14:$G178))</f>
        <v/>
      </c>
      <c r="B178" s="98" t="str">
        <f>IF(ISBLANK(G178),"",SUBTOTAL(3,$G$13:G178))</f>
        <v/>
      </c>
      <c r="C178" s="106"/>
      <c r="D178" s="107"/>
      <c r="E178" s="100"/>
      <c r="F178" s="107"/>
      <c r="G178" s="108"/>
      <c r="H178" s="139" t="str">
        <f t="shared" si="16"/>
        <v/>
      </c>
      <c r="I178" s="102" t="str">
        <f t="shared" si="17"/>
        <v/>
      </c>
      <c r="J178" s="103" t="str">
        <f t="shared" si="18"/>
        <v/>
      </c>
      <c r="K178" s="152" t="str">
        <f t="shared" si="21"/>
        <v/>
      </c>
      <c r="L178" s="104" t="str">
        <f t="shared" si="19"/>
        <v/>
      </c>
      <c r="M178" s="105"/>
      <c r="N178" s="105"/>
      <c r="O178" s="100"/>
      <c r="P178" s="172" t="str">
        <f t="shared" si="20"/>
        <v/>
      </c>
      <c r="S178" s="155"/>
      <c r="T178" s="18"/>
      <c r="U178" s="19"/>
      <c r="V178" s="19"/>
      <c r="W178" s="181"/>
      <c r="X178" s="192"/>
      <c r="Y178" s="192"/>
    </row>
    <row r="179" spans="1:25" ht="16.8">
      <c r="A179" s="2" t="str">
        <f>IF(ISBLANK(F179),"",SUBTOTAL(3,F$14:$G179))</f>
        <v/>
      </c>
      <c r="B179" s="98" t="str">
        <f>IF(ISBLANK(G179),"",SUBTOTAL(3,$G$13:G179))</f>
        <v/>
      </c>
      <c r="C179" s="106"/>
      <c r="D179" s="107"/>
      <c r="E179" s="100"/>
      <c r="F179" s="107"/>
      <c r="G179" s="108"/>
      <c r="H179" s="139" t="str">
        <f t="shared" si="16"/>
        <v/>
      </c>
      <c r="I179" s="102" t="str">
        <f t="shared" si="17"/>
        <v/>
      </c>
      <c r="J179" s="103" t="str">
        <f t="shared" si="18"/>
        <v/>
      </c>
      <c r="K179" s="152" t="str">
        <f t="shared" si="21"/>
        <v/>
      </c>
      <c r="L179" s="104" t="str">
        <f t="shared" si="19"/>
        <v/>
      </c>
      <c r="M179" s="105"/>
      <c r="N179" s="105"/>
      <c r="O179" s="100"/>
      <c r="P179" s="172" t="str">
        <f t="shared" si="20"/>
        <v/>
      </c>
      <c r="S179" s="155"/>
      <c r="T179" s="18"/>
      <c r="U179" s="19"/>
      <c r="V179" s="19"/>
      <c r="W179" s="181"/>
      <c r="X179" s="192"/>
      <c r="Y179" s="192"/>
    </row>
    <row r="180" spans="1:25" ht="16.8">
      <c r="A180" s="2" t="str">
        <f>IF(ISBLANK(F180),"",SUBTOTAL(3,F$14:$G180))</f>
        <v/>
      </c>
      <c r="B180" s="98" t="str">
        <f>IF(ISBLANK(G180),"",SUBTOTAL(3,$G$13:G180))</f>
        <v/>
      </c>
      <c r="C180" s="106"/>
      <c r="D180" s="107"/>
      <c r="E180" s="100"/>
      <c r="F180" s="107"/>
      <c r="G180" s="108"/>
      <c r="H180" s="139" t="str">
        <f t="shared" si="16"/>
        <v/>
      </c>
      <c r="I180" s="102" t="str">
        <f t="shared" si="17"/>
        <v/>
      </c>
      <c r="J180" s="103" t="str">
        <f t="shared" si="18"/>
        <v/>
      </c>
      <c r="K180" s="152" t="str">
        <f t="shared" si="21"/>
        <v/>
      </c>
      <c r="L180" s="104" t="str">
        <f t="shared" si="19"/>
        <v/>
      </c>
      <c r="M180" s="105"/>
      <c r="N180" s="105"/>
      <c r="O180" s="100"/>
      <c r="P180" s="172" t="str">
        <f t="shared" si="20"/>
        <v/>
      </c>
      <c r="S180" s="155"/>
      <c r="T180" s="18"/>
      <c r="U180" s="19"/>
      <c r="V180" s="19"/>
      <c r="W180" s="181"/>
      <c r="X180" s="192"/>
      <c r="Y180" s="192"/>
    </row>
    <row r="181" spans="1:25" ht="16.8">
      <c r="A181" s="2" t="str">
        <f>IF(ISBLANK(F181),"",SUBTOTAL(3,F$14:$G181))</f>
        <v/>
      </c>
      <c r="B181" s="98" t="str">
        <f>IF(ISBLANK(G181),"",SUBTOTAL(3,$G$13:G181))</f>
        <v/>
      </c>
      <c r="C181" s="106"/>
      <c r="D181" s="107"/>
      <c r="E181" s="100"/>
      <c r="F181" s="107"/>
      <c r="G181" s="108"/>
      <c r="H181" s="139" t="str">
        <f t="shared" si="16"/>
        <v/>
      </c>
      <c r="I181" s="102" t="str">
        <f t="shared" si="17"/>
        <v/>
      </c>
      <c r="J181" s="103" t="str">
        <f t="shared" si="18"/>
        <v/>
      </c>
      <c r="K181" s="152" t="str">
        <f t="shared" si="21"/>
        <v/>
      </c>
      <c r="L181" s="104" t="str">
        <f t="shared" si="19"/>
        <v/>
      </c>
      <c r="M181" s="105"/>
      <c r="N181" s="105"/>
      <c r="O181" s="100"/>
      <c r="P181" s="172" t="str">
        <f t="shared" si="20"/>
        <v/>
      </c>
      <c r="S181" s="155"/>
      <c r="T181" s="18"/>
      <c r="U181" s="19"/>
      <c r="V181" s="19"/>
      <c r="W181" s="181"/>
      <c r="X181" s="192"/>
      <c r="Y181" s="192"/>
    </row>
    <row r="182" spans="1:25" ht="16.8">
      <c r="A182" s="2" t="str">
        <f>IF(ISBLANK(F182),"",SUBTOTAL(3,F$14:$G182))</f>
        <v/>
      </c>
      <c r="B182" s="98" t="str">
        <f>IF(ISBLANK(G182),"",SUBTOTAL(3,$G$13:G182))</f>
        <v/>
      </c>
      <c r="C182" s="106"/>
      <c r="D182" s="107"/>
      <c r="E182" s="100"/>
      <c r="F182" s="107"/>
      <c r="G182" s="108"/>
      <c r="H182" s="139" t="str">
        <f t="shared" si="16"/>
        <v/>
      </c>
      <c r="I182" s="102" t="str">
        <f t="shared" si="17"/>
        <v/>
      </c>
      <c r="J182" s="103" t="str">
        <f t="shared" si="18"/>
        <v/>
      </c>
      <c r="K182" s="152" t="str">
        <f t="shared" si="21"/>
        <v/>
      </c>
      <c r="L182" s="104" t="str">
        <f t="shared" si="19"/>
        <v/>
      </c>
      <c r="M182" s="105"/>
      <c r="N182" s="105"/>
      <c r="O182" s="100"/>
      <c r="P182" s="172" t="str">
        <f t="shared" si="20"/>
        <v/>
      </c>
      <c r="S182" s="155"/>
      <c r="T182" s="18"/>
      <c r="U182" s="19"/>
      <c r="V182" s="19"/>
      <c r="W182" s="181"/>
      <c r="X182" s="192"/>
      <c r="Y182" s="192"/>
    </row>
    <row r="183" spans="1:25" ht="16.8">
      <c r="A183" s="2" t="str">
        <f>IF(ISBLANK(F183),"",SUBTOTAL(3,F$14:$G183))</f>
        <v/>
      </c>
      <c r="B183" s="98" t="str">
        <f>IF(ISBLANK(G183),"",SUBTOTAL(3,$G$13:G183))</f>
        <v/>
      </c>
      <c r="C183" s="106"/>
      <c r="D183" s="107"/>
      <c r="E183" s="100"/>
      <c r="F183" s="107"/>
      <c r="G183" s="108"/>
      <c r="H183" s="139" t="str">
        <f t="shared" si="16"/>
        <v/>
      </c>
      <c r="I183" s="102" t="str">
        <f t="shared" si="17"/>
        <v/>
      </c>
      <c r="J183" s="103" t="str">
        <f t="shared" si="18"/>
        <v/>
      </c>
      <c r="K183" s="152" t="str">
        <f t="shared" si="21"/>
        <v/>
      </c>
      <c r="L183" s="104" t="str">
        <f t="shared" si="19"/>
        <v/>
      </c>
      <c r="M183" s="105"/>
      <c r="N183" s="105"/>
      <c r="O183" s="100"/>
      <c r="P183" s="172" t="str">
        <f t="shared" si="20"/>
        <v/>
      </c>
      <c r="S183" s="155"/>
      <c r="T183" s="18"/>
      <c r="U183" s="19"/>
      <c r="V183" s="19"/>
      <c r="W183" s="181"/>
      <c r="X183" s="192"/>
      <c r="Y183" s="192"/>
    </row>
    <row r="184" spans="1:25" ht="16.8">
      <c r="A184" s="2" t="str">
        <f>IF(ISBLANK(F184),"",SUBTOTAL(3,F$14:$G184))</f>
        <v/>
      </c>
      <c r="B184" s="98" t="str">
        <f>IF(ISBLANK(G184),"",SUBTOTAL(3,$G$13:G184))</f>
        <v/>
      </c>
      <c r="C184" s="106"/>
      <c r="D184" s="107"/>
      <c r="E184" s="100"/>
      <c r="F184" s="107"/>
      <c r="G184" s="108"/>
      <c r="H184" s="139" t="str">
        <f t="shared" si="16"/>
        <v/>
      </c>
      <c r="I184" s="102" t="str">
        <f t="shared" si="17"/>
        <v/>
      </c>
      <c r="J184" s="103" t="str">
        <f t="shared" si="18"/>
        <v/>
      </c>
      <c r="K184" s="152" t="str">
        <f t="shared" si="21"/>
        <v/>
      </c>
      <c r="L184" s="104" t="str">
        <f t="shared" si="19"/>
        <v/>
      </c>
      <c r="M184" s="105"/>
      <c r="N184" s="105"/>
      <c r="O184" s="100"/>
      <c r="P184" s="172" t="str">
        <f t="shared" si="20"/>
        <v/>
      </c>
      <c r="S184" s="155"/>
      <c r="T184" s="18"/>
      <c r="U184" s="19"/>
      <c r="V184" s="19"/>
      <c r="W184" s="181"/>
      <c r="X184" s="192"/>
      <c r="Y184" s="192"/>
    </row>
    <row r="185" spans="1:25" ht="16.8">
      <c r="A185" s="2" t="str">
        <f>IF(ISBLANK(F185),"",SUBTOTAL(3,F$14:$G185))</f>
        <v/>
      </c>
      <c r="B185" s="98" t="str">
        <f>IF(ISBLANK(G185),"",SUBTOTAL(3,$G$13:G185))</f>
        <v/>
      </c>
      <c r="C185" s="106"/>
      <c r="D185" s="107"/>
      <c r="E185" s="100"/>
      <c r="F185" s="107"/>
      <c r="G185" s="108"/>
      <c r="H185" s="139" t="str">
        <f t="shared" si="16"/>
        <v/>
      </c>
      <c r="I185" s="102" t="str">
        <f t="shared" si="17"/>
        <v/>
      </c>
      <c r="J185" s="103" t="str">
        <f t="shared" si="18"/>
        <v/>
      </c>
      <c r="K185" s="152" t="str">
        <f t="shared" si="21"/>
        <v/>
      </c>
      <c r="L185" s="104" t="str">
        <f t="shared" si="19"/>
        <v/>
      </c>
      <c r="M185" s="105"/>
      <c r="N185" s="105"/>
      <c r="O185" s="100"/>
      <c r="P185" s="172" t="str">
        <f t="shared" si="20"/>
        <v/>
      </c>
      <c r="S185" s="155"/>
      <c r="T185" s="18"/>
      <c r="U185" s="19"/>
      <c r="V185" s="19"/>
      <c r="W185" s="181"/>
      <c r="X185" s="192"/>
      <c r="Y185" s="192"/>
    </row>
    <row r="186" spans="1:25" ht="16.8">
      <c r="A186" s="2" t="str">
        <f>IF(ISBLANK(F186),"",SUBTOTAL(3,F$14:$G186))</f>
        <v/>
      </c>
      <c r="B186" s="98" t="str">
        <f>IF(ISBLANK(G186),"",SUBTOTAL(3,$G$13:G186))</f>
        <v/>
      </c>
      <c r="C186" s="106"/>
      <c r="D186" s="107"/>
      <c r="E186" s="100"/>
      <c r="F186" s="107"/>
      <c r="G186" s="108"/>
      <c r="H186" s="139" t="str">
        <f t="shared" si="16"/>
        <v/>
      </c>
      <c r="I186" s="102" t="str">
        <f t="shared" si="17"/>
        <v/>
      </c>
      <c r="J186" s="103" t="str">
        <f t="shared" si="18"/>
        <v/>
      </c>
      <c r="K186" s="152" t="str">
        <f t="shared" si="21"/>
        <v/>
      </c>
      <c r="L186" s="104" t="str">
        <f t="shared" si="19"/>
        <v/>
      </c>
      <c r="M186" s="105"/>
      <c r="N186" s="105"/>
      <c r="O186" s="100"/>
      <c r="P186" s="172" t="str">
        <f t="shared" si="20"/>
        <v/>
      </c>
      <c r="S186" s="155"/>
      <c r="T186" s="18"/>
      <c r="U186" s="19"/>
      <c r="V186" s="19"/>
      <c r="W186" s="181"/>
      <c r="X186" s="192"/>
      <c r="Y186" s="192"/>
    </row>
    <row r="187" spans="1:25" ht="16.8">
      <c r="A187" s="2" t="str">
        <f>IF(ISBLANK(F187),"",SUBTOTAL(3,F$14:$G187))</f>
        <v/>
      </c>
      <c r="B187" s="98" t="str">
        <f>IF(ISBLANK(G187),"",SUBTOTAL(3,$G$13:G187))</f>
        <v/>
      </c>
      <c r="C187" s="106"/>
      <c r="D187" s="107"/>
      <c r="E187" s="100"/>
      <c r="F187" s="107"/>
      <c r="G187" s="108"/>
      <c r="H187" s="139" t="str">
        <f t="shared" si="16"/>
        <v/>
      </c>
      <c r="I187" s="102" t="str">
        <f t="shared" si="17"/>
        <v/>
      </c>
      <c r="J187" s="103" t="str">
        <f t="shared" si="18"/>
        <v/>
      </c>
      <c r="K187" s="152" t="str">
        <f t="shared" si="21"/>
        <v/>
      </c>
      <c r="L187" s="104" t="str">
        <f t="shared" si="19"/>
        <v/>
      </c>
      <c r="M187" s="105"/>
      <c r="N187" s="105"/>
      <c r="O187" s="100"/>
      <c r="P187" s="172" t="str">
        <f t="shared" si="20"/>
        <v/>
      </c>
      <c r="S187" s="155"/>
      <c r="T187" s="18"/>
      <c r="U187" s="19"/>
      <c r="V187" s="19"/>
      <c r="W187" s="181"/>
      <c r="X187" s="192"/>
      <c r="Y187" s="192"/>
    </row>
    <row r="188" spans="1:25" ht="16.8">
      <c r="A188" s="2" t="str">
        <f>IF(ISBLANK(F188),"",SUBTOTAL(3,F$14:$G188))</f>
        <v/>
      </c>
      <c r="B188" s="98" t="str">
        <f>IF(ISBLANK(G188),"",SUBTOTAL(3,$G$13:G188))</f>
        <v/>
      </c>
      <c r="C188" s="106"/>
      <c r="D188" s="107"/>
      <c r="E188" s="100"/>
      <c r="F188" s="107"/>
      <c r="G188" s="108"/>
      <c r="H188" s="139" t="str">
        <f t="shared" si="16"/>
        <v/>
      </c>
      <c r="I188" s="102" t="str">
        <f t="shared" si="17"/>
        <v/>
      </c>
      <c r="J188" s="103" t="str">
        <f t="shared" si="18"/>
        <v/>
      </c>
      <c r="K188" s="152" t="str">
        <f t="shared" si="21"/>
        <v/>
      </c>
      <c r="L188" s="104" t="str">
        <f t="shared" si="19"/>
        <v/>
      </c>
      <c r="M188" s="105"/>
      <c r="N188" s="105"/>
      <c r="O188" s="100"/>
      <c r="P188" s="172" t="str">
        <f t="shared" si="20"/>
        <v/>
      </c>
      <c r="S188" s="155"/>
      <c r="T188" s="18"/>
      <c r="U188" s="19"/>
      <c r="V188" s="19"/>
      <c r="W188" s="181"/>
      <c r="X188" s="192"/>
      <c r="Y188" s="192"/>
    </row>
    <row r="189" spans="1:25" ht="16.8">
      <c r="A189" s="2" t="str">
        <f>IF(ISBLANK(F189),"",SUBTOTAL(3,F$14:$G189))</f>
        <v/>
      </c>
      <c r="B189" s="98" t="str">
        <f>IF(ISBLANK(G189),"",SUBTOTAL(3,$G$13:G189))</f>
        <v/>
      </c>
      <c r="C189" s="106"/>
      <c r="D189" s="107"/>
      <c r="E189" s="100"/>
      <c r="F189" s="107"/>
      <c r="G189" s="108"/>
      <c r="H189" s="139" t="str">
        <f t="shared" si="16"/>
        <v/>
      </c>
      <c r="I189" s="102" t="str">
        <f t="shared" si="17"/>
        <v/>
      </c>
      <c r="J189" s="103" t="str">
        <f t="shared" si="18"/>
        <v/>
      </c>
      <c r="K189" s="152" t="str">
        <f t="shared" si="21"/>
        <v/>
      </c>
      <c r="L189" s="104" t="str">
        <f t="shared" si="19"/>
        <v/>
      </c>
      <c r="M189" s="105"/>
      <c r="N189" s="105"/>
      <c r="O189" s="100"/>
      <c r="P189" s="172" t="str">
        <f t="shared" si="20"/>
        <v/>
      </c>
      <c r="S189" s="155"/>
      <c r="T189" s="18"/>
      <c r="U189" s="19"/>
      <c r="V189" s="19"/>
      <c r="W189" s="181"/>
      <c r="X189" s="192"/>
      <c r="Y189" s="192"/>
    </row>
    <row r="190" spans="1:25" ht="16.8">
      <c r="A190" s="2" t="str">
        <f>IF(ISBLANK(F190),"",SUBTOTAL(3,F$14:$G190))</f>
        <v/>
      </c>
      <c r="B190" s="98" t="str">
        <f>IF(ISBLANK(G190),"",SUBTOTAL(3,$G$13:G190))</f>
        <v/>
      </c>
      <c r="C190" s="106"/>
      <c r="D190" s="107"/>
      <c r="E190" s="100"/>
      <c r="F190" s="107"/>
      <c r="G190" s="108"/>
      <c r="H190" s="139" t="str">
        <f t="shared" si="16"/>
        <v/>
      </c>
      <c r="I190" s="102" t="str">
        <f t="shared" si="17"/>
        <v/>
      </c>
      <c r="J190" s="103" t="str">
        <f t="shared" si="18"/>
        <v/>
      </c>
      <c r="K190" s="152" t="str">
        <f t="shared" si="21"/>
        <v/>
      </c>
      <c r="L190" s="104" t="str">
        <f t="shared" si="19"/>
        <v/>
      </c>
      <c r="M190" s="105"/>
      <c r="N190" s="105"/>
      <c r="O190" s="100"/>
      <c r="P190" s="172" t="str">
        <f t="shared" si="20"/>
        <v/>
      </c>
      <c r="S190" s="155"/>
      <c r="T190" s="18"/>
      <c r="U190" s="19"/>
      <c r="V190" s="19"/>
      <c r="W190" s="181"/>
      <c r="X190" s="192"/>
      <c r="Y190" s="192"/>
    </row>
    <row r="191" spans="1:25" ht="16.8">
      <c r="A191" s="2" t="str">
        <f>IF(ISBLANK(F191),"",SUBTOTAL(3,F$14:$G191))</f>
        <v/>
      </c>
      <c r="B191" s="98" t="str">
        <f>IF(ISBLANK(G191),"",SUBTOTAL(3,$G$13:G191))</f>
        <v/>
      </c>
      <c r="C191" s="106"/>
      <c r="D191" s="107"/>
      <c r="E191" s="100"/>
      <c r="F191" s="107"/>
      <c r="G191" s="108"/>
      <c r="H191" s="139" t="str">
        <f t="shared" si="16"/>
        <v/>
      </c>
      <c r="I191" s="102" t="str">
        <f t="shared" si="17"/>
        <v/>
      </c>
      <c r="J191" s="103" t="str">
        <f t="shared" si="18"/>
        <v/>
      </c>
      <c r="K191" s="152" t="str">
        <f t="shared" si="21"/>
        <v/>
      </c>
      <c r="L191" s="104" t="str">
        <f t="shared" si="19"/>
        <v/>
      </c>
      <c r="M191" s="105"/>
      <c r="N191" s="105"/>
      <c r="O191" s="100"/>
      <c r="P191" s="172" t="str">
        <f t="shared" si="20"/>
        <v/>
      </c>
      <c r="S191" s="155"/>
      <c r="T191" s="18"/>
      <c r="U191" s="19"/>
      <c r="V191" s="19"/>
      <c r="W191" s="181"/>
      <c r="X191" s="192"/>
      <c r="Y191" s="192"/>
    </row>
    <row r="192" spans="1:25" ht="16.8">
      <c r="A192" s="2" t="str">
        <f>IF(ISBLANK(F192),"",SUBTOTAL(3,F$14:$G192))</f>
        <v/>
      </c>
      <c r="B192" s="98" t="str">
        <f>IF(ISBLANK(G192),"",SUBTOTAL(3,$G$13:G192))</f>
        <v/>
      </c>
      <c r="C192" s="106"/>
      <c r="D192" s="107"/>
      <c r="E192" s="100"/>
      <c r="F192" s="107"/>
      <c r="G192" s="108"/>
      <c r="H192" s="139" t="str">
        <f t="shared" si="16"/>
        <v/>
      </c>
      <c r="I192" s="102" t="str">
        <f t="shared" si="17"/>
        <v/>
      </c>
      <c r="J192" s="103" t="str">
        <f t="shared" si="18"/>
        <v/>
      </c>
      <c r="K192" s="152" t="str">
        <f t="shared" si="21"/>
        <v/>
      </c>
      <c r="L192" s="104" t="str">
        <f t="shared" si="19"/>
        <v/>
      </c>
      <c r="M192" s="105"/>
      <c r="N192" s="105"/>
      <c r="O192" s="100"/>
      <c r="P192" s="172" t="str">
        <f t="shared" si="20"/>
        <v/>
      </c>
      <c r="S192" s="155"/>
      <c r="T192" s="18"/>
      <c r="U192" s="19"/>
      <c r="V192" s="19"/>
      <c r="W192" s="181"/>
      <c r="X192" s="192"/>
      <c r="Y192" s="192"/>
    </row>
    <row r="193" spans="1:25" ht="16.8">
      <c r="A193" s="2" t="str">
        <f>IF(ISBLANK(F193),"",SUBTOTAL(3,F$14:$G193))</f>
        <v/>
      </c>
      <c r="B193" s="98" t="str">
        <f>IF(ISBLANK(G193),"",SUBTOTAL(3,$G$13:G193))</f>
        <v/>
      </c>
      <c r="C193" s="106"/>
      <c r="D193" s="107"/>
      <c r="E193" s="100"/>
      <c r="F193" s="107"/>
      <c r="G193" s="108"/>
      <c r="H193" s="139" t="str">
        <f t="shared" si="16"/>
        <v/>
      </c>
      <c r="I193" s="102" t="str">
        <f t="shared" si="17"/>
        <v/>
      </c>
      <c r="J193" s="103" t="str">
        <f t="shared" si="18"/>
        <v/>
      </c>
      <c r="K193" s="152" t="str">
        <f t="shared" si="21"/>
        <v/>
      </c>
      <c r="L193" s="104" t="str">
        <f t="shared" si="19"/>
        <v/>
      </c>
      <c r="M193" s="105"/>
      <c r="N193" s="105"/>
      <c r="O193" s="100"/>
      <c r="P193" s="172" t="str">
        <f t="shared" si="20"/>
        <v/>
      </c>
      <c r="S193" s="155"/>
      <c r="T193" s="18"/>
      <c r="U193" s="19"/>
      <c r="V193" s="19"/>
      <c r="W193" s="181"/>
      <c r="X193" s="192"/>
      <c r="Y193" s="192"/>
    </row>
    <row r="194" spans="1:25" ht="16.8">
      <c r="A194" s="2" t="str">
        <f>IF(ISBLANK(F194),"",SUBTOTAL(3,F$14:$G194))</f>
        <v/>
      </c>
      <c r="B194" s="98" t="str">
        <f>IF(ISBLANK(G194),"",SUBTOTAL(3,$G$13:G194))</f>
        <v/>
      </c>
      <c r="C194" s="106"/>
      <c r="D194" s="107"/>
      <c r="E194" s="100"/>
      <c r="F194" s="107"/>
      <c r="G194" s="108"/>
      <c r="H194" s="139" t="str">
        <f t="shared" si="16"/>
        <v/>
      </c>
      <c r="I194" s="102" t="str">
        <f t="shared" si="17"/>
        <v/>
      </c>
      <c r="J194" s="103" t="str">
        <f t="shared" si="18"/>
        <v/>
      </c>
      <c r="K194" s="152" t="str">
        <f t="shared" si="21"/>
        <v/>
      </c>
      <c r="L194" s="104" t="str">
        <f t="shared" si="19"/>
        <v/>
      </c>
      <c r="M194" s="105"/>
      <c r="N194" s="105"/>
      <c r="O194" s="100"/>
      <c r="P194" s="172" t="str">
        <f t="shared" si="20"/>
        <v/>
      </c>
      <c r="S194" s="155"/>
      <c r="T194" s="18"/>
      <c r="U194" s="19"/>
      <c r="V194" s="19"/>
      <c r="W194" s="181"/>
      <c r="X194" s="192"/>
      <c r="Y194" s="192"/>
    </row>
    <row r="195" spans="1:25" ht="16.8">
      <c r="A195" s="2" t="str">
        <f>IF(ISBLANK(F195),"",SUBTOTAL(3,F$14:$G195))</f>
        <v/>
      </c>
      <c r="B195" s="98" t="str">
        <f>IF(ISBLANK(G195),"",SUBTOTAL(3,$G$13:G195))</f>
        <v/>
      </c>
      <c r="C195" s="106"/>
      <c r="D195" s="107"/>
      <c r="E195" s="100"/>
      <c r="F195" s="107"/>
      <c r="G195" s="108"/>
      <c r="H195" s="139" t="str">
        <f t="shared" si="16"/>
        <v/>
      </c>
      <c r="I195" s="102" t="str">
        <f t="shared" si="17"/>
        <v/>
      </c>
      <c r="J195" s="103" t="str">
        <f t="shared" si="18"/>
        <v/>
      </c>
      <c r="K195" s="152" t="str">
        <f t="shared" si="21"/>
        <v/>
      </c>
      <c r="L195" s="104" t="str">
        <f t="shared" si="19"/>
        <v/>
      </c>
      <c r="M195" s="105"/>
      <c r="N195" s="105"/>
      <c r="O195" s="100"/>
      <c r="P195" s="172" t="str">
        <f t="shared" si="20"/>
        <v/>
      </c>
      <c r="S195" s="155"/>
      <c r="T195" s="18"/>
      <c r="U195" s="19"/>
      <c r="V195" s="19"/>
      <c r="W195" s="181"/>
      <c r="X195" s="192"/>
      <c r="Y195" s="192"/>
    </row>
    <row r="196" spans="1:25" ht="16.8">
      <c r="A196" s="2" t="str">
        <f>IF(ISBLANK(F196),"",SUBTOTAL(3,F$14:$G196))</f>
        <v/>
      </c>
      <c r="B196" s="98" t="str">
        <f>IF(ISBLANK(G196),"",SUBTOTAL(3,$G$13:G196))</f>
        <v/>
      </c>
      <c r="C196" s="106"/>
      <c r="D196" s="107"/>
      <c r="E196" s="100"/>
      <c r="F196" s="107"/>
      <c r="G196" s="108"/>
      <c r="H196" s="139" t="str">
        <f t="shared" si="16"/>
        <v/>
      </c>
      <c r="I196" s="102" t="str">
        <f t="shared" si="17"/>
        <v/>
      </c>
      <c r="J196" s="103" t="str">
        <f t="shared" si="18"/>
        <v/>
      </c>
      <c r="K196" s="152" t="str">
        <f t="shared" si="21"/>
        <v/>
      </c>
      <c r="L196" s="104" t="str">
        <f t="shared" si="19"/>
        <v/>
      </c>
      <c r="M196" s="105"/>
      <c r="N196" s="105"/>
      <c r="O196" s="100"/>
      <c r="P196" s="172" t="str">
        <f t="shared" si="20"/>
        <v/>
      </c>
      <c r="S196" s="155"/>
      <c r="T196" s="18"/>
      <c r="U196" s="19"/>
      <c r="V196" s="19"/>
      <c r="W196" s="181"/>
      <c r="X196" s="192"/>
      <c r="Y196" s="192"/>
    </row>
    <row r="197" spans="1:25" ht="16.8">
      <c r="A197" s="2" t="str">
        <f>IF(ISBLANK(F197),"",SUBTOTAL(3,F$14:$G197))</f>
        <v/>
      </c>
      <c r="B197" s="98" t="str">
        <f>IF(ISBLANK(G197),"",SUBTOTAL(3,$G$13:G197))</f>
        <v/>
      </c>
      <c r="C197" s="106"/>
      <c r="D197" s="107"/>
      <c r="E197" s="100"/>
      <c r="F197" s="107"/>
      <c r="G197" s="108"/>
      <c r="H197" s="139" t="str">
        <f t="shared" si="16"/>
        <v/>
      </c>
      <c r="I197" s="102" t="str">
        <f t="shared" si="17"/>
        <v/>
      </c>
      <c r="J197" s="103" t="str">
        <f t="shared" si="18"/>
        <v/>
      </c>
      <c r="K197" s="152" t="str">
        <f t="shared" si="21"/>
        <v/>
      </c>
      <c r="L197" s="104" t="str">
        <f t="shared" si="19"/>
        <v/>
      </c>
      <c r="M197" s="105"/>
      <c r="N197" s="105"/>
      <c r="O197" s="100"/>
      <c r="P197" s="172" t="str">
        <f t="shared" si="20"/>
        <v/>
      </c>
      <c r="S197" s="155"/>
      <c r="T197" s="18"/>
      <c r="U197" s="19"/>
      <c r="V197" s="19"/>
      <c r="W197" s="181"/>
      <c r="X197" s="192"/>
      <c r="Y197" s="192"/>
    </row>
    <row r="198" spans="1:25" ht="16.8">
      <c r="A198" s="2" t="str">
        <f>IF(ISBLANK(F198),"",SUBTOTAL(3,F$14:$G198))</f>
        <v/>
      </c>
      <c r="B198" s="98" t="str">
        <f>IF(ISBLANK(G198),"",SUBTOTAL(3,$G$13:G198))</f>
        <v/>
      </c>
      <c r="C198" s="106"/>
      <c r="D198" s="107"/>
      <c r="E198" s="100"/>
      <c r="F198" s="107"/>
      <c r="G198" s="108"/>
      <c r="H198" s="139" t="str">
        <f t="shared" si="16"/>
        <v/>
      </c>
      <c r="I198" s="102" t="str">
        <f t="shared" si="17"/>
        <v/>
      </c>
      <c r="J198" s="103" t="str">
        <f t="shared" si="18"/>
        <v/>
      </c>
      <c r="K198" s="152" t="str">
        <f t="shared" si="21"/>
        <v/>
      </c>
      <c r="L198" s="104" t="str">
        <f t="shared" si="19"/>
        <v/>
      </c>
      <c r="M198" s="105"/>
      <c r="N198" s="105"/>
      <c r="O198" s="100"/>
      <c r="P198" s="172" t="str">
        <f t="shared" si="20"/>
        <v/>
      </c>
      <c r="S198" s="155"/>
      <c r="T198" s="18"/>
      <c r="U198" s="19"/>
      <c r="V198" s="19"/>
      <c r="W198" s="181"/>
      <c r="X198" s="192"/>
      <c r="Y198" s="192"/>
    </row>
    <row r="199" spans="1:25" ht="16.8">
      <c r="A199" s="2" t="str">
        <f>IF(ISBLANK(F199),"",SUBTOTAL(3,F$14:$G199))</f>
        <v/>
      </c>
      <c r="B199" s="98" t="str">
        <f>IF(ISBLANK(G199),"",SUBTOTAL(3,$G$13:G199))</f>
        <v/>
      </c>
      <c r="C199" s="106"/>
      <c r="D199" s="107"/>
      <c r="E199" s="100"/>
      <c r="F199" s="107"/>
      <c r="G199" s="108"/>
      <c r="H199" s="139" t="str">
        <f t="shared" si="16"/>
        <v/>
      </c>
      <c r="I199" s="102" t="str">
        <f t="shared" si="17"/>
        <v/>
      </c>
      <c r="J199" s="103" t="str">
        <f t="shared" si="18"/>
        <v/>
      </c>
      <c r="K199" s="152" t="str">
        <f t="shared" si="21"/>
        <v/>
      </c>
      <c r="L199" s="104" t="str">
        <f t="shared" si="19"/>
        <v/>
      </c>
      <c r="M199" s="105"/>
      <c r="N199" s="105"/>
      <c r="O199" s="100"/>
      <c r="P199" s="172" t="str">
        <f t="shared" si="20"/>
        <v/>
      </c>
      <c r="S199" s="155"/>
      <c r="T199" s="18"/>
      <c r="U199" s="19"/>
      <c r="V199" s="19"/>
      <c r="W199" s="181"/>
      <c r="X199" s="192"/>
      <c r="Y199" s="192"/>
    </row>
    <row r="200" spans="1:25" ht="16.8">
      <c r="A200" s="2" t="str">
        <f>IF(ISBLANK(F200),"",SUBTOTAL(3,F$14:$G200))</f>
        <v/>
      </c>
      <c r="B200" s="98" t="str">
        <f>IF(ISBLANK(G200),"",SUBTOTAL(3,$G$13:G200))</f>
        <v/>
      </c>
      <c r="C200" s="106"/>
      <c r="D200" s="107"/>
      <c r="E200" s="100"/>
      <c r="F200" s="107"/>
      <c r="G200" s="108"/>
      <c r="H200" s="139" t="str">
        <f t="shared" si="16"/>
        <v/>
      </c>
      <c r="I200" s="102" t="str">
        <f t="shared" si="17"/>
        <v/>
      </c>
      <c r="J200" s="103" t="str">
        <f t="shared" si="18"/>
        <v/>
      </c>
      <c r="K200" s="152" t="str">
        <f t="shared" si="21"/>
        <v/>
      </c>
      <c r="L200" s="104" t="str">
        <f t="shared" si="19"/>
        <v/>
      </c>
      <c r="M200" s="105"/>
      <c r="N200" s="105"/>
      <c r="O200" s="100"/>
      <c r="P200" s="172" t="str">
        <f t="shared" si="20"/>
        <v/>
      </c>
      <c r="S200" s="155"/>
      <c r="T200" s="18"/>
      <c r="U200" s="19"/>
      <c r="V200" s="19"/>
      <c r="W200" s="181"/>
      <c r="X200" s="192"/>
      <c r="Y200" s="192"/>
    </row>
    <row r="201" spans="1:25" ht="16.8">
      <c r="A201" s="2" t="str">
        <f>IF(ISBLANK(F201),"",SUBTOTAL(3,F$14:$G201))</f>
        <v/>
      </c>
      <c r="B201" s="98" t="str">
        <f>IF(ISBLANK(G201),"",SUBTOTAL(3,$G$13:G201))</f>
        <v/>
      </c>
      <c r="C201" s="106"/>
      <c r="D201" s="107"/>
      <c r="E201" s="100"/>
      <c r="F201" s="107"/>
      <c r="G201" s="108"/>
      <c r="H201" s="139" t="str">
        <f t="shared" si="16"/>
        <v/>
      </c>
      <c r="I201" s="102" t="str">
        <f t="shared" si="17"/>
        <v/>
      </c>
      <c r="J201" s="103" t="str">
        <f t="shared" si="18"/>
        <v/>
      </c>
      <c r="K201" s="152" t="str">
        <f t="shared" si="21"/>
        <v/>
      </c>
      <c r="L201" s="104" t="str">
        <f t="shared" si="19"/>
        <v/>
      </c>
      <c r="M201" s="105"/>
      <c r="N201" s="105"/>
      <c r="O201" s="100"/>
      <c r="P201" s="172" t="str">
        <f t="shared" si="20"/>
        <v/>
      </c>
      <c r="T201" s="18"/>
      <c r="U201" s="19"/>
      <c r="V201" s="19"/>
      <c r="W201" s="181"/>
      <c r="X201" s="192"/>
      <c r="Y201" s="192"/>
    </row>
    <row r="202" spans="1:25" ht="16.8">
      <c r="A202" s="2" t="str">
        <f>IF(ISBLANK(F202),"",SUBTOTAL(3,F$14:$G202))</f>
        <v/>
      </c>
      <c r="B202" s="98" t="str">
        <f>IF(ISBLANK(G202),"",SUBTOTAL(3,$G$13:G202))</f>
        <v/>
      </c>
      <c r="C202" s="106"/>
      <c r="D202" s="107"/>
      <c r="E202" s="100"/>
      <c r="F202" s="107"/>
      <c r="G202" s="108"/>
      <c r="H202" s="139" t="str">
        <f t="shared" si="16"/>
        <v/>
      </c>
      <c r="I202" s="102" t="str">
        <f t="shared" si="17"/>
        <v/>
      </c>
      <c r="J202" s="103" t="str">
        <f t="shared" si="18"/>
        <v/>
      </c>
      <c r="K202" s="152" t="str">
        <f t="shared" si="21"/>
        <v/>
      </c>
      <c r="L202" s="104" t="str">
        <f t="shared" si="19"/>
        <v/>
      </c>
      <c r="M202" s="105"/>
      <c r="N202" s="105"/>
      <c r="O202" s="100"/>
      <c r="P202" s="172" t="str">
        <f t="shared" si="20"/>
        <v/>
      </c>
      <c r="T202" s="18"/>
      <c r="U202" s="19"/>
      <c r="V202" s="19"/>
      <c r="W202" s="181"/>
      <c r="X202" s="192"/>
      <c r="Y202" s="192"/>
    </row>
    <row r="203" spans="1:25" ht="16.8">
      <c r="A203" s="2" t="str">
        <f>IF(ISBLANK(F203),"",SUBTOTAL(3,F$14:$G203))</f>
        <v/>
      </c>
      <c r="B203" s="98" t="str">
        <f>IF(ISBLANK(G203),"",SUBTOTAL(3,$G$13:G203))</f>
        <v/>
      </c>
      <c r="C203" s="106"/>
      <c r="D203" s="107"/>
      <c r="E203" s="100"/>
      <c r="F203" s="107"/>
      <c r="G203" s="108"/>
      <c r="H203" s="139" t="str">
        <f t="shared" si="16"/>
        <v/>
      </c>
      <c r="I203" s="102" t="str">
        <f t="shared" si="17"/>
        <v/>
      </c>
      <c r="J203" s="103" t="str">
        <f t="shared" si="18"/>
        <v/>
      </c>
      <c r="K203" s="152" t="str">
        <f t="shared" si="21"/>
        <v/>
      </c>
      <c r="L203" s="104" t="str">
        <f t="shared" si="19"/>
        <v/>
      </c>
      <c r="M203" s="105"/>
      <c r="N203" s="105"/>
      <c r="O203" s="100"/>
      <c r="P203" s="172" t="str">
        <f t="shared" si="20"/>
        <v/>
      </c>
      <c r="T203" s="18"/>
      <c r="U203" s="19"/>
      <c r="V203" s="19"/>
      <c r="W203" s="181"/>
      <c r="X203" s="192"/>
      <c r="Y203" s="192"/>
    </row>
    <row r="204" spans="1:25" ht="16.8">
      <c r="A204" s="2" t="str">
        <f>IF(ISBLANK(F204),"",SUBTOTAL(3,F$14:$G204))</f>
        <v/>
      </c>
      <c r="B204" s="98" t="str">
        <f>IF(ISBLANK(G204),"",SUBTOTAL(3,$G$13:G204))</f>
        <v/>
      </c>
      <c r="C204" s="106"/>
      <c r="D204" s="107"/>
      <c r="E204" s="100"/>
      <c r="F204" s="107"/>
      <c r="G204" s="108"/>
      <c r="H204" s="139" t="str">
        <f t="shared" si="16"/>
        <v/>
      </c>
      <c r="I204" s="102" t="str">
        <f t="shared" si="17"/>
        <v/>
      </c>
      <c r="J204" s="103" t="str">
        <f t="shared" si="18"/>
        <v/>
      </c>
      <c r="K204" s="152" t="str">
        <f t="shared" si="21"/>
        <v/>
      </c>
      <c r="L204" s="104" t="str">
        <f t="shared" si="19"/>
        <v/>
      </c>
      <c r="M204" s="105"/>
      <c r="N204" s="105"/>
      <c r="O204" s="100"/>
      <c r="P204" s="172" t="str">
        <f t="shared" si="20"/>
        <v/>
      </c>
      <c r="T204" s="18"/>
      <c r="U204" s="19"/>
      <c r="V204" s="19"/>
      <c r="W204" s="181"/>
      <c r="X204" s="192"/>
      <c r="Y204" s="192"/>
    </row>
    <row r="205" spans="1:25" ht="16.8">
      <c r="A205" s="2" t="str">
        <f>IF(ISBLANK(F205),"",SUBTOTAL(3,F$14:$G205))</f>
        <v/>
      </c>
      <c r="B205" s="98" t="str">
        <f>IF(ISBLANK(G205),"",SUBTOTAL(3,$G$13:G205))</f>
        <v/>
      </c>
      <c r="C205" s="106"/>
      <c r="D205" s="107"/>
      <c r="E205" s="100"/>
      <c r="F205" s="107"/>
      <c r="G205" s="108"/>
      <c r="H205" s="139" t="str">
        <f t="shared" ref="H205:H236" si="22">IFERROR(IF(OR(D205=0,B205=0),"",INDEX($AA$2:$AG$2,MATCH(D205,$AA$1:$AG$1,0))),"")</f>
        <v/>
      </c>
      <c r="I205" s="102" t="str">
        <f t="shared" ref="I205:I268" si="23">IFERROR(IF(ISBLANK(D205),"",(IF(K205&gt;0,L205,G205)/NhipSX)),"")</f>
        <v/>
      </c>
      <c r="J205" s="103" t="str">
        <f t="shared" ref="J205:J268" si="24">IFERROR(IF(OR(D205=0,B205=0),"",INDEX($AA$2:$AG$2,MATCH(D205,$AA$1:$AG$1,0))*IF($J$11="Đơn Giá CBC",L205,G205)),"")</f>
        <v/>
      </c>
      <c r="K205" s="152" t="str">
        <f t="shared" ref="K205:K264" si="25">IF(OR(ISBLANK(D205),$K$12=0),"",$K$12)</f>
        <v/>
      </c>
      <c r="L205" s="104" t="str">
        <f t="shared" ref="L205:L268" si="26">IFERROR(IF(ISBLANK(D205),"",IF(ISBLANK(K205),G205,(G205/K205))),"")</f>
        <v/>
      </c>
      <c r="M205" s="105"/>
      <c r="N205" s="105"/>
      <c r="O205" s="100"/>
      <c r="P205" s="172" t="str">
        <f t="shared" si="20"/>
        <v/>
      </c>
      <c r="T205" s="18"/>
      <c r="U205" s="19"/>
      <c r="V205" s="19"/>
      <c r="W205" s="181"/>
      <c r="X205" s="192"/>
      <c r="Y205" s="192"/>
    </row>
    <row r="206" spans="1:25" ht="16.8">
      <c r="A206" s="2" t="str">
        <f>IF(ISBLANK(F206),"",SUBTOTAL(3,F$14:$G206))</f>
        <v/>
      </c>
      <c r="B206" s="98" t="str">
        <f>IF(ISBLANK(G206),"",SUBTOTAL(3,$G$13:G206))</f>
        <v/>
      </c>
      <c r="C206" s="106"/>
      <c r="D206" s="107"/>
      <c r="E206" s="100"/>
      <c r="F206" s="107"/>
      <c r="G206" s="108"/>
      <c r="H206" s="139" t="str">
        <f t="shared" si="22"/>
        <v/>
      </c>
      <c r="I206" s="102" t="str">
        <f t="shared" si="23"/>
        <v/>
      </c>
      <c r="J206" s="103" t="str">
        <f t="shared" si="24"/>
        <v/>
      </c>
      <c r="K206" s="152" t="str">
        <f t="shared" si="25"/>
        <v/>
      </c>
      <c r="L206" s="104" t="str">
        <f t="shared" si="26"/>
        <v/>
      </c>
      <c r="M206" s="105"/>
      <c r="N206" s="105"/>
      <c r="O206" s="100"/>
      <c r="P206" s="172" t="str">
        <f t="shared" ref="P206:P269" si="27">IFERROR(IF(ISBLANK(G206),"",(L206/$I$4)),"")</f>
        <v/>
      </c>
      <c r="T206" s="18"/>
      <c r="U206" s="19"/>
      <c r="V206" s="19"/>
      <c r="W206" s="181"/>
      <c r="X206" s="192"/>
      <c r="Y206" s="192"/>
    </row>
    <row r="207" spans="1:25" ht="16.8">
      <c r="A207" s="2" t="str">
        <f>IF(ISBLANK(F207),"",SUBTOTAL(3,F$14:$G207))</f>
        <v/>
      </c>
      <c r="B207" s="98" t="str">
        <f>IF(ISBLANK(G207),"",SUBTOTAL(3,$G$13:G207))</f>
        <v/>
      </c>
      <c r="C207" s="106"/>
      <c r="D207" s="107"/>
      <c r="E207" s="100"/>
      <c r="F207" s="107"/>
      <c r="G207" s="108"/>
      <c r="H207" s="139" t="str">
        <f t="shared" si="22"/>
        <v/>
      </c>
      <c r="I207" s="102" t="str">
        <f t="shared" si="23"/>
        <v/>
      </c>
      <c r="J207" s="103" t="str">
        <f t="shared" si="24"/>
        <v/>
      </c>
      <c r="K207" s="152" t="str">
        <f t="shared" si="25"/>
        <v/>
      </c>
      <c r="L207" s="104" t="str">
        <f t="shared" si="26"/>
        <v/>
      </c>
      <c r="M207" s="105"/>
      <c r="N207" s="105"/>
      <c r="O207" s="100"/>
      <c r="P207" s="172" t="str">
        <f t="shared" si="27"/>
        <v/>
      </c>
      <c r="T207" s="18"/>
      <c r="U207" s="19"/>
      <c r="V207" s="19"/>
      <c r="W207" s="181"/>
      <c r="X207" s="192"/>
      <c r="Y207" s="192"/>
    </row>
    <row r="208" spans="1:25" ht="16.8">
      <c r="A208" s="2" t="str">
        <f>IF(ISBLANK(F208),"",SUBTOTAL(3,F$14:$G208))</f>
        <v/>
      </c>
      <c r="B208" s="98" t="str">
        <f>IF(ISBLANK(G208),"",SUBTOTAL(3,$G$13:G208))</f>
        <v/>
      </c>
      <c r="C208" s="106"/>
      <c r="D208" s="107"/>
      <c r="E208" s="100"/>
      <c r="F208" s="107"/>
      <c r="G208" s="108"/>
      <c r="H208" s="139" t="str">
        <f t="shared" si="22"/>
        <v/>
      </c>
      <c r="I208" s="102" t="str">
        <f t="shared" si="23"/>
        <v/>
      </c>
      <c r="J208" s="103" t="str">
        <f t="shared" si="24"/>
        <v/>
      </c>
      <c r="K208" s="152" t="str">
        <f t="shared" si="25"/>
        <v/>
      </c>
      <c r="L208" s="104" t="str">
        <f t="shared" si="26"/>
        <v/>
      </c>
      <c r="M208" s="105"/>
      <c r="N208" s="105"/>
      <c r="O208" s="100"/>
      <c r="P208" s="172" t="str">
        <f t="shared" si="27"/>
        <v/>
      </c>
      <c r="T208" s="18"/>
      <c r="U208" s="19"/>
      <c r="V208" s="19"/>
      <c r="W208" s="181"/>
      <c r="X208" s="192"/>
      <c r="Y208" s="192"/>
    </row>
    <row r="209" spans="1:25" ht="16.8">
      <c r="A209" s="2" t="str">
        <f>IF(ISBLANK(F209),"",SUBTOTAL(3,F$14:$G209))</f>
        <v/>
      </c>
      <c r="B209" s="98" t="str">
        <f>IF(ISBLANK(G209),"",SUBTOTAL(3,$G$13:G209))</f>
        <v/>
      </c>
      <c r="C209" s="106"/>
      <c r="D209" s="107"/>
      <c r="E209" s="100"/>
      <c r="F209" s="107"/>
      <c r="G209" s="108"/>
      <c r="H209" s="139" t="str">
        <f t="shared" si="22"/>
        <v/>
      </c>
      <c r="I209" s="102" t="str">
        <f t="shared" si="23"/>
        <v/>
      </c>
      <c r="J209" s="103" t="str">
        <f t="shared" si="24"/>
        <v/>
      </c>
      <c r="K209" s="152" t="str">
        <f t="shared" si="25"/>
        <v/>
      </c>
      <c r="L209" s="104" t="str">
        <f t="shared" si="26"/>
        <v/>
      </c>
      <c r="M209" s="105"/>
      <c r="N209" s="105"/>
      <c r="O209" s="100"/>
      <c r="P209" s="172" t="str">
        <f t="shared" si="27"/>
        <v/>
      </c>
      <c r="T209" s="18"/>
      <c r="U209" s="19"/>
      <c r="V209" s="19"/>
      <c r="W209" s="181"/>
      <c r="X209" s="192"/>
      <c r="Y209" s="192"/>
    </row>
    <row r="210" spans="1:25" ht="16.8">
      <c r="A210" s="2" t="str">
        <f>IF(ISBLANK(F210),"",SUBTOTAL(3,F$14:$G210))</f>
        <v/>
      </c>
      <c r="B210" s="98" t="str">
        <f>IF(ISBLANK(G210),"",SUBTOTAL(3,$G$13:G210))</f>
        <v/>
      </c>
      <c r="C210" s="106"/>
      <c r="D210" s="107"/>
      <c r="E210" s="100"/>
      <c r="F210" s="107"/>
      <c r="G210" s="108"/>
      <c r="H210" s="139" t="str">
        <f t="shared" si="22"/>
        <v/>
      </c>
      <c r="I210" s="102" t="str">
        <f t="shared" si="23"/>
        <v/>
      </c>
      <c r="J210" s="103" t="str">
        <f t="shared" si="24"/>
        <v/>
      </c>
      <c r="K210" s="152" t="str">
        <f t="shared" si="25"/>
        <v/>
      </c>
      <c r="L210" s="104" t="str">
        <f t="shared" si="26"/>
        <v/>
      </c>
      <c r="M210" s="105"/>
      <c r="N210" s="105"/>
      <c r="O210" s="100"/>
      <c r="P210" s="172" t="str">
        <f t="shared" si="27"/>
        <v/>
      </c>
      <c r="T210" s="18"/>
      <c r="U210" s="19"/>
      <c r="V210" s="19"/>
      <c r="W210" s="181"/>
      <c r="X210" s="192"/>
      <c r="Y210" s="192"/>
    </row>
    <row r="211" spans="1:25" ht="16.8">
      <c r="A211" s="2" t="str">
        <f>IF(ISBLANK(F211),"",SUBTOTAL(3,F$14:$G211))</f>
        <v/>
      </c>
      <c r="B211" s="98" t="str">
        <f>IF(ISBLANK(G211),"",SUBTOTAL(3,$G$13:G211))</f>
        <v/>
      </c>
      <c r="C211" s="106"/>
      <c r="D211" s="107"/>
      <c r="E211" s="100"/>
      <c r="F211" s="107"/>
      <c r="G211" s="108"/>
      <c r="H211" s="139" t="str">
        <f t="shared" si="22"/>
        <v/>
      </c>
      <c r="I211" s="102" t="str">
        <f t="shared" si="23"/>
        <v/>
      </c>
      <c r="J211" s="103" t="str">
        <f t="shared" si="24"/>
        <v/>
      </c>
      <c r="K211" s="152" t="str">
        <f t="shared" si="25"/>
        <v/>
      </c>
      <c r="L211" s="104" t="str">
        <f t="shared" si="26"/>
        <v/>
      </c>
      <c r="M211" s="105"/>
      <c r="N211" s="105"/>
      <c r="O211" s="100"/>
      <c r="P211" s="172" t="str">
        <f t="shared" si="27"/>
        <v/>
      </c>
      <c r="T211" s="18"/>
      <c r="U211" s="19"/>
      <c r="V211" s="19"/>
      <c r="W211" s="181"/>
      <c r="X211" s="192"/>
      <c r="Y211" s="192"/>
    </row>
    <row r="212" spans="1:25" ht="16.8">
      <c r="A212" s="2" t="str">
        <f>IF(ISBLANK(F212),"",SUBTOTAL(3,F$14:$G212))</f>
        <v/>
      </c>
      <c r="B212" s="98" t="str">
        <f>IF(ISBLANK(G212),"",SUBTOTAL(3,$G$13:G212))</f>
        <v/>
      </c>
      <c r="C212" s="106"/>
      <c r="D212" s="107"/>
      <c r="E212" s="100"/>
      <c r="F212" s="107"/>
      <c r="G212" s="108"/>
      <c r="H212" s="139" t="str">
        <f t="shared" si="22"/>
        <v/>
      </c>
      <c r="I212" s="102" t="str">
        <f t="shared" si="23"/>
        <v/>
      </c>
      <c r="J212" s="103" t="str">
        <f t="shared" si="24"/>
        <v/>
      </c>
      <c r="K212" s="152" t="str">
        <f t="shared" si="25"/>
        <v/>
      </c>
      <c r="L212" s="104" t="str">
        <f t="shared" si="26"/>
        <v/>
      </c>
      <c r="M212" s="105"/>
      <c r="N212" s="105"/>
      <c r="O212" s="100"/>
      <c r="P212" s="172" t="str">
        <f t="shared" si="27"/>
        <v/>
      </c>
      <c r="T212" s="18"/>
      <c r="U212" s="19"/>
      <c r="V212" s="19"/>
      <c r="W212" s="181"/>
      <c r="X212" s="192"/>
      <c r="Y212" s="192"/>
    </row>
    <row r="213" spans="1:25" ht="16.8">
      <c r="A213" s="2" t="str">
        <f>IF(ISBLANK(F213),"",SUBTOTAL(3,F$14:$G213))</f>
        <v/>
      </c>
      <c r="B213" s="98" t="str">
        <f>IF(ISBLANK(G213),"",SUBTOTAL(3,$G$13:G213))</f>
        <v/>
      </c>
      <c r="C213" s="106"/>
      <c r="D213" s="107"/>
      <c r="E213" s="100"/>
      <c r="F213" s="107"/>
      <c r="G213" s="108"/>
      <c r="H213" s="139" t="str">
        <f t="shared" si="22"/>
        <v/>
      </c>
      <c r="I213" s="102" t="str">
        <f t="shared" si="23"/>
        <v/>
      </c>
      <c r="J213" s="103" t="str">
        <f t="shared" si="24"/>
        <v/>
      </c>
      <c r="K213" s="152" t="str">
        <f t="shared" si="25"/>
        <v/>
      </c>
      <c r="L213" s="104" t="str">
        <f t="shared" si="26"/>
        <v/>
      </c>
      <c r="M213" s="105"/>
      <c r="N213" s="105"/>
      <c r="O213" s="100"/>
      <c r="P213" s="172" t="str">
        <f t="shared" si="27"/>
        <v/>
      </c>
      <c r="T213" s="18"/>
      <c r="U213" s="19"/>
      <c r="V213" s="19"/>
      <c r="W213" s="181"/>
      <c r="X213" s="192"/>
      <c r="Y213" s="192"/>
    </row>
    <row r="214" spans="1:25" ht="16.8">
      <c r="A214" s="2" t="str">
        <f>IF(ISBLANK(F214),"",SUBTOTAL(3,F$14:$G214))</f>
        <v/>
      </c>
      <c r="B214" s="98" t="str">
        <f>IF(ISBLANK(G214),"",SUBTOTAL(3,$G$13:G214))</f>
        <v/>
      </c>
      <c r="C214" s="106"/>
      <c r="D214" s="107"/>
      <c r="E214" s="100"/>
      <c r="F214" s="107"/>
      <c r="G214" s="108"/>
      <c r="H214" s="139" t="str">
        <f t="shared" si="22"/>
        <v/>
      </c>
      <c r="I214" s="102" t="str">
        <f t="shared" si="23"/>
        <v/>
      </c>
      <c r="J214" s="103" t="str">
        <f t="shared" si="24"/>
        <v/>
      </c>
      <c r="K214" s="152" t="str">
        <f t="shared" si="25"/>
        <v/>
      </c>
      <c r="L214" s="104" t="str">
        <f t="shared" si="26"/>
        <v/>
      </c>
      <c r="M214" s="105"/>
      <c r="N214" s="105"/>
      <c r="O214" s="100"/>
      <c r="P214" s="172" t="str">
        <f t="shared" si="27"/>
        <v/>
      </c>
      <c r="T214" s="18"/>
      <c r="U214" s="19"/>
      <c r="V214" s="19"/>
      <c r="W214" s="181"/>
      <c r="X214" s="192"/>
      <c r="Y214" s="192"/>
    </row>
    <row r="215" spans="1:25" ht="16.8">
      <c r="A215" s="2" t="str">
        <f>IF(ISBLANK(F215),"",SUBTOTAL(3,F$14:$G215))</f>
        <v/>
      </c>
      <c r="B215" s="98" t="str">
        <f>IF(ISBLANK(G215),"",SUBTOTAL(3,$G$13:G215))</f>
        <v/>
      </c>
      <c r="C215" s="106"/>
      <c r="D215" s="107"/>
      <c r="E215" s="100"/>
      <c r="F215" s="107"/>
      <c r="G215" s="108"/>
      <c r="H215" s="139" t="str">
        <f t="shared" si="22"/>
        <v/>
      </c>
      <c r="I215" s="102" t="str">
        <f t="shared" si="23"/>
        <v/>
      </c>
      <c r="J215" s="103" t="str">
        <f t="shared" si="24"/>
        <v/>
      </c>
      <c r="K215" s="152" t="str">
        <f t="shared" si="25"/>
        <v/>
      </c>
      <c r="L215" s="104" t="str">
        <f t="shared" si="26"/>
        <v/>
      </c>
      <c r="M215" s="105"/>
      <c r="N215" s="105"/>
      <c r="O215" s="100"/>
      <c r="P215" s="172" t="str">
        <f t="shared" si="27"/>
        <v/>
      </c>
      <c r="T215" s="18"/>
      <c r="U215" s="19"/>
      <c r="V215" s="19"/>
      <c r="W215" s="181"/>
      <c r="X215" s="192"/>
      <c r="Y215" s="192"/>
    </row>
    <row r="216" spans="1:25" ht="16.8">
      <c r="A216" s="2" t="str">
        <f>IF(ISBLANK(F216),"",SUBTOTAL(3,F$14:$G216))</f>
        <v/>
      </c>
      <c r="B216" s="98" t="str">
        <f>IF(ISBLANK(G216),"",SUBTOTAL(3,$G$13:G216))</f>
        <v/>
      </c>
      <c r="C216" s="106"/>
      <c r="D216" s="107"/>
      <c r="E216" s="100"/>
      <c r="F216" s="107"/>
      <c r="G216" s="108"/>
      <c r="H216" s="139" t="str">
        <f t="shared" si="22"/>
        <v/>
      </c>
      <c r="I216" s="102" t="str">
        <f t="shared" si="23"/>
        <v/>
      </c>
      <c r="J216" s="103" t="str">
        <f t="shared" si="24"/>
        <v/>
      </c>
      <c r="K216" s="152" t="str">
        <f t="shared" si="25"/>
        <v/>
      </c>
      <c r="L216" s="104" t="str">
        <f t="shared" si="26"/>
        <v/>
      </c>
      <c r="M216" s="105"/>
      <c r="N216" s="105"/>
      <c r="O216" s="100"/>
      <c r="P216" s="172" t="str">
        <f t="shared" si="27"/>
        <v/>
      </c>
      <c r="T216" s="18"/>
      <c r="U216" s="19"/>
      <c r="V216" s="19"/>
      <c r="W216" s="181"/>
      <c r="X216" s="192"/>
      <c r="Y216" s="192"/>
    </row>
    <row r="217" spans="1:25" ht="16.8">
      <c r="A217" s="2" t="str">
        <f>IF(ISBLANK(F217),"",SUBTOTAL(3,F$14:$G217))</f>
        <v/>
      </c>
      <c r="B217" s="98" t="str">
        <f>IF(ISBLANK(G217),"",SUBTOTAL(3,$G$13:G217))</f>
        <v/>
      </c>
      <c r="C217" s="106"/>
      <c r="D217" s="107"/>
      <c r="E217" s="100"/>
      <c r="F217" s="107"/>
      <c r="G217" s="108"/>
      <c r="H217" s="139" t="str">
        <f t="shared" si="22"/>
        <v/>
      </c>
      <c r="I217" s="102" t="str">
        <f t="shared" si="23"/>
        <v/>
      </c>
      <c r="J217" s="103" t="str">
        <f t="shared" si="24"/>
        <v/>
      </c>
      <c r="K217" s="152" t="str">
        <f t="shared" si="25"/>
        <v/>
      </c>
      <c r="L217" s="104" t="str">
        <f t="shared" si="26"/>
        <v/>
      </c>
      <c r="M217" s="105"/>
      <c r="N217" s="105"/>
      <c r="O217" s="100"/>
      <c r="P217" s="172" t="str">
        <f t="shared" si="27"/>
        <v/>
      </c>
      <c r="T217" s="18"/>
      <c r="U217" s="19"/>
      <c r="V217" s="19"/>
      <c r="W217" s="181"/>
      <c r="X217" s="192"/>
      <c r="Y217" s="192"/>
    </row>
    <row r="218" spans="1:25" ht="16.8">
      <c r="A218" s="2" t="str">
        <f>IF(ISBLANK(F218),"",SUBTOTAL(3,F$14:$G218))</f>
        <v/>
      </c>
      <c r="B218" s="98" t="str">
        <f>IF(ISBLANK(G218),"",SUBTOTAL(3,$G$13:G218))</f>
        <v/>
      </c>
      <c r="C218" s="106"/>
      <c r="D218" s="107"/>
      <c r="E218" s="100"/>
      <c r="F218" s="107"/>
      <c r="G218" s="108"/>
      <c r="H218" s="139" t="str">
        <f t="shared" si="22"/>
        <v/>
      </c>
      <c r="I218" s="102" t="str">
        <f t="shared" si="23"/>
        <v/>
      </c>
      <c r="J218" s="103" t="str">
        <f t="shared" si="24"/>
        <v/>
      </c>
      <c r="K218" s="152" t="str">
        <f t="shared" si="25"/>
        <v/>
      </c>
      <c r="L218" s="104" t="str">
        <f t="shared" si="26"/>
        <v/>
      </c>
      <c r="M218" s="105"/>
      <c r="N218" s="105"/>
      <c r="O218" s="100"/>
      <c r="P218" s="172" t="str">
        <f t="shared" si="27"/>
        <v/>
      </c>
      <c r="T218" s="18"/>
      <c r="U218" s="19"/>
      <c r="V218" s="19"/>
      <c r="W218" s="181"/>
      <c r="X218" s="192"/>
      <c r="Y218" s="192"/>
    </row>
    <row r="219" spans="1:25" ht="16.8">
      <c r="A219" s="2" t="str">
        <f>IF(ISBLANK(F219),"",SUBTOTAL(3,F$14:$G219))</f>
        <v/>
      </c>
      <c r="B219" s="98" t="str">
        <f>IF(ISBLANK(G219),"",SUBTOTAL(3,$G$13:G219))</f>
        <v/>
      </c>
      <c r="C219" s="106"/>
      <c r="D219" s="107"/>
      <c r="E219" s="100"/>
      <c r="F219" s="107"/>
      <c r="G219" s="108"/>
      <c r="H219" s="139" t="str">
        <f t="shared" si="22"/>
        <v/>
      </c>
      <c r="I219" s="102" t="str">
        <f t="shared" si="23"/>
        <v/>
      </c>
      <c r="J219" s="103" t="str">
        <f t="shared" si="24"/>
        <v/>
      </c>
      <c r="K219" s="152" t="str">
        <f t="shared" si="25"/>
        <v/>
      </c>
      <c r="L219" s="104" t="str">
        <f t="shared" si="26"/>
        <v/>
      </c>
      <c r="M219" s="105"/>
      <c r="N219" s="105"/>
      <c r="O219" s="100"/>
      <c r="P219" s="172" t="str">
        <f t="shared" si="27"/>
        <v/>
      </c>
      <c r="T219" s="18"/>
      <c r="U219" s="19"/>
      <c r="V219" s="19"/>
      <c r="W219" s="181"/>
      <c r="X219" s="192"/>
      <c r="Y219" s="192"/>
    </row>
    <row r="220" spans="1:25" ht="16.8">
      <c r="A220" s="2" t="str">
        <f>IF(ISBLANK(F220),"",SUBTOTAL(3,F$14:$G220))</f>
        <v/>
      </c>
      <c r="B220" s="98" t="str">
        <f>IF(ISBLANK(G220),"",SUBTOTAL(3,$G$13:G220))</f>
        <v/>
      </c>
      <c r="C220" s="106"/>
      <c r="D220" s="107"/>
      <c r="E220" s="100"/>
      <c r="F220" s="107"/>
      <c r="G220" s="108"/>
      <c r="H220" s="139" t="str">
        <f t="shared" si="22"/>
        <v/>
      </c>
      <c r="I220" s="102" t="str">
        <f t="shared" si="23"/>
        <v/>
      </c>
      <c r="J220" s="103" t="str">
        <f t="shared" si="24"/>
        <v/>
      </c>
      <c r="K220" s="152" t="str">
        <f t="shared" si="25"/>
        <v/>
      </c>
      <c r="L220" s="104" t="str">
        <f t="shared" si="26"/>
        <v/>
      </c>
      <c r="M220" s="105"/>
      <c r="N220" s="105"/>
      <c r="O220" s="100"/>
      <c r="P220" s="172" t="str">
        <f t="shared" si="27"/>
        <v/>
      </c>
      <c r="T220" s="18"/>
      <c r="U220" s="19"/>
      <c r="V220" s="19"/>
      <c r="W220" s="181"/>
      <c r="X220" s="192"/>
      <c r="Y220" s="192"/>
    </row>
    <row r="221" spans="1:25" ht="16.8">
      <c r="A221" s="2" t="str">
        <f>IF(ISBLANK(F221),"",SUBTOTAL(3,F$14:$G221))</f>
        <v/>
      </c>
      <c r="B221" s="98" t="str">
        <f>IF(ISBLANK(G221),"",SUBTOTAL(3,$G$13:G221))</f>
        <v/>
      </c>
      <c r="C221" s="106"/>
      <c r="D221" s="107"/>
      <c r="E221" s="100"/>
      <c r="F221" s="107"/>
      <c r="G221" s="108"/>
      <c r="H221" s="139" t="str">
        <f t="shared" si="22"/>
        <v/>
      </c>
      <c r="I221" s="102" t="str">
        <f t="shared" si="23"/>
        <v/>
      </c>
      <c r="J221" s="103" t="str">
        <f t="shared" si="24"/>
        <v/>
      </c>
      <c r="K221" s="152" t="str">
        <f t="shared" si="25"/>
        <v/>
      </c>
      <c r="L221" s="104" t="str">
        <f t="shared" si="26"/>
        <v/>
      </c>
      <c r="M221" s="105"/>
      <c r="N221" s="105"/>
      <c r="O221" s="100"/>
      <c r="P221" s="172" t="str">
        <f t="shared" si="27"/>
        <v/>
      </c>
      <c r="T221" s="18"/>
      <c r="U221" s="19"/>
      <c r="V221" s="19"/>
      <c r="W221" s="181"/>
      <c r="X221" s="192"/>
      <c r="Y221" s="192"/>
    </row>
    <row r="222" spans="1:25" ht="16.8">
      <c r="A222" s="2" t="str">
        <f>IF(ISBLANK(F222),"",SUBTOTAL(3,F$14:$G222))</f>
        <v/>
      </c>
      <c r="B222" s="98" t="str">
        <f>IF(ISBLANK(G222),"",SUBTOTAL(3,$G$13:G222))</f>
        <v/>
      </c>
      <c r="C222" s="106"/>
      <c r="D222" s="107"/>
      <c r="E222" s="100"/>
      <c r="F222" s="107"/>
      <c r="G222" s="108"/>
      <c r="H222" s="139" t="str">
        <f t="shared" si="22"/>
        <v/>
      </c>
      <c r="I222" s="102" t="str">
        <f t="shared" si="23"/>
        <v/>
      </c>
      <c r="J222" s="103" t="str">
        <f t="shared" si="24"/>
        <v/>
      </c>
      <c r="K222" s="152" t="str">
        <f t="shared" si="25"/>
        <v/>
      </c>
      <c r="L222" s="104" t="str">
        <f t="shared" si="26"/>
        <v/>
      </c>
      <c r="M222" s="105"/>
      <c r="N222" s="105"/>
      <c r="O222" s="100"/>
      <c r="P222" s="172" t="str">
        <f t="shared" si="27"/>
        <v/>
      </c>
      <c r="T222" s="18"/>
      <c r="U222" s="19"/>
      <c r="V222" s="19"/>
      <c r="W222" s="181"/>
      <c r="X222" s="192"/>
      <c r="Y222" s="192"/>
    </row>
    <row r="223" spans="1:25" ht="16.8">
      <c r="A223" s="2" t="str">
        <f>IF(ISBLANK(F223),"",SUBTOTAL(3,F$14:$G223))</f>
        <v/>
      </c>
      <c r="B223" s="98" t="str">
        <f>IF(ISBLANK(G223),"",SUBTOTAL(3,$G$13:G223))</f>
        <v/>
      </c>
      <c r="C223" s="106"/>
      <c r="D223" s="107"/>
      <c r="E223" s="100"/>
      <c r="F223" s="107"/>
      <c r="G223" s="108"/>
      <c r="H223" s="139" t="str">
        <f t="shared" si="22"/>
        <v/>
      </c>
      <c r="I223" s="102" t="str">
        <f t="shared" si="23"/>
        <v/>
      </c>
      <c r="J223" s="103" t="str">
        <f t="shared" si="24"/>
        <v/>
      </c>
      <c r="K223" s="152" t="str">
        <f t="shared" si="25"/>
        <v/>
      </c>
      <c r="L223" s="104" t="str">
        <f t="shared" si="26"/>
        <v/>
      </c>
      <c r="M223" s="105"/>
      <c r="N223" s="105"/>
      <c r="O223" s="100"/>
      <c r="P223" s="172" t="str">
        <f t="shared" si="27"/>
        <v/>
      </c>
      <c r="T223" s="18"/>
      <c r="U223" s="19"/>
      <c r="V223" s="19"/>
      <c r="W223" s="181"/>
      <c r="X223" s="192"/>
      <c r="Y223" s="192"/>
    </row>
    <row r="224" spans="1:25" ht="16.8">
      <c r="A224" s="2" t="str">
        <f>IF(ISBLANK(F224),"",SUBTOTAL(3,F$14:$G224))</f>
        <v/>
      </c>
      <c r="B224" s="98" t="str">
        <f>IF(ISBLANK(G224),"",SUBTOTAL(3,$G$13:G224))</f>
        <v/>
      </c>
      <c r="C224" s="106"/>
      <c r="D224" s="107"/>
      <c r="E224" s="100"/>
      <c r="F224" s="107"/>
      <c r="G224" s="108"/>
      <c r="H224" s="139" t="str">
        <f t="shared" si="22"/>
        <v/>
      </c>
      <c r="I224" s="102" t="str">
        <f t="shared" si="23"/>
        <v/>
      </c>
      <c r="J224" s="103" t="str">
        <f t="shared" si="24"/>
        <v/>
      </c>
      <c r="K224" s="152" t="str">
        <f t="shared" si="25"/>
        <v/>
      </c>
      <c r="L224" s="104" t="str">
        <f t="shared" si="26"/>
        <v/>
      </c>
      <c r="M224" s="105"/>
      <c r="N224" s="105"/>
      <c r="O224" s="100"/>
      <c r="P224" s="172" t="str">
        <f t="shared" si="27"/>
        <v/>
      </c>
      <c r="T224" s="18"/>
      <c r="U224" s="19"/>
      <c r="V224" s="19"/>
      <c r="W224" s="181"/>
      <c r="X224" s="192"/>
      <c r="Y224" s="192"/>
    </row>
    <row r="225" spans="1:25" ht="16.8">
      <c r="A225" s="2" t="str">
        <f>IF(ISBLANK(F225),"",SUBTOTAL(3,F$14:$G225))</f>
        <v/>
      </c>
      <c r="B225" s="98" t="str">
        <f>IF(ISBLANK(G225),"",SUBTOTAL(3,$G$13:G225))</f>
        <v/>
      </c>
      <c r="C225" s="106"/>
      <c r="D225" s="107"/>
      <c r="E225" s="100"/>
      <c r="F225" s="107"/>
      <c r="G225" s="108"/>
      <c r="H225" s="139" t="str">
        <f t="shared" si="22"/>
        <v/>
      </c>
      <c r="I225" s="102" t="str">
        <f t="shared" si="23"/>
        <v/>
      </c>
      <c r="J225" s="103" t="str">
        <f t="shared" si="24"/>
        <v/>
      </c>
      <c r="K225" s="152" t="str">
        <f t="shared" si="25"/>
        <v/>
      </c>
      <c r="L225" s="104" t="str">
        <f t="shared" si="26"/>
        <v/>
      </c>
      <c r="M225" s="105"/>
      <c r="N225" s="105"/>
      <c r="O225" s="100"/>
      <c r="P225" s="172" t="str">
        <f t="shared" si="27"/>
        <v/>
      </c>
      <c r="T225" s="18"/>
      <c r="U225" s="19"/>
      <c r="V225" s="19"/>
      <c r="W225" s="181"/>
      <c r="X225" s="192"/>
      <c r="Y225" s="192"/>
    </row>
    <row r="226" spans="1:25" ht="16.8">
      <c r="A226" s="2" t="str">
        <f>IF(ISBLANK(F226),"",SUBTOTAL(3,F$14:$G226))</f>
        <v/>
      </c>
      <c r="B226" s="98" t="str">
        <f>IF(ISBLANK(G226),"",SUBTOTAL(3,$G$13:G226))</f>
        <v/>
      </c>
      <c r="C226" s="106"/>
      <c r="D226" s="107"/>
      <c r="E226" s="100"/>
      <c r="F226" s="107"/>
      <c r="G226" s="108"/>
      <c r="H226" s="139" t="str">
        <f t="shared" si="22"/>
        <v/>
      </c>
      <c r="I226" s="102" t="str">
        <f t="shared" si="23"/>
        <v/>
      </c>
      <c r="J226" s="103" t="str">
        <f t="shared" si="24"/>
        <v/>
      </c>
      <c r="K226" s="152" t="str">
        <f t="shared" si="25"/>
        <v/>
      </c>
      <c r="L226" s="104" t="str">
        <f t="shared" si="26"/>
        <v/>
      </c>
      <c r="M226" s="105"/>
      <c r="N226" s="105"/>
      <c r="O226" s="100"/>
      <c r="P226" s="172" t="str">
        <f t="shared" si="27"/>
        <v/>
      </c>
      <c r="T226" s="18"/>
      <c r="U226" s="19"/>
      <c r="V226" s="19"/>
      <c r="W226" s="181"/>
      <c r="X226" s="192"/>
      <c r="Y226" s="192"/>
    </row>
    <row r="227" spans="1:25" ht="16.8">
      <c r="A227" s="2" t="str">
        <f>IF(ISBLANK(F227),"",SUBTOTAL(3,F$14:$G227))</f>
        <v/>
      </c>
      <c r="B227" s="98" t="str">
        <f>IF(ISBLANK(G227),"",SUBTOTAL(3,$G$13:G227))</f>
        <v/>
      </c>
      <c r="C227" s="106"/>
      <c r="D227" s="107"/>
      <c r="E227" s="100"/>
      <c r="F227" s="107"/>
      <c r="G227" s="108"/>
      <c r="H227" s="139" t="str">
        <f t="shared" si="22"/>
        <v/>
      </c>
      <c r="I227" s="102" t="str">
        <f t="shared" si="23"/>
        <v/>
      </c>
      <c r="J227" s="103" t="str">
        <f t="shared" si="24"/>
        <v/>
      </c>
      <c r="K227" s="152" t="str">
        <f t="shared" si="25"/>
        <v/>
      </c>
      <c r="L227" s="104" t="str">
        <f t="shared" si="26"/>
        <v/>
      </c>
      <c r="M227" s="105"/>
      <c r="N227" s="105"/>
      <c r="O227" s="100"/>
      <c r="P227" s="172" t="str">
        <f t="shared" si="27"/>
        <v/>
      </c>
      <c r="T227" s="18"/>
      <c r="U227" s="19"/>
      <c r="V227" s="19"/>
      <c r="W227" s="181"/>
      <c r="X227" s="192"/>
      <c r="Y227" s="192"/>
    </row>
    <row r="228" spans="1:25" ht="16.8">
      <c r="A228" s="2" t="str">
        <f>IF(ISBLANK(F228),"",SUBTOTAL(3,F$14:$G228))</f>
        <v/>
      </c>
      <c r="B228" s="98" t="str">
        <f>IF(ISBLANK(G228),"",SUBTOTAL(3,$G$13:G228))</f>
        <v/>
      </c>
      <c r="C228" s="106"/>
      <c r="D228" s="107"/>
      <c r="E228" s="100"/>
      <c r="F228" s="107"/>
      <c r="G228" s="108"/>
      <c r="H228" s="139" t="str">
        <f t="shared" si="22"/>
        <v/>
      </c>
      <c r="I228" s="102" t="str">
        <f t="shared" si="23"/>
        <v/>
      </c>
      <c r="J228" s="103" t="str">
        <f t="shared" si="24"/>
        <v/>
      </c>
      <c r="K228" s="152" t="str">
        <f t="shared" si="25"/>
        <v/>
      </c>
      <c r="L228" s="104" t="str">
        <f t="shared" si="26"/>
        <v/>
      </c>
      <c r="M228" s="105"/>
      <c r="N228" s="105"/>
      <c r="O228" s="100"/>
      <c r="P228" s="172" t="str">
        <f t="shared" si="27"/>
        <v/>
      </c>
      <c r="T228" s="18"/>
      <c r="U228" s="19"/>
      <c r="V228" s="19"/>
      <c r="W228" s="181"/>
      <c r="X228" s="192"/>
      <c r="Y228" s="192"/>
    </row>
    <row r="229" spans="1:25" ht="16.8">
      <c r="A229" s="2" t="str">
        <f>IF(ISBLANK(F229),"",SUBTOTAL(3,F$14:$G229))</f>
        <v/>
      </c>
      <c r="B229" s="98" t="str">
        <f>IF(ISBLANK(G229),"",SUBTOTAL(3,$G$13:G229))</f>
        <v/>
      </c>
      <c r="C229" s="106"/>
      <c r="D229" s="107"/>
      <c r="E229" s="100"/>
      <c r="F229" s="107"/>
      <c r="G229" s="108"/>
      <c r="H229" s="139" t="str">
        <f t="shared" si="22"/>
        <v/>
      </c>
      <c r="I229" s="102" t="str">
        <f t="shared" si="23"/>
        <v/>
      </c>
      <c r="J229" s="103" t="str">
        <f t="shared" si="24"/>
        <v/>
      </c>
      <c r="K229" s="152" t="str">
        <f t="shared" si="25"/>
        <v/>
      </c>
      <c r="L229" s="104" t="str">
        <f t="shared" si="26"/>
        <v/>
      </c>
      <c r="M229" s="105"/>
      <c r="N229" s="105"/>
      <c r="O229" s="100"/>
      <c r="P229" s="172" t="str">
        <f t="shared" si="27"/>
        <v/>
      </c>
      <c r="T229" s="18"/>
      <c r="U229" s="19"/>
      <c r="V229" s="19"/>
      <c r="W229" s="181"/>
      <c r="X229" s="192"/>
      <c r="Y229" s="192"/>
    </row>
    <row r="230" spans="1:25" ht="16.8">
      <c r="A230" s="2" t="str">
        <f>IF(ISBLANK(F230),"",SUBTOTAL(3,F$14:$G230))</f>
        <v/>
      </c>
      <c r="B230" s="98" t="str">
        <f>IF(ISBLANK(G230),"",SUBTOTAL(3,$G$13:G230))</f>
        <v/>
      </c>
      <c r="C230" s="106"/>
      <c r="D230" s="107"/>
      <c r="E230" s="100"/>
      <c r="F230" s="107"/>
      <c r="G230" s="108"/>
      <c r="H230" s="139" t="str">
        <f t="shared" si="22"/>
        <v/>
      </c>
      <c r="I230" s="102" t="str">
        <f t="shared" si="23"/>
        <v/>
      </c>
      <c r="J230" s="103" t="str">
        <f t="shared" si="24"/>
        <v/>
      </c>
      <c r="K230" s="152" t="str">
        <f t="shared" si="25"/>
        <v/>
      </c>
      <c r="L230" s="104" t="str">
        <f t="shared" si="26"/>
        <v/>
      </c>
      <c r="M230" s="105"/>
      <c r="N230" s="105"/>
      <c r="O230" s="100"/>
      <c r="P230" s="172" t="str">
        <f t="shared" si="27"/>
        <v/>
      </c>
      <c r="T230" s="18"/>
      <c r="U230" s="19"/>
      <c r="V230" s="19"/>
      <c r="W230" s="181"/>
      <c r="X230" s="192"/>
      <c r="Y230" s="192"/>
    </row>
    <row r="231" spans="1:25" ht="16.8">
      <c r="A231" s="2" t="str">
        <f>IF(ISBLANK(F231),"",SUBTOTAL(3,F$14:$G231))</f>
        <v/>
      </c>
      <c r="B231" s="98" t="str">
        <f>IF(ISBLANK(G231),"",SUBTOTAL(3,$G$13:G231))</f>
        <v/>
      </c>
      <c r="C231" s="106"/>
      <c r="D231" s="107"/>
      <c r="E231" s="100"/>
      <c r="F231" s="107"/>
      <c r="G231" s="108"/>
      <c r="H231" s="139" t="str">
        <f t="shared" si="22"/>
        <v/>
      </c>
      <c r="I231" s="102" t="str">
        <f t="shared" si="23"/>
        <v/>
      </c>
      <c r="J231" s="103" t="str">
        <f t="shared" si="24"/>
        <v/>
      </c>
      <c r="K231" s="152" t="str">
        <f t="shared" si="25"/>
        <v/>
      </c>
      <c r="L231" s="104" t="str">
        <f t="shared" si="26"/>
        <v/>
      </c>
      <c r="M231" s="105"/>
      <c r="N231" s="105"/>
      <c r="O231" s="100"/>
      <c r="P231" s="172" t="str">
        <f t="shared" si="27"/>
        <v/>
      </c>
      <c r="T231" s="18"/>
      <c r="U231" s="19"/>
      <c r="V231" s="19"/>
      <c r="W231" s="181"/>
      <c r="X231" s="192"/>
      <c r="Y231" s="192"/>
    </row>
    <row r="232" spans="1:25" ht="16.8">
      <c r="A232" s="2" t="str">
        <f>IF(ISBLANK(F232),"",SUBTOTAL(3,F$14:$G232))</f>
        <v/>
      </c>
      <c r="B232" s="98" t="str">
        <f>IF(ISBLANK(G232),"",SUBTOTAL(3,$G$13:G232))</f>
        <v/>
      </c>
      <c r="C232" s="106"/>
      <c r="D232" s="107"/>
      <c r="E232" s="100"/>
      <c r="F232" s="107"/>
      <c r="G232" s="108"/>
      <c r="H232" s="139" t="str">
        <f t="shared" si="22"/>
        <v/>
      </c>
      <c r="I232" s="102" t="str">
        <f t="shared" si="23"/>
        <v/>
      </c>
      <c r="J232" s="103" t="str">
        <f t="shared" si="24"/>
        <v/>
      </c>
      <c r="K232" s="152" t="str">
        <f t="shared" si="25"/>
        <v/>
      </c>
      <c r="L232" s="104" t="str">
        <f t="shared" si="26"/>
        <v/>
      </c>
      <c r="M232" s="105"/>
      <c r="N232" s="105"/>
      <c r="O232" s="100"/>
      <c r="P232" s="172" t="str">
        <f t="shared" si="27"/>
        <v/>
      </c>
      <c r="T232" s="18"/>
      <c r="U232" s="19"/>
      <c r="V232" s="19"/>
      <c r="W232" s="181"/>
      <c r="X232" s="192"/>
      <c r="Y232" s="192"/>
    </row>
    <row r="233" spans="1:25" ht="16.8">
      <c r="A233" s="2" t="str">
        <f>IF(ISBLANK(F233),"",SUBTOTAL(3,F$14:$G233))</f>
        <v/>
      </c>
      <c r="B233" s="98" t="str">
        <f>IF(ISBLANK(G233),"",SUBTOTAL(3,$G$13:G233))</f>
        <v/>
      </c>
      <c r="C233" s="106"/>
      <c r="D233" s="107"/>
      <c r="E233" s="100"/>
      <c r="F233" s="107"/>
      <c r="G233" s="108"/>
      <c r="H233" s="139" t="str">
        <f t="shared" si="22"/>
        <v/>
      </c>
      <c r="I233" s="102" t="str">
        <f t="shared" si="23"/>
        <v/>
      </c>
      <c r="J233" s="103" t="str">
        <f t="shared" si="24"/>
        <v/>
      </c>
      <c r="K233" s="152" t="str">
        <f t="shared" si="25"/>
        <v/>
      </c>
      <c r="L233" s="104" t="str">
        <f t="shared" si="26"/>
        <v/>
      </c>
      <c r="M233" s="105"/>
      <c r="N233" s="105"/>
      <c r="O233" s="100"/>
      <c r="P233" s="172" t="str">
        <f t="shared" si="27"/>
        <v/>
      </c>
      <c r="T233" s="18"/>
      <c r="U233" s="19"/>
      <c r="V233" s="19"/>
      <c r="W233" s="181"/>
      <c r="X233" s="192"/>
      <c r="Y233" s="192"/>
    </row>
    <row r="234" spans="1:25" ht="16.8">
      <c r="A234" s="2" t="str">
        <f>IF(ISBLANK(F234),"",SUBTOTAL(3,F$14:$G234))</f>
        <v/>
      </c>
      <c r="B234" s="98" t="str">
        <f>IF(ISBLANK(G234),"",SUBTOTAL(3,$G$13:G234))</f>
        <v/>
      </c>
      <c r="C234" s="106"/>
      <c r="D234" s="107"/>
      <c r="E234" s="100"/>
      <c r="F234" s="107"/>
      <c r="G234" s="108"/>
      <c r="H234" s="139" t="str">
        <f t="shared" si="22"/>
        <v/>
      </c>
      <c r="I234" s="102" t="str">
        <f t="shared" si="23"/>
        <v/>
      </c>
      <c r="J234" s="103" t="str">
        <f t="shared" si="24"/>
        <v/>
      </c>
      <c r="K234" s="152" t="str">
        <f t="shared" si="25"/>
        <v/>
      </c>
      <c r="L234" s="104" t="str">
        <f t="shared" si="26"/>
        <v/>
      </c>
      <c r="M234" s="105"/>
      <c r="N234" s="105"/>
      <c r="O234" s="100"/>
      <c r="P234" s="172" t="str">
        <f t="shared" si="27"/>
        <v/>
      </c>
      <c r="T234" s="18"/>
      <c r="U234" s="19"/>
      <c r="V234" s="19"/>
      <c r="W234" s="181"/>
      <c r="X234" s="192"/>
      <c r="Y234" s="192"/>
    </row>
    <row r="235" spans="1:25" ht="16.8">
      <c r="A235" s="2" t="str">
        <f>IF(ISBLANK(F235),"",SUBTOTAL(3,F$14:$G235))</f>
        <v/>
      </c>
      <c r="B235" s="98" t="str">
        <f>IF(ISBLANK(G235),"",SUBTOTAL(3,$G$13:G235))</f>
        <v/>
      </c>
      <c r="C235" s="106"/>
      <c r="D235" s="107"/>
      <c r="E235" s="100"/>
      <c r="F235" s="107"/>
      <c r="G235" s="108"/>
      <c r="H235" s="139" t="str">
        <f t="shared" si="22"/>
        <v/>
      </c>
      <c r="I235" s="102" t="str">
        <f t="shared" si="23"/>
        <v/>
      </c>
      <c r="J235" s="103" t="str">
        <f t="shared" si="24"/>
        <v/>
      </c>
      <c r="K235" s="152" t="str">
        <f t="shared" si="25"/>
        <v/>
      </c>
      <c r="L235" s="104" t="str">
        <f t="shared" si="26"/>
        <v/>
      </c>
      <c r="M235" s="105"/>
      <c r="N235" s="105"/>
      <c r="O235" s="100"/>
      <c r="P235" s="172" t="str">
        <f t="shared" si="27"/>
        <v/>
      </c>
      <c r="T235" s="18"/>
      <c r="U235" s="19"/>
      <c r="V235" s="19"/>
      <c r="W235" s="181"/>
      <c r="X235" s="192"/>
      <c r="Y235" s="192"/>
    </row>
    <row r="236" spans="1:25" ht="16.8">
      <c r="A236" s="2" t="str">
        <f>IF(ISBLANK(F236),"",SUBTOTAL(3,F$14:$G236))</f>
        <v/>
      </c>
      <c r="B236" s="98" t="str">
        <f>IF(ISBLANK(G236),"",SUBTOTAL(3,$G$13:G236))</f>
        <v/>
      </c>
      <c r="C236" s="106"/>
      <c r="D236" s="107"/>
      <c r="E236" s="100"/>
      <c r="F236" s="107"/>
      <c r="G236" s="108"/>
      <c r="H236" s="139" t="str">
        <f t="shared" si="22"/>
        <v/>
      </c>
      <c r="I236" s="102" t="str">
        <f t="shared" si="23"/>
        <v/>
      </c>
      <c r="J236" s="103" t="str">
        <f t="shared" si="24"/>
        <v/>
      </c>
      <c r="K236" s="152" t="str">
        <f t="shared" si="25"/>
        <v/>
      </c>
      <c r="L236" s="104" t="str">
        <f t="shared" si="26"/>
        <v/>
      </c>
      <c r="M236" s="105"/>
      <c r="N236" s="105"/>
      <c r="O236" s="100"/>
      <c r="P236" s="172" t="str">
        <f t="shared" si="27"/>
        <v/>
      </c>
      <c r="T236" s="18"/>
      <c r="U236" s="19"/>
      <c r="V236" s="19"/>
      <c r="W236" s="181"/>
      <c r="X236" s="192"/>
      <c r="Y236" s="192"/>
    </row>
    <row r="237" spans="1:25" ht="16.8">
      <c r="A237" s="2" t="str">
        <f>IF(ISBLANK(F237),"",SUBTOTAL(3,F$14:$G237))</f>
        <v/>
      </c>
      <c r="B237" s="98" t="str">
        <f>IF(ISBLANK(G237),"",SUBTOTAL(3,$G$13:G237))</f>
        <v/>
      </c>
      <c r="C237" s="106"/>
      <c r="D237" s="107"/>
      <c r="E237" s="100"/>
      <c r="F237" s="107"/>
      <c r="G237" s="108"/>
      <c r="H237" s="139"/>
      <c r="I237" s="102" t="str">
        <f t="shared" si="23"/>
        <v/>
      </c>
      <c r="J237" s="103" t="str">
        <f t="shared" si="24"/>
        <v/>
      </c>
      <c r="K237" s="152" t="str">
        <f t="shared" si="25"/>
        <v/>
      </c>
      <c r="L237" s="104" t="str">
        <f t="shared" si="26"/>
        <v/>
      </c>
      <c r="M237" s="105"/>
      <c r="N237" s="105"/>
      <c r="O237" s="100"/>
      <c r="P237" s="172" t="str">
        <f t="shared" si="27"/>
        <v/>
      </c>
      <c r="T237" s="18"/>
      <c r="U237" s="19"/>
      <c r="V237" s="19"/>
      <c r="W237" s="181"/>
      <c r="X237" s="192"/>
      <c r="Y237" s="192"/>
    </row>
    <row r="238" spans="1:25" ht="16.8">
      <c r="A238" s="2" t="str">
        <f>IF(ISBLANK(F238),"",SUBTOTAL(3,F$14:$G238))</f>
        <v/>
      </c>
      <c r="B238" s="98" t="str">
        <f>IF(ISBLANK(G238),"",SUBTOTAL(3,$G$13:G238))</f>
        <v/>
      </c>
      <c r="C238" s="106"/>
      <c r="D238" s="107"/>
      <c r="E238" s="100"/>
      <c r="F238" s="107"/>
      <c r="G238" s="108"/>
      <c r="H238" s="139"/>
      <c r="I238" s="102" t="str">
        <f t="shared" si="23"/>
        <v/>
      </c>
      <c r="J238" s="103" t="str">
        <f t="shared" si="24"/>
        <v/>
      </c>
      <c r="K238" s="152" t="str">
        <f t="shared" si="25"/>
        <v/>
      </c>
      <c r="L238" s="104" t="str">
        <f t="shared" si="26"/>
        <v/>
      </c>
      <c r="M238" s="105"/>
      <c r="N238" s="105"/>
      <c r="O238" s="100"/>
      <c r="P238" s="172" t="str">
        <f t="shared" si="27"/>
        <v/>
      </c>
      <c r="T238" s="18"/>
      <c r="U238" s="19"/>
      <c r="V238" s="19"/>
      <c r="W238" s="181"/>
      <c r="X238" s="192"/>
      <c r="Y238" s="192"/>
    </row>
    <row r="239" spans="1:25" ht="16.8">
      <c r="A239" s="2" t="str">
        <f>IF(ISBLANK(F239),"",SUBTOTAL(3,F$14:$G239))</f>
        <v/>
      </c>
      <c r="B239" s="98" t="str">
        <f>IF(ISBLANK(G239),"",SUBTOTAL(3,$G$13:G239))</f>
        <v/>
      </c>
      <c r="C239" s="106"/>
      <c r="D239" s="107"/>
      <c r="E239" s="100"/>
      <c r="F239" s="107"/>
      <c r="G239" s="108"/>
      <c r="H239" s="139"/>
      <c r="I239" s="102" t="str">
        <f t="shared" si="23"/>
        <v/>
      </c>
      <c r="J239" s="103" t="str">
        <f t="shared" si="24"/>
        <v/>
      </c>
      <c r="K239" s="152" t="str">
        <f t="shared" si="25"/>
        <v/>
      </c>
      <c r="L239" s="104" t="str">
        <f t="shared" si="26"/>
        <v/>
      </c>
      <c r="M239" s="105"/>
      <c r="N239" s="105"/>
      <c r="O239" s="100"/>
      <c r="P239" s="172" t="str">
        <f t="shared" si="27"/>
        <v/>
      </c>
      <c r="T239" s="18"/>
      <c r="U239" s="19"/>
      <c r="V239" s="19"/>
      <c r="W239" s="181"/>
      <c r="X239" s="192"/>
      <c r="Y239" s="192"/>
    </row>
    <row r="240" spans="1:25" ht="16.8">
      <c r="A240" s="2" t="str">
        <f>IF(ISBLANK(F240),"",SUBTOTAL(3,F$14:$G240))</f>
        <v/>
      </c>
      <c r="B240" s="98" t="str">
        <f>IF(ISBLANK(G240),"",SUBTOTAL(3,$G$13:G240))</f>
        <v/>
      </c>
      <c r="C240" s="106"/>
      <c r="D240" s="107"/>
      <c r="E240" s="100"/>
      <c r="F240" s="107"/>
      <c r="G240" s="108"/>
      <c r="H240" s="139"/>
      <c r="I240" s="102" t="str">
        <f t="shared" si="23"/>
        <v/>
      </c>
      <c r="J240" s="103" t="str">
        <f t="shared" si="24"/>
        <v/>
      </c>
      <c r="K240" s="152" t="str">
        <f t="shared" si="25"/>
        <v/>
      </c>
      <c r="L240" s="104" t="str">
        <f t="shared" si="26"/>
        <v/>
      </c>
      <c r="M240" s="105"/>
      <c r="N240" s="105"/>
      <c r="O240" s="100"/>
      <c r="P240" s="172" t="str">
        <f t="shared" si="27"/>
        <v/>
      </c>
      <c r="T240" s="18"/>
      <c r="U240" s="19"/>
      <c r="V240" s="19"/>
      <c r="W240" s="181"/>
      <c r="X240" s="192"/>
      <c r="Y240" s="192"/>
    </row>
    <row r="241" spans="1:25" ht="16.8">
      <c r="A241" s="2" t="str">
        <f>IF(M241="","",COUNTIFS($M$13:M241,M241,$G$13:G241,"&gt;0"))</f>
        <v/>
      </c>
      <c r="B241" s="98" t="str">
        <f>IF(ISBLANK(G241),"",SUBTOTAL(3,$G$13:G241))</f>
        <v/>
      </c>
      <c r="C241" s="106"/>
      <c r="D241" s="107"/>
      <c r="E241" s="100"/>
      <c r="F241" s="107"/>
      <c r="G241" s="108"/>
      <c r="H241" s="139"/>
      <c r="I241" s="102" t="str">
        <f t="shared" si="23"/>
        <v/>
      </c>
      <c r="J241" s="103" t="str">
        <f t="shared" si="24"/>
        <v/>
      </c>
      <c r="K241" s="152" t="str">
        <f t="shared" si="25"/>
        <v/>
      </c>
      <c r="L241" s="104" t="str">
        <f t="shared" si="26"/>
        <v/>
      </c>
      <c r="M241" s="105"/>
      <c r="N241" s="105"/>
      <c r="O241" s="100"/>
      <c r="P241" s="172" t="str">
        <f t="shared" si="27"/>
        <v/>
      </c>
      <c r="T241" s="18"/>
      <c r="U241" s="19"/>
      <c r="V241" s="19"/>
      <c r="W241" s="181"/>
      <c r="X241" s="192"/>
      <c r="Y241" s="192"/>
    </row>
    <row r="242" spans="1:25" ht="16.8">
      <c r="A242" s="2" t="str">
        <f>IF(M242="","",COUNTIFS($M$13:M242,M242,$G$13:G242,"&gt;0"))</f>
        <v/>
      </c>
      <c r="B242" s="98" t="str">
        <f>IF(ISBLANK(G242),"",SUBTOTAL(3,$G$13:G242))</f>
        <v/>
      </c>
      <c r="C242" s="106"/>
      <c r="D242" s="107"/>
      <c r="E242" s="100"/>
      <c r="F242" s="107"/>
      <c r="G242" s="108"/>
      <c r="H242" s="139"/>
      <c r="I242" s="102" t="str">
        <f t="shared" si="23"/>
        <v/>
      </c>
      <c r="J242" s="103" t="str">
        <f t="shared" si="24"/>
        <v/>
      </c>
      <c r="K242" s="152" t="str">
        <f t="shared" si="25"/>
        <v/>
      </c>
      <c r="L242" s="104" t="str">
        <f t="shared" si="26"/>
        <v/>
      </c>
      <c r="M242" s="105"/>
      <c r="N242" s="105"/>
      <c r="O242" s="100"/>
      <c r="P242" s="172" t="str">
        <f t="shared" si="27"/>
        <v/>
      </c>
      <c r="T242" s="18"/>
      <c r="U242" s="19"/>
      <c r="V242" s="19"/>
      <c r="W242" s="181"/>
      <c r="X242" s="192"/>
      <c r="Y242" s="192"/>
    </row>
    <row r="243" spans="1:25" ht="16.8">
      <c r="A243" s="2" t="str">
        <f>IF(M243="","",COUNTIFS($M$13:M243,M243,$G$13:G243,"&gt;0"))</f>
        <v/>
      </c>
      <c r="B243" s="98" t="str">
        <f>IF(ISBLANK(G243),"",SUBTOTAL(3,$G$13:G243))</f>
        <v/>
      </c>
      <c r="C243" s="106"/>
      <c r="D243" s="107"/>
      <c r="E243" s="100"/>
      <c r="F243" s="107"/>
      <c r="G243" s="108"/>
      <c r="H243" s="139"/>
      <c r="I243" s="102" t="str">
        <f t="shared" si="23"/>
        <v/>
      </c>
      <c r="J243" s="103" t="str">
        <f t="shared" si="24"/>
        <v/>
      </c>
      <c r="K243" s="152" t="str">
        <f t="shared" si="25"/>
        <v/>
      </c>
      <c r="L243" s="104" t="str">
        <f t="shared" si="26"/>
        <v/>
      </c>
      <c r="M243" s="105"/>
      <c r="N243" s="105"/>
      <c r="O243" s="100"/>
      <c r="P243" s="172" t="str">
        <f t="shared" si="27"/>
        <v/>
      </c>
      <c r="T243" s="18"/>
      <c r="U243" s="19"/>
      <c r="V243" s="19"/>
      <c r="W243" s="181"/>
      <c r="X243" s="192"/>
      <c r="Y243" s="192"/>
    </row>
    <row r="244" spans="1:25" ht="16.8">
      <c r="A244" s="2" t="str">
        <f>IF(M244="","",COUNTIFS($M$13:M244,M244,$G$13:G244,"&gt;0"))</f>
        <v/>
      </c>
      <c r="B244" s="98" t="str">
        <f>IF(ISBLANK(G244),"",SUBTOTAL(3,$G$13:G244))</f>
        <v/>
      </c>
      <c r="C244" s="106"/>
      <c r="D244" s="107"/>
      <c r="E244" s="100"/>
      <c r="F244" s="107"/>
      <c r="G244" s="108"/>
      <c r="H244" s="139"/>
      <c r="I244" s="102" t="str">
        <f t="shared" si="23"/>
        <v/>
      </c>
      <c r="J244" s="103" t="str">
        <f t="shared" si="24"/>
        <v/>
      </c>
      <c r="K244" s="152" t="str">
        <f t="shared" si="25"/>
        <v/>
      </c>
      <c r="L244" s="104" t="str">
        <f t="shared" si="26"/>
        <v/>
      </c>
      <c r="M244" s="105"/>
      <c r="N244" s="105"/>
      <c r="O244" s="100"/>
      <c r="P244" s="172" t="str">
        <f t="shared" si="27"/>
        <v/>
      </c>
      <c r="T244" s="18"/>
      <c r="U244" s="19"/>
      <c r="V244" s="19"/>
      <c r="W244" s="181"/>
      <c r="X244" s="192"/>
      <c r="Y244" s="192"/>
    </row>
    <row r="245" spans="1:25" ht="16.8">
      <c r="A245" s="2" t="str">
        <f>IF(M245="","",COUNTIFS($M$13:M245,M245,$G$13:G245,"&gt;0"))</f>
        <v/>
      </c>
      <c r="B245" s="98" t="str">
        <f>IF(ISBLANK(G245),"",SUBTOTAL(3,$G$13:G245))</f>
        <v/>
      </c>
      <c r="C245" s="106"/>
      <c r="D245" s="107"/>
      <c r="E245" s="100"/>
      <c r="F245" s="107"/>
      <c r="G245" s="108"/>
      <c r="H245" s="139"/>
      <c r="I245" s="102" t="str">
        <f t="shared" si="23"/>
        <v/>
      </c>
      <c r="J245" s="103" t="str">
        <f t="shared" si="24"/>
        <v/>
      </c>
      <c r="K245" s="152" t="str">
        <f t="shared" si="25"/>
        <v/>
      </c>
      <c r="L245" s="104" t="str">
        <f t="shared" si="26"/>
        <v/>
      </c>
      <c r="M245" s="105"/>
      <c r="N245" s="105"/>
      <c r="O245" s="100"/>
      <c r="P245" s="172" t="str">
        <f t="shared" si="27"/>
        <v/>
      </c>
      <c r="T245" s="18"/>
      <c r="U245" s="19"/>
      <c r="V245" s="19"/>
      <c r="W245" s="181"/>
      <c r="X245" s="192"/>
      <c r="Y245" s="192"/>
    </row>
    <row r="246" spans="1:25" ht="16.8">
      <c r="A246" s="2" t="str">
        <f>IF(M246="","",COUNTIFS($M$13:M246,M246,$G$13:G246,"&gt;0"))</f>
        <v/>
      </c>
      <c r="B246" s="98" t="str">
        <f>IF(ISBLANK(G246),"",SUBTOTAL(3,$G$13:G246))</f>
        <v/>
      </c>
      <c r="C246" s="106"/>
      <c r="D246" s="107"/>
      <c r="E246" s="100"/>
      <c r="F246" s="107"/>
      <c r="G246" s="108"/>
      <c r="H246" s="139"/>
      <c r="I246" s="102" t="str">
        <f t="shared" si="23"/>
        <v/>
      </c>
      <c r="J246" s="103" t="str">
        <f t="shared" si="24"/>
        <v/>
      </c>
      <c r="K246" s="152" t="str">
        <f t="shared" si="25"/>
        <v/>
      </c>
      <c r="L246" s="104" t="str">
        <f t="shared" si="26"/>
        <v/>
      </c>
      <c r="M246" s="105"/>
      <c r="N246" s="105"/>
      <c r="O246" s="100"/>
      <c r="P246" s="172" t="str">
        <f t="shared" si="27"/>
        <v/>
      </c>
      <c r="T246" s="18"/>
      <c r="U246" s="19"/>
      <c r="V246" s="19"/>
      <c r="W246" s="181"/>
      <c r="X246" s="192"/>
      <c r="Y246" s="192"/>
    </row>
    <row r="247" spans="1:25" ht="16.8">
      <c r="A247" s="2" t="str">
        <f>IF(M247="","",COUNTIFS($M$13:M247,M247,$G$13:G247,"&gt;0"))</f>
        <v/>
      </c>
      <c r="B247" s="98" t="str">
        <f>IF(ISBLANK(G247),"",SUBTOTAL(3,$G$13:G247))</f>
        <v/>
      </c>
      <c r="C247" s="106"/>
      <c r="D247" s="107"/>
      <c r="E247" s="100"/>
      <c r="F247" s="107"/>
      <c r="G247" s="108"/>
      <c r="H247" s="139"/>
      <c r="I247" s="102" t="str">
        <f t="shared" si="23"/>
        <v/>
      </c>
      <c r="J247" s="103" t="str">
        <f t="shared" si="24"/>
        <v/>
      </c>
      <c r="K247" s="152" t="str">
        <f t="shared" si="25"/>
        <v/>
      </c>
      <c r="L247" s="104" t="str">
        <f t="shared" si="26"/>
        <v/>
      </c>
      <c r="M247" s="105"/>
      <c r="N247" s="105"/>
      <c r="O247" s="100"/>
      <c r="P247" s="172" t="str">
        <f t="shared" si="27"/>
        <v/>
      </c>
      <c r="T247" s="18"/>
      <c r="U247" s="19"/>
      <c r="V247" s="19"/>
      <c r="W247" s="181"/>
      <c r="X247" s="192"/>
      <c r="Y247" s="192"/>
    </row>
    <row r="248" spans="1:25" ht="16.8">
      <c r="A248" s="2" t="str">
        <f>IF(M248="","",COUNTIFS($M$13:M248,M248,$G$13:G248,"&gt;0"))</f>
        <v/>
      </c>
      <c r="B248" s="98" t="str">
        <f>IF(ISBLANK(G248),"",SUBTOTAL(3,$G$13:G248))</f>
        <v/>
      </c>
      <c r="C248" s="106"/>
      <c r="D248" s="107"/>
      <c r="E248" s="100"/>
      <c r="F248" s="107"/>
      <c r="G248" s="108"/>
      <c r="H248" s="139"/>
      <c r="I248" s="102" t="str">
        <f t="shared" si="23"/>
        <v/>
      </c>
      <c r="J248" s="103" t="str">
        <f t="shared" si="24"/>
        <v/>
      </c>
      <c r="K248" s="152" t="str">
        <f t="shared" si="25"/>
        <v/>
      </c>
      <c r="L248" s="104" t="str">
        <f t="shared" si="26"/>
        <v/>
      </c>
      <c r="M248" s="105"/>
      <c r="N248" s="105"/>
      <c r="O248" s="100"/>
      <c r="P248" s="172" t="str">
        <f t="shared" si="27"/>
        <v/>
      </c>
      <c r="T248" s="18"/>
      <c r="U248" s="19"/>
      <c r="V248" s="19"/>
      <c r="W248" s="181"/>
      <c r="X248" s="192"/>
      <c r="Y248" s="192"/>
    </row>
    <row r="249" spans="1:25" ht="16.8">
      <c r="A249" s="2" t="str">
        <f>IF(M249="","",COUNTIFS($M$13:M249,M249,$G$13:G249,"&gt;0"))</f>
        <v/>
      </c>
      <c r="B249" s="98" t="str">
        <f>IF(ISBLANK(G249),"",SUBTOTAL(3,$G$13:G249))</f>
        <v/>
      </c>
      <c r="C249" s="106"/>
      <c r="D249" s="107"/>
      <c r="E249" s="100"/>
      <c r="F249" s="107"/>
      <c r="G249" s="108"/>
      <c r="H249" s="139"/>
      <c r="I249" s="102" t="str">
        <f t="shared" si="23"/>
        <v/>
      </c>
      <c r="J249" s="103" t="str">
        <f t="shared" si="24"/>
        <v/>
      </c>
      <c r="K249" s="152" t="str">
        <f t="shared" si="25"/>
        <v/>
      </c>
      <c r="L249" s="104" t="str">
        <f t="shared" si="26"/>
        <v/>
      </c>
      <c r="M249" s="105"/>
      <c r="N249" s="105"/>
      <c r="O249" s="100"/>
      <c r="P249" s="172" t="str">
        <f t="shared" si="27"/>
        <v/>
      </c>
      <c r="T249" s="18"/>
      <c r="U249" s="19"/>
      <c r="V249" s="19"/>
      <c r="W249" s="181"/>
      <c r="X249" s="192"/>
      <c r="Y249" s="192"/>
    </row>
    <row r="250" spans="1:25" ht="16.8">
      <c r="A250" s="2" t="str">
        <f>IF(M250="","",COUNTIFS($M$13:M250,M250,$G$13:G250,"&gt;0"))</f>
        <v/>
      </c>
      <c r="B250" s="98" t="str">
        <f>IF(ISBLANK(G250),"",SUBTOTAL(3,$G$13:G250))</f>
        <v/>
      </c>
      <c r="C250" s="106"/>
      <c r="D250" s="107"/>
      <c r="E250" s="100"/>
      <c r="F250" s="107"/>
      <c r="G250" s="108"/>
      <c r="H250" s="139"/>
      <c r="I250" s="102" t="str">
        <f t="shared" si="23"/>
        <v/>
      </c>
      <c r="J250" s="103" t="str">
        <f t="shared" si="24"/>
        <v/>
      </c>
      <c r="K250" s="152" t="str">
        <f t="shared" si="25"/>
        <v/>
      </c>
      <c r="L250" s="104" t="str">
        <f t="shared" si="26"/>
        <v/>
      </c>
      <c r="M250" s="105"/>
      <c r="N250" s="105"/>
      <c r="O250" s="100"/>
      <c r="P250" s="172" t="str">
        <f t="shared" si="27"/>
        <v/>
      </c>
      <c r="T250" s="18"/>
      <c r="U250" s="19"/>
      <c r="V250" s="19"/>
      <c r="W250" s="181"/>
      <c r="X250" s="192"/>
      <c r="Y250" s="192"/>
    </row>
    <row r="251" spans="1:25" ht="16.8">
      <c r="A251" s="2" t="str">
        <f>IF(M251="","",COUNTIFS($M$13:M251,M251,$G$13:G251,"&gt;0"))</f>
        <v/>
      </c>
      <c r="B251" s="98" t="str">
        <f>IF(ISBLANK(G251),"",SUBTOTAL(3,$G$13:G251))</f>
        <v/>
      </c>
      <c r="C251" s="106"/>
      <c r="D251" s="107"/>
      <c r="E251" s="100"/>
      <c r="F251" s="107"/>
      <c r="G251" s="108"/>
      <c r="H251" s="139"/>
      <c r="I251" s="102" t="str">
        <f t="shared" si="23"/>
        <v/>
      </c>
      <c r="J251" s="103" t="str">
        <f t="shared" si="24"/>
        <v/>
      </c>
      <c r="K251" s="152" t="str">
        <f t="shared" si="25"/>
        <v/>
      </c>
      <c r="L251" s="104" t="str">
        <f t="shared" si="26"/>
        <v/>
      </c>
      <c r="M251" s="105"/>
      <c r="N251" s="105"/>
      <c r="O251" s="100"/>
      <c r="P251" s="172" t="str">
        <f t="shared" si="27"/>
        <v/>
      </c>
      <c r="T251" s="18"/>
      <c r="U251" s="19"/>
      <c r="V251" s="19"/>
      <c r="W251" s="181"/>
      <c r="X251" s="192"/>
      <c r="Y251" s="192"/>
    </row>
    <row r="252" spans="1:25" ht="16.8">
      <c r="A252" s="2" t="str">
        <f>IF(M252="","",COUNTIFS($M$13:M252,M252,$G$13:G252,"&gt;0"))</f>
        <v/>
      </c>
      <c r="B252" s="98" t="str">
        <f>IF(ISBLANK(G252),"",SUBTOTAL(3,$G$13:G252))</f>
        <v/>
      </c>
      <c r="C252" s="106"/>
      <c r="D252" s="107"/>
      <c r="E252" s="100"/>
      <c r="F252" s="107"/>
      <c r="G252" s="108"/>
      <c r="H252" s="139"/>
      <c r="I252" s="102" t="str">
        <f t="shared" si="23"/>
        <v/>
      </c>
      <c r="J252" s="103" t="str">
        <f t="shared" si="24"/>
        <v/>
      </c>
      <c r="K252" s="152" t="str">
        <f t="shared" si="25"/>
        <v/>
      </c>
      <c r="L252" s="104" t="str">
        <f t="shared" si="26"/>
        <v/>
      </c>
      <c r="M252" s="105"/>
      <c r="N252" s="105"/>
      <c r="O252" s="100"/>
      <c r="P252" s="172" t="str">
        <f t="shared" si="27"/>
        <v/>
      </c>
      <c r="T252" s="18"/>
      <c r="U252" s="19"/>
      <c r="V252" s="19"/>
      <c r="W252" s="181"/>
      <c r="X252" s="192"/>
      <c r="Y252" s="192"/>
    </row>
    <row r="253" spans="1:25" ht="16.8">
      <c r="A253" s="2" t="str">
        <f>IF(M253="","",COUNTIFS($M$13:M253,M253,$G$13:G253,"&gt;0"))</f>
        <v/>
      </c>
      <c r="B253" s="98" t="str">
        <f>IF(ISBLANK(G253),"",SUBTOTAL(3,$G$13:G253))</f>
        <v/>
      </c>
      <c r="C253" s="106"/>
      <c r="D253" s="107"/>
      <c r="E253" s="100"/>
      <c r="F253" s="107"/>
      <c r="G253" s="108"/>
      <c r="H253" s="139"/>
      <c r="I253" s="102" t="str">
        <f t="shared" si="23"/>
        <v/>
      </c>
      <c r="J253" s="103" t="str">
        <f t="shared" si="24"/>
        <v/>
      </c>
      <c r="K253" s="152" t="str">
        <f t="shared" si="25"/>
        <v/>
      </c>
      <c r="L253" s="104" t="str">
        <f t="shared" si="26"/>
        <v/>
      </c>
      <c r="M253" s="105"/>
      <c r="N253" s="105"/>
      <c r="O253" s="100"/>
      <c r="P253" s="172" t="str">
        <f t="shared" si="27"/>
        <v/>
      </c>
      <c r="T253" s="18"/>
      <c r="U253" s="19"/>
      <c r="V253" s="19"/>
      <c r="W253" s="181"/>
      <c r="X253" s="192"/>
      <c r="Y253" s="192"/>
    </row>
    <row r="254" spans="1:25" ht="16.8">
      <c r="A254" s="2" t="str">
        <f>IF(M254="","",COUNTIFS($M$13:M254,M254,$G$13:G254,"&gt;0"))</f>
        <v/>
      </c>
      <c r="B254" s="98" t="str">
        <f>IF(ISBLANK(G254),"",SUBTOTAL(3,$G$13:G254))</f>
        <v/>
      </c>
      <c r="C254" s="106"/>
      <c r="D254" s="107"/>
      <c r="E254" s="100"/>
      <c r="F254" s="107"/>
      <c r="G254" s="108"/>
      <c r="H254" s="139"/>
      <c r="I254" s="102" t="str">
        <f t="shared" si="23"/>
        <v/>
      </c>
      <c r="J254" s="103" t="str">
        <f t="shared" si="24"/>
        <v/>
      </c>
      <c r="K254" s="152" t="str">
        <f t="shared" si="25"/>
        <v/>
      </c>
      <c r="L254" s="104" t="str">
        <f t="shared" si="26"/>
        <v/>
      </c>
      <c r="M254" s="105"/>
      <c r="N254" s="105"/>
      <c r="O254" s="100"/>
      <c r="P254" s="172" t="str">
        <f t="shared" si="27"/>
        <v/>
      </c>
      <c r="T254" s="18"/>
      <c r="U254" s="19"/>
      <c r="V254" s="19"/>
      <c r="W254" s="181"/>
      <c r="X254" s="192"/>
      <c r="Y254" s="192"/>
    </row>
    <row r="255" spans="1:25" ht="16.8">
      <c r="A255" s="2" t="str">
        <f>IF(M255="","",COUNTIFS($M$13:M255,M255,$G$13:G255,"&gt;0"))</f>
        <v/>
      </c>
      <c r="B255" s="98" t="str">
        <f>IF(ISBLANK(G255),"",SUBTOTAL(3,$G$13:G255))</f>
        <v/>
      </c>
      <c r="C255" s="106"/>
      <c r="D255" s="107"/>
      <c r="E255" s="100"/>
      <c r="F255" s="107"/>
      <c r="G255" s="108"/>
      <c r="H255" s="139"/>
      <c r="I255" s="102" t="str">
        <f t="shared" si="23"/>
        <v/>
      </c>
      <c r="J255" s="103" t="str">
        <f t="shared" si="24"/>
        <v/>
      </c>
      <c r="K255" s="152" t="str">
        <f t="shared" si="25"/>
        <v/>
      </c>
      <c r="L255" s="104" t="str">
        <f t="shared" si="26"/>
        <v/>
      </c>
      <c r="M255" s="105"/>
      <c r="N255" s="105"/>
      <c r="O255" s="100"/>
      <c r="P255" s="172" t="str">
        <f t="shared" si="27"/>
        <v/>
      </c>
      <c r="T255" s="18"/>
      <c r="U255" s="19"/>
      <c r="V255" s="19"/>
      <c r="W255" s="181"/>
      <c r="X255" s="192"/>
      <c r="Y255" s="192"/>
    </row>
    <row r="256" spans="1:25" ht="16.8">
      <c r="A256" s="2" t="str">
        <f>IF(M256="","",COUNTIFS($M$13:M256,M256,$G$13:G256,"&gt;0"))</f>
        <v/>
      </c>
      <c r="B256" s="98" t="str">
        <f>IF(ISBLANK(G256),"",SUBTOTAL(3,$G$13:G256))</f>
        <v/>
      </c>
      <c r="C256" s="106"/>
      <c r="D256" s="107"/>
      <c r="E256" s="100"/>
      <c r="F256" s="107"/>
      <c r="G256" s="108"/>
      <c r="H256" s="139"/>
      <c r="I256" s="102" t="str">
        <f t="shared" si="23"/>
        <v/>
      </c>
      <c r="J256" s="103" t="str">
        <f t="shared" si="24"/>
        <v/>
      </c>
      <c r="K256" s="152" t="str">
        <f t="shared" si="25"/>
        <v/>
      </c>
      <c r="L256" s="104" t="str">
        <f t="shared" si="26"/>
        <v/>
      </c>
      <c r="M256" s="105"/>
      <c r="N256" s="105"/>
      <c r="O256" s="100"/>
      <c r="P256" s="172" t="str">
        <f t="shared" si="27"/>
        <v/>
      </c>
      <c r="T256" s="18"/>
      <c r="U256" s="19"/>
      <c r="V256" s="19"/>
      <c r="W256" s="181"/>
      <c r="X256" s="192"/>
      <c r="Y256" s="192"/>
    </row>
    <row r="257" spans="1:25" ht="16.8">
      <c r="A257" s="2" t="str">
        <f>IF(M257="","",COUNTIFS($M$13:M257,M257,$G$13:G257,"&gt;0"))</f>
        <v/>
      </c>
      <c r="B257" s="98" t="str">
        <f>IF(ISBLANK(G257),"",SUBTOTAL(3,$G$13:G257))</f>
        <v/>
      </c>
      <c r="C257" s="106"/>
      <c r="D257" s="107"/>
      <c r="E257" s="100"/>
      <c r="F257" s="107"/>
      <c r="G257" s="108"/>
      <c r="H257" s="139"/>
      <c r="I257" s="102" t="str">
        <f t="shared" si="23"/>
        <v/>
      </c>
      <c r="J257" s="103" t="str">
        <f t="shared" si="24"/>
        <v/>
      </c>
      <c r="K257" s="152" t="str">
        <f t="shared" si="25"/>
        <v/>
      </c>
      <c r="L257" s="104" t="str">
        <f t="shared" si="26"/>
        <v/>
      </c>
      <c r="M257" s="105"/>
      <c r="N257" s="105"/>
      <c r="O257" s="100"/>
      <c r="P257" s="172" t="str">
        <f t="shared" si="27"/>
        <v/>
      </c>
      <c r="T257" s="18"/>
      <c r="U257" s="19"/>
      <c r="V257" s="19"/>
      <c r="W257" s="181"/>
      <c r="X257" s="192"/>
      <c r="Y257" s="192"/>
    </row>
    <row r="258" spans="1:25" ht="16.8">
      <c r="A258" s="2" t="str">
        <f>IF(M258="","",COUNTIFS($M$13:M258,M258,$G$13:G258,"&gt;0"))</f>
        <v/>
      </c>
      <c r="B258" s="98" t="str">
        <f>IF(ISBLANK(G258),"",SUBTOTAL(3,$G$13:G258))</f>
        <v/>
      </c>
      <c r="C258" s="106"/>
      <c r="D258" s="107"/>
      <c r="E258" s="100"/>
      <c r="F258" s="107"/>
      <c r="G258" s="108"/>
      <c r="H258" s="139"/>
      <c r="I258" s="102" t="str">
        <f t="shared" si="23"/>
        <v/>
      </c>
      <c r="J258" s="103" t="str">
        <f t="shared" si="24"/>
        <v/>
      </c>
      <c r="K258" s="152" t="str">
        <f t="shared" si="25"/>
        <v/>
      </c>
      <c r="L258" s="104" t="str">
        <f t="shared" si="26"/>
        <v/>
      </c>
      <c r="M258" s="105"/>
      <c r="N258" s="105"/>
      <c r="O258" s="100"/>
      <c r="P258" s="172" t="str">
        <f t="shared" si="27"/>
        <v/>
      </c>
      <c r="T258" s="18"/>
      <c r="U258" s="19"/>
      <c r="V258" s="19"/>
      <c r="W258" s="181"/>
      <c r="X258" s="192"/>
      <c r="Y258" s="192"/>
    </row>
    <row r="259" spans="1:25" ht="16.8">
      <c r="A259" s="2" t="str">
        <f>IF(M259="","",COUNTIFS($M$13:M259,M259,$G$13:G259,"&gt;0"))</f>
        <v/>
      </c>
      <c r="B259" s="98" t="str">
        <f>IF(ISBLANK(G259),"",SUBTOTAL(3,$G$13:G259))</f>
        <v/>
      </c>
      <c r="C259" s="106"/>
      <c r="D259" s="107"/>
      <c r="E259" s="100"/>
      <c r="F259" s="107"/>
      <c r="G259" s="108"/>
      <c r="H259" s="139"/>
      <c r="I259" s="102" t="str">
        <f t="shared" si="23"/>
        <v/>
      </c>
      <c r="J259" s="103" t="str">
        <f t="shared" si="24"/>
        <v/>
      </c>
      <c r="K259" s="152" t="str">
        <f t="shared" si="25"/>
        <v/>
      </c>
      <c r="L259" s="104" t="str">
        <f t="shared" si="26"/>
        <v/>
      </c>
      <c r="M259" s="105"/>
      <c r="N259" s="105"/>
      <c r="O259" s="100"/>
      <c r="P259" s="172" t="str">
        <f t="shared" si="27"/>
        <v/>
      </c>
      <c r="T259" s="18"/>
      <c r="U259" s="19"/>
      <c r="V259" s="19"/>
      <c r="W259" s="181"/>
      <c r="X259" s="192"/>
      <c r="Y259" s="192"/>
    </row>
    <row r="260" spans="1:25" ht="16.8">
      <c r="A260" s="2" t="str">
        <f>IF(M260="","",COUNTIFS($M$13:M260,M260,$G$13:G260,"&gt;0"))</f>
        <v/>
      </c>
      <c r="B260" s="98" t="str">
        <f>IF(ISBLANK(G260),"",SUBTOTAL(3,$G$13:G260))</f>
        <v/>
      </c>
      <c r="C260" s="106"/>
      <c r="D260" s="107"/>
      <c r="E260" s="100"/>
      <c r="F260" s="107"/>
      <c r="G260" s="108"/>
      <c r="H260" s="139"/>
      <c r="I260" s="102" t="str">
        <f t="shared" si="23"/>
        <v/>
      </c>
      <c r="J260" s="103" t="str">
        <f t="shared" si="24"/>
        <v/>
      </c>
      <c r="K260" s="152" t="str">
        <f t="shared" si="25"/>
        <v/>
      </c>
      <c r="L260" s="104" t="str">
        <f t="shared" si="26"/>
        <v/>
      </c>
      <c r="M260" s="105"/>
      <c r="N260" s="105"/>
      <c r="O260" s="100"/>
      <c r="P260" s="172" t="str">
        <f t="shared" si="27"/>
        <v/>
      </c>
      <c r="T260" s="18"/>
      <c r="U260" s="19"/>
      <c r="V260" s="19"/>
      <c r="W260" s="181"/>
      <c r="X260" s="192"/>
      <c r="Y260" s="192"/>
    </row>
    <row r="261" spans="1:25" ht="16.8">
      <c r="A261" s="2" t="str">
        <f>IF(M261="","",COUNTIFS($M$13:M261,M261,$G$13:G261,"&gt;0"))</f>
        <v/>
      </c>
      <c r="B261" s="98" t="str">
        <f>IF(ISBLANK(G261),"",SUBTOTAL(3,$G$13:G261))</f>
        <v/>
      </c>
      <c r="C261" s="106"/>
      <c r="D261" s="107"/>
      <c r="E261" s="100"/>
      <c r="F261" s="107"/>
      <c r="G261" s="108"/>
      <c r="H261" s="139"/>
      <c r="I261" s="102" t="str">
        <f t="shared" si="23"/>
        <v/>
      </c>
      <c r="J261" s="103" t="str">
        <f t="shared" si="24"/>
        <v/>
      </c>
      <c r="K261" s="152" t="str">
        <f t="shared" si="25"/>
        <v/>
      </c>
      <c r="L261" s="104" t="str">
        <f t="shared" si="26"/>
        <v/>
      </c>
      <c r="M261" s="105"/>
      <c r="N261" s="105"/>
      <c r="O261" s="100"/>
      <c r="P261" s="172" t="str">
        <f t="shared" si="27"/>
        <v/>
      </c>
      <c r="T261" s="18"/>
      <c r="U261" s="19"/>
      <c r="V261" s="19"/>
      <c r="W261" s="181"/>
      <c r="X261" s="192"/>
      <c r="Y261" s="192"/>
    </row>
    <row r="262" spans="1:25" ht="16.8">
      <c r="A262" s="2" t="str">
        <f>IF(M262="","",COUNTIFS($M$13:M262,M262,$G$13:G262,"&gt;0"))</f>
        <v/>
      </c>
      <c r="B262" s="98" t="str">
        <f>IF(ISBLANK(G262),"",SUBTOTAL(3,$G$13:G262))</f>
        <v/>
      </c>
      <c r="C262" s="106"/>
      <c r="D262" s="107"/>
      <c r="E262" s="100"/>
      <c r="F262" s="107"/>
      <c r="G262" s="108"/>
      <c r="H262" s="139"/>
      <c r="I262" s="102" t="str">
        <f t="shared" si="23"/>
        <v/>
      </c>
      <c r="J262" s="103" t="str">
        <f t="shared" si="24"/>
        <v/>
      </c>
      <c r="K262" s="152" t="str">
        <f t="shared" si="25"/>
        <v/>
      </c>
      <c r="L262" s="104" t="str">
        <f t="shared" si="26"/>
        <v/>
      </c>
      <c r="M262" s="105"/>
      <c r="N262" s="105"/>
      <c r="O262" s="100"/>
      <c r="P262" s="172" t="str">
        <f t="shared" si="27"/>
        <v/>
      </c>
      <c r="T262" s="18"/>
      <c r="U262" s="19"/>
      <c r="V262" s="19"/>
      <c r="W262" s="181"/>
      <c r="X262" s="192"/>
      <c r="Y262" s="192"/>
    </row>
    <row r="263" spans="1:25" ht="16.8">
      <c r="A263" s="2" t="str">
        <f>IF(M263="","",COUNTIFS($M$13:M263,M263,$G$13:G263,"&gt;0"))</f>
        <v/>
      </c>
      <c r="B263" s="98" t="str">
        <f>IF(ISBLANK(G263),"",SUBTOTAL(3,$G$13:G263))</f>
        <v/>
      </c>
      <c r="C263" s="106"/>
      <c r="D263" s="107"/>
      <c r="E263" s="100"/>
      <c r="F263" s="107"/>
      <c r="G263" s="108"/>
      <c r="H263" s="139"/>
      <c r="I263" s="102" t="str">
        <f t="shared" si="23"/>
        <v/>
      </c>
      <c r="J263" s="103" t="str">
        <f t="shared" si="24"/>
        <v/>
      </c>
      <c r="K263" s="152" t="str">
        <f t="shared" si="25"/>
        <v/>
      </c>
      <c r="L263" s="104" t="str">
        <f t="shared" si="26"/>
        <v/>
      </c>
      <c r="M263" s="105"/>
      <c r="N263" s="105"/>
      <c r="O263" s="100"/>
      <c r="P263" s="172" t="str">
        <f t="shared" si="27"/>
        <v/>
      </c>
      <c r="T263" s="18"/>
      <c r="U263" s="19"/>
      <c r="V263" s="19"/>
      <c r="W263" s="181"/>
      <c r="X263" s="192"/>
      <c r="Y263" s="192"/>
    </row>
    <row r="264" spans="1:25" ht="16.8">
      <c r="A264" s="2" t="str">
        <f>IF(M264="","",COUNTIFS($M$13:M264,M264,$G$13:G264,"&gt;0"))</f>
        <v/>
      </c>
      <c r="B264" s="98" t="str">
        <f>IF(ISBLANK(G264),"",SUBTOTAL(3,$G$13:G264))</f>
        <v/>
      </c>
      <c r="C264" s="106"/>
      <c r="D264" s="107"/>
      <c r="E264" s="100"/>
      <c r="F264" s="107"/>
      <c r="G264" s="108"/>
      <c r="H264" s="139"/>
      <c r="I264" s="102" t="str">
        <f t="shared" si="23"/>
        <v/>
      </c>
      <c r="J264" s="103" t="str">
        <f t="shared" si="24"/>
        <v/>
      </c>
      <c r="K264" s="152" t="str">
        <f t="shared" si="25"/>
        <v/>
      </c>
      <c r="L264" s="104" t="str">
        <f t="shared" si="26"/>
        <v/>
      </c>
      <c r="M264" s="105"/>
      <c r="N264" s="105"/>
      <c r="O264" s="100"/>
      <c r="P264" s="172" t="str">
        <f t="shared" si="27"/>
        <v/>
      </c>
      <c r="T264" s="18"/>
      <c r="U264" s="19"/>
      <c r="V264" s="19"/>
      <c r="W264" s="181"/>
      <c r="X264" s="192"/>
      <c r="Y264" s="192"/>
    </row>
    <row r="265" spans="1:25" ht="16.8">
      <c r="A265" s="2" t="str">
        <f>IF(M265="","",COUNTIFS($M$13:M265,M265,$G$13:G265,"&gt;0"))</f>
        <v/>
      </c>
      <c r="B265" s="98" t="str">
        <f>IF(ISBLANK(G265),"",SUBTOTAL(3,$G$13:G265))</f>
        <v/>
      </c>
      <c r="C265" s="106"/>
      <c r="D265" s="107"/>
      <c r="E265" s="100"/>
      <c r="F265" s="107"/>
      <c r="G265" s="108"/>
      <c r="H265" s="139"/>
      <c r="I265" s="102" t="str">
        <f t="shared" si="23"/>
        <v/>
      </c>
      <c r="J265" s="103" t="str">
        <f t="shared" si="24"/>
        <v/>
      </c>
      <c r="K265" s="152"/>
      <c r="L265" s="104" t="str">
        <f t="shared" si="26"/>
        <v/>
      </c>
      <c r="M265" s="105"/>
      <c r="N265" s="105"/>
      <c r="O265" s="100"/>
      <c r="P265" s="172" t="str">
        <f t="shared" si="27"/>
        <v/>
      </c>
      <c r="T265" s="18"/>
      <c r="U265" s="19"/>
      <c r="V265" s="19"/>
      <c r="W265" s="181"/>
      <c r="X265" s="192"/>
      <c r="Y265" s="192"/>
    </row>
    <row r="266" spans="1:25" ht="16.8">
      <c r="A266" s="2" t="str">
        <f>IF(M266="","",COUNTIFS($M$13:M266,M266,$G$13:G266,"&gt;0"))</f>
        <v/>
      </c>
      <c r="B266" s="98" t="str">
        <f>IF(ISBLANK(G266),"",SUBTOTAL(3,$G$13:G266))</f>
        <v/>
      </c>
      <c r="C266" s="106"/>
      <c r="D266" s="107"/>
      <c r="E266" s="100"/>
      <c r="F266" s="107"/>
      <c r="G266" s="108"/>
      <c r="H266" s="139"/>
      <c r="I266" s="102" t="str">
        <f t="shared" si="23"/>
        <v/>
      </c>
      <c r="J266" s="103" t="str">
        <f t="shared" si="24"/>
        <v/>
      </c>
      <c r="K266" s="152"/>
      <c r="L266" s="104" t="str">
        <f t="shared" si="26"/>
        <v/>
      </c>
      <c r="M266" s="105"/>
      <c r="N266" s="105"/>
      <c r="O266" s="100"/>
      <c r="P266" s="172" t="str">
        <f t="shared" si="27"/>
        <v/>
      </c>
      <c r="T266" s="18"/>
      <c r="U266" s="19"/>
      <c r="V266" s="19"/>
      <c r="W266" s="181"/>
      <c r="X266" s="192"/>
      <c r="Y266" s="192"/>
    </row>
    <row r="267" spans="1:25" ht="16.8">
      <c r="A267" s="2" t="str">
        <f>IF(M267="","",COUNTIFS($M$13:M267,M267,$G$13:G267,"&gt;0"))</f>
        <v/>
      </c>
      <c r="B267" s="98" t="str">
        <f>IF(ISBLANK(G267),"",SUBTOTAL(3,$G$13:G267))</f>
        <v/>
      </c>
      <c r="C267" s="106"/>
      <c r="D267" s="107"/>
      <c r="E267" s="100"/>
      <c r="F267" s="107"/>
      <c r="G267" s="108"/>
      <c r="H267" s="139"/>
      <c r="I267" s="102" t="str">
        <f t="shared" si="23"/>
        <v/>
      </c>
      <c r="J267" s="103" t="str">
        <f t="shared" si="24"/>
        <v/>
      </c>
      <c r="K267" s="152"/>
      <c r="L267" s="104" t="str">
        <f t="shared" si="26"/>
        <v/>
      </c>
      <c r="M267" s="105"/>
      <c r="N267" s="105"/>
      <c r="O267" s="100"/>
      <c r="P267" s="172" t="str">
        <f t="shared" si="27"/>
        <v/>
      </c>
      <c r="T267" s="18"/>
      <c r="U267" s="19"/>
      <c r="V267" s="19"/>
      <c r="W267" s="181"/>
      <c r="X267" s="192"/>
      <c r="Y267" s="192"/>
    </row>
    <row r="268" spans="1:25" ht="16.8">
      <c r="A268" s="2" t="str">
        <f>IF(M268="","",COUNTIFS($M$13:M268,M268,$G$13:G268,"&gt;0"))</f>
        <v/>
      </c>
      <c r="B268" s="98" t="str">
        <f>IF(ISBLANK(G268),"",SUBTOTAL(3,$G$13:G268))</f>
        <v/>
      </c>
      <c r="C268" s="106"/>
      <c r="D268" s="107"/>
      <c r="E268" s="100"/>
      <c r="F268" s="107"/>
      <c r="G268" s="108"/>
      <c r="H268" s="139"/>
      <c r="I268" s="102" t="str">
        <f t="shared" si="23"/>
        <v/>
      </c>
      <c r="J268" s="103" t="str">
        <f t="shared" si="24"/>
        <v/>
      </c>
      <c r="K268" s="152"/>
      <c r="L268" s="104" t="str">
        <f t="shared" si="26"/>
        <v/>
      </c>
      <c r="M268" s="105"/>
      <c r="N268" s="105"/>
      <c r="O268" s="100"/>
      <c r="P268" s="172" t="str">
        <f t="shared" si="27"/>
        <v/>
      </c>
      <c r="T268" s="18"/>
      <c r="U268" s="19"/>
      <c r="V268" s="19"/>
      <c r="W268" s="181"/>
      <c r="X268" s="192"/>
      <c r="Y268" s="192"/>
    </row>
    <row r="269" spans="1:25" ht="16.8">
      <c r="A269" s="2" t="str">
        <f>IF(M269="","",COUNTIFS($M$13:M269,M269,$G$13:G269,"&gt;0"))</f>
        <v/>
      </c>
      <c r="B269" s="98" t="str">
        <f>IF(ISBLANK(G269),"",SUBTOTAL(3,$G$13:G269))</f>
        <v/>
      </c>
      <c r="C269" s="106"/>
      <c r="D269" s="107"/>
      <c r="E269" s="100"/>
      <c r="F269" s="107"/>
      <c r="G269" s="108"/>
      <c r="H269" s="139"/>
      <c r="I269" s="102" t="str">
        <f t="shared" ref="I269:I332" si="28">IFERROR(IF(ISBLANK(D269),"",(IF(K269&gt;0,L269,G269)/NhipSX)),"")</f>
        <v/>
      </c>
      <c r="J269" s="103" t="str">
        <f t="shared" ref="J269:J332" si="29">IFERROR(IF(OR(D269=0,B269=0),"",INDEX($AA$2:$AG$2,MATCH(D269,$AA$1:$AG$1,0))*IF($J$11="Đơn Giá CBC",L269,G269)),"")</f>
        <v/>
      </c>
      <c r="K269" s="152"/>
      <c r="L269" s="104" t="str">
        <f t="shared" ref="L269:L332" si="30">IFERROR(IF(ISBLANK(D269),"",IF(ISBLANK(K269),G269,(G269/K269))),"")</f>
        <v/>
      </c>
      <c r="M269" s="105"/>
      <c r="N269" s="105"/>
      <c r="O269" s="100"/>
      <c r="P269" s="172" t="str">
        <f t="shared" si="27"/>
        <v/>
      </c>
      <c r="T269" s="18"/>
      <c r="U269" s="19"/>
      <c r="V269" s="19"/>
      <c r="W269" s="181"/>
      <c r="X269" s="192"/>
      <c r="Y269" s="192"/>
    </row>
    <row r="270" spans="1:25" ht="16.8">
      <c r="A270" s="2" t="str">
        <f>IF(M270="","",COUNTIFS($M$13:M270,M270,$G$13:G270,"&gt;0"))</f>
        <v/>
      </c>
      <c r="B270" s="98" t="str">
        <f>IF(ISBLANK(G270),"",SUBTOTAL(3,$G$13:G270))</f>
        <v/>
      </c>
      <c r="C270" s="106"/>
      <c r="D270" s="107"/>
      <c r="E270" s="100"/>
      <c r="F270" s="107"/>
      <c r="G270" s="108"/>
      <c r="H270" s="139"/>
      <c r="I270" s="102" t="str">
        <f t="shared" si="28"/>
        <v/>
      </c>
      <c r="J270" s="103" t="str">
        <f t="shared" si="29"/>
        <v/>
      </c>
      <c r="K270" s="152"/>
      <c r="L270" s="104" t="str">
        <f t="shared" si="30"/>
        <v/>
      </c>
      <c r="M270" s="105"/>
      <c r="N270" s="105"/>
      <c r="O270" s="100"/>
      <c r="P270" s="172" t="str">
        <f t="shared" ref="P270:P333" si="31">IFERROR(IF(ISBLANK(G270),"",(L270/$I$4)),"")</f>
        <v/>
      </c>
      <c r="T270" s="18"/>
      <c r="U270" s="19"/>
      <c r="V270" s="19"/>
      <c r="W270" s="181"/>
      <c r="X270" s="192"/>
      <c r="Y270" s="192"/>
    </row>
    <row r="271" spans="1:25" ht="16.8">
      <c r="A271" s="2" t="str">
        <f>IF(M271="","",COUNTIFS($M$13:M271,M271,$G$13:G271,"&gt;0"))</f>
        <v/>
      </c>
      <c r="B271" s="98" t="str">
        <f>IF(ISBLANK(G271),"",SUBTOTAL(3,$G$13:G271))</f>
        <v/>
      </c>
      <c r="C271" s="106"/>
      <c r="D271" s="107"/>
      <c r="E271" s="100"/>
      <c r="F271" s="107"/>
      <c r="G271" s="108"/>
      <c r="H271" s="139"/>
      <c r="I271" s="102" t="str">
        <f t="shared" si="28"/>
        <v/>
      </c>
      <c r="J271" s="103" t="str">
        <f t="shared" si="29"/>
        <v/>
      </c>
      <c r="K271" s="152"/>
      <c r="L271" s="104" t="str">
        <f t="shared" si="30"/>
        <v/>
      </c>
      <c r="M271" s="105"/>
      <c r="N271" s="105"/>
      <c r="O271" s="100"/>
      <c r="P271" s="172" t="str">
        <f t="shared" si="31"/>
        <v/>
      </c>
      <c r="T271" s="18"/>
      <c r="U271" s="19"/>
      <c r="V271" s="19"/>
      <c r="W271" s="181"/>
      <c r="X271" s="192"/>
      <c r="Y271" s="192"/>
    </row>
    <row r="272" spans="1:25" ht="16.8">
      <c r="A272" s="2" t="str">
        <f>IF(M272="","",COUNTIFS($M$13:M272,M272,$G$13:G272,"&gt;0"))</f>
        <v/>
      </c>
      <c r="B272" s="98" t="str">
        <f>IF(ISBLANK(G272),"",SUBTOTAL(3,$G$13:G272))</f>
        <v/>
      </c>
      <c r="C272" s="106"/>
      <c r="D272" s="107"/>
      <c r="E272" s="100"/>
      <c r="F272" s="107"/>
      <c r="G272" s="108"/>
      <c r="H272" s="139"/>
      <c r="I272" s="102" t="str">
        <f t="shared" si="28"/>
        <v/>
      </c>
      <c r="J272" s="103" t="str">
        <f t="shared" si="29"/>
        <v/>
      </c>
      <c r="K272" s="152"/>
      <c r="L272" s="104" t="str">
        <f t="shared" si="30"/>
        <v/>
      </c>
      <c r="M272" s="105"/>
      <c r="N272" s="105"/>
      <c r="O272" s="100"/>
      <c r="P272" s="172" t="str">
        <f t="shared" si="31"/>
        <v/>
      </c>
      <c r="T272" s="18"/>
      <c r="U272" s="19"/>
      <c r="V272" s="19"/>
      <c r="W272" s="181"/>
      <c r="X272" s="192"/>
      <c r="Y272" s="192"/>
    </row>
    <row r="273" spans="1:25" ht="16.8">
      <c r="A273" s="2" t="str">
        <f>IF(M273="","",COUNTIFS($M$13:M273,M273,$G$13:G273,"&gt;0"))</f>
        <v/>
      </c>
      <c r="B273" s="98" t="str">
        <f>IF(ISBLANK(G273),"",SUBTOTAL(3,$G$13:G273))</f>
        <v/>
      </c>
      <c r="C273" s="106"/>
      <c r="D273" s="107"/>
      <c r="E273" s="100"/>
      <c r="F273" s="107"/>
      <c r="G273" s="108"/>
      <c r="H273" s="139"/>
      <c r="I273" s="102" t="str">
        <f t="shared" si="28"/>
        <v/>
      </c>
      <c r="J273" s="103" t="str">
        <f t="shared" si="29"/>
        <v/>
      </c>
      <c r="K273" s="152"/>
      <c r="L273" s="104" t="str">
        <f t="shared" si="30"/>
        <v/>
      </c>
      <c r="M273" s="105"/>
      <c r="N273" s="105"/>
      <c r="O273" s="100"/>
      <c r="P273" s="172" t="str">
        <f t="shared" si="31"/>
        <v/>
      </c>
      <c r="T273" s="18"/>
      <c r="U273" s="19"/>
      <c r="V273" s="19"/>
      <c r="W273" s="181"/>
      <c r="X273" s="192"/>
      <c r="Y273" s="192"/>
    </row>
    <row r="274" spans="1:25" ht="16.8">
      <c r="A274" s="2" t="str">
        <f>IF(M274="","",COUNTIFS($M$13:M274,M274,$G$13:G274,"&gt;0"))</f>
        <v/>
      </c>
      <c r="B274" s="98" t="str">
        <f>IF(ISBLANK(G274),"",SUBTOTAL(3,$G$13:G274))</f>
        <v/>
      </c>
      <c r="C274" s="106"/>
      <c r="D274" s="107"/>
      <c r="E274" s="100"/>
      <c r="F274" s="107"/>
      <c r="G274" s="108"/>
      <c r="H274" s="139"/>
      <c r="I274" s="102" t="str">
        <f t="shared" si="28"/>
        <v/>
      </c>
      <c r="J274" s="103" t="str">
        <f t="shared" si="29"/>
        <v/>
      </c>
      <c r="K274" s="152"/>
      <c r="L274" s="104" t="str">
        <f t="shared" si="30"/>
        <v/>
      </c>
      <c r="M274" s="105"/>
      <c r="N274" s="105"/>
      <c r="O274" s="100"/>
      <c r="P274" s="172" t="str">
        <f t="shared" si="31"/>
        <v/>
      </c>
      <c r="T274" s="18"/>
      <c r="U274" s="19"/>
      <c r="V274" s="19"/>
      <c r="W274" s="181"/>
      <c r="X274" s="192"/>
      <c r="Y274" s="192"/>
    </row>
    <row r="275" spans="1:25" ht="16.8">
      <c r="A275" s="2" t="str">
        <f>IF(M275="","",COUNTIFS($M$13:M275,M275,$G$13:G275,"&gt;0"))</f>
        <v/>
      </c>
      <c r="B275" s="98" t="str">
        <f>IF(ISBLANK(G275),"",SUBTOTAL(3,$G$13:G275))</f>
        <v/>
      </c>
      <c r="C275" s="106"/>
      <c r="D275" s="107"/>
      <c r="E275" s="100"/>
      <c r="F275" s="107"/>
      <c r="G275" s="108"/>
      <c r="H275" s="139"/>
      <c r="I275" s="102" t="str">
        <f t="shared" si="28"/>
        <v/>
      </c>
      <c r="J275" s="103" t="str">
        <f t="shared" si="29"/>
        <v/>
      </c>
      <c r="K275" s="152"/>
      <c r="L275" s="104" t="str">
        <f t="shared" si="30"/>
        <v/>
      </c>
      <c r="M275" s="105"/>
      <c r="N275" s="105"/>
      <c r="O275" s="100"/>
      <c r="P275" s="172" t="str">
        <f t="shared" si="31"/>
        <v/>
      </c>
      <c r="T275" s="18"/>
      <c r="U275" s="19"/>
      <c r="V275" s="19"/>
      <c r="W275" s="181"/>
      <c r="X275" s="192"/>
      <c r="Y275" s="192"/>
    </row>
    <row r="276" spans="1:25" ht="16.8">
      <c r="A276" s="2" t="str">
        <f>IF(M276="","",COUNTIFS($M$13:M276,M276,$G$13:G276,"&gt;0"))</f>
        <v/>
      </c>
      <c r="B276" s="98" t="str">
        <f>IF(ISBLANK(G276),"",SUBTOTAL(3,$G$13:G276))</f>
        <v/>
      </c>
      <c r="C276" s="106"/>
      <c r="D276" s="107"/>
      <c r="E276" s="100"/>
      <c r="F276" s="107"/>
      <c r="G276" s="108"/>
      <c r="H276" s="139"/>
      <c r="I276" s="102" t="str">
        <f t="shared" si="28"/>
        <v/>
      </c>
      <c r="J276" s="103" t="str">
        <f t="shared" si="29"/>
        <v/>
      </c>
      <c r="K276" s="152"/>
      <c r="L276" s="104" t="str">
        <f t="shared" si="30"/>
        <v/>
      </c>
      <c r="M276" s="105"/>
      <c r="N276" s="105"/>
      <c r="O276" s="100"/>
      <c r="P276" s="172" t="str">
        <f t="shared" si="31"/>
        <v/>
      </c>
      <c r="T276" s="18"/>
      <c r="U276" s="19"/>
      <c r="V276" s="19"/>
      <c r="W276" s="181"/>
      <c r="X276" s="192"/>
      <c r="Y276" s="192"/>
    </row>
    <row r="277" spans="1:25" ht="16.8">
      <c r="A277" s="2" t="str">
        <f>IF(M277="","",COUNTIFS($M$13:M277,M277,$G$13:G277,"&gt;0"))</f>
        <v/>
      </c>
      <c r="B277" s="98" t="str">
        <f>IF(ISBLANK(G277),"",SUBTOTAL(3,$G$13:G277))</f>
        <v/>
      </c>
      <c r="C277" s="106"/>
      <c r="D277" s="107"/>
      <c r="E277" s="100"/>
      <c r="F277" s="107"/>
      <c r="G277" s="108"/>
      <c r="H277" s="139"/>
      <c r="I277" s="102" t="str">
        <f t="shared" si="28"/>
        <v/>
      </c>
      <c r="J277" s="103" t="str">
        <f t="shared" si="29"/>
        <v/>
      </c>
      <c r="K277" s="152"/>
      <c r="L277" s="104" t="str">
        <f t="shared" si="30"/>
        <v/>
      </c>
      <c r="M277" s="105"/>
      <c r="N277" s="105"/>
      <c r="O277" s="100"/>
      <c r="P277" s="172" t="str">
        <f t="shared" si="31"/>
        <v/>
      </c>
      <c r="T277" s="18"/>
      <c r="U277" s="19"/>
      <c r="V277" s="19"/>
      <c r="W277" s="181"/>
      <c r="X277" s="192"/>
      <c r="Y277" s="192"/>
    </row>
    <row r="278" spans="1:25" ht="16.8">
      <c r="A278" s="2" t="str">
        <f>IF(M278="","",COUNTIFS($M$13:M278,M278,$G$13:G278,"&gt;0"))</f>
        <v/>
      </c>
      <c r="B278" s="98" t="str">
        <f>IF(ISBLANK(G278),"",SUBTOTAL(3,$G$13:G278))</f>
        <v/>
      </c>
      <c r="C278" s="106"/>
      <c r="D278" s="107"/>
      <c r="E278" s="100"/>
      <c r="F278" s="107"/>
      <c r="G278" s="108"/>
      <c r="H278" s="139"/>
      <c r="I278" s="102" t="str">
        <f t="shared" si="28"/>
        <v/>
      </c>
      <c r="J278" s="103" t="str">
        <f t="shared" si="29"/>
        <v/>
      </c>
      <c r="K278" s="152"/>
      <c r="L278" s="104" t="str">
        <f t="shared" si="30"/>
        <v/>
      </c>
      <c r="M278" s="105"/>
      <c r="N278" s="105"/>
      <c r="O278" s="100"/>
      <c r="P278" s="172" t="str">
        <f t="shared" si="31"/>
        <v/>
      </c>
      <c r="T278" s="18"/>
      <c r="U278" s="19"/>
      <c r="V278" s="19"/>
      <c r="W278" s="181"/>
      <c r="X278" s="192"/>
      <c r="Y278" s="192"/>
    </row>
    <row r="279" spans="1:25" ht="16.8">
      <c r="A279" s="2" t="str">
        <f>IF(M279="","",COUNTIFS($M$13:M279,M279,$G$13:G279,"&gt;0"))</f>
        <v/>
      </c>
      <c r="B279" s="98" t="str">
        <f>IF(ISBLANK(G279),"",SUBTOTAL(3,$G$13:G279))</f>
        <v/>
      </c>
      <c r="C279" s="106"/>
      <c r="D279" s="107"/>
      <c r="E279" s="100"/>
      <c r="F279" s="107"/>
      <c r="G279" s="108"/>
      <c r="H279" s="139"/>
      <c r="I279" s="102" t="str">
        <f t="shared" si="28"/>
        <v/>
      </c>
      <c r="J279" s="103" t="str">
        <f t="shared" si="29"/>
        <v/>
      </c>
      <c r="K279" s="152"/>
      <c r="L279" s="104" t="str">
        <f t="shared" si="30"/>
        <v/>
      </c>
      <c r="M279" s="105"/>
      <c r="N279" s="105"/>
      <c r="O279" s="100"/>
      <c r="P279" s="172" t="str">
        <f t="shared" si="31"/>
        <v/>
      </c>
      <c r="T279" s="18"/>
      <c r="U279" s="19"/>
      <c r="V279" s="19"/>
      <c r="W279" s="181"/>
      <c r="X279" s="192"/>
      <c r="Y279" s="192"/>
    </row>
    <row r="280" spans="1:25" ht="16.8">
      <c r="A280" s="2" t="str">
        <f>IF(M280="","",COUNTIFS($M$13:M280,M280,$G$13:G280,"&gt;0"))</f>
        <v/>
      </c>
      <c r="B280" s="98" t="str">
        <f>IF(ISBLANK(G280),"",SUBTOTAL(3,$G$13:G280))</f>
        <v/>
      </c>
      <c r="C280" s="106"/>
      <c r="D280" s="107"/>
      <c r="E280" s="100"/>
      <c r="F280" s="107"/>
      <c r="G280" s="108"/>
      <c r="H280" s="139"/>
      <c r="I280" s="102" t="str">
        <f t="shared" si="28"/>
        <v/>
      </c>
      <c r="J280" s="103" t="str">
        <f t="shared" si="29"/>
        <v/>
      </c>
      <c r="K280" s="152"/>
      <c r="L280" s="104" t="str">
        <f t="shared" si="30"/>
        <v/>
      </c>
      <c r="M280" s="105"/>
      <c r="N280" s="105"/>
      <c r="O280" s="100"/>
      <c r="P280" s="172" t="str">
        <f t="shared" si="31"/>
        <v/>
      </c>
      <c r="T280" s="18"/>
      <c r="U280" s="19"/>
      <c r="V280" s="19"/>
      <c r="W280" s="181"/>
      <c r="X280" s="192"/>
      <c r="Y280" s="192"/>
    </row>
    <row r="281" spans="1:25" ht="16.8">
      <c r="A281" s="2" t="str">
        <f>IF(M281="","",COUNTIFS($M$13:M281,M281,$G$13:G281,"&gt;0"))</f>
        <v/>
      </c>
      <c r="B281" s="98" t="str">
        <f>IF(ISBLANK(G281),"",SUBTOTAL(3,$G$13:G281))</f>
        <v/>
      </c>
      <c r="C281" s="106"/>
      <c r="D281" s="107"/>
      <c r="E281" s="100"/>
      <c r="F281" s="107"/>
      <c r="G281" s="108"/>
      <c r="H281" s="139"/>
      <c r="I281" s="102" t="str">
        <f t="shared" si="28"/>
        <v/>
      </c>
      <c r="J281" s="103" t="str">
        <f t="shared" si="29"/>
        <v/>
      </c>
      <c r="K281" s="152"/>
      <c r="L281" s="104" t="str">
        <f t="shared" si="30"/>
        <v/>
      </c>
      <c r="M281" s="105"/>
      <c r="N281" s="105"/>
      <c r="O281" s="100"/>
      <c r="P281" s="172" t="str">
        <f t="shared" si="31"/>
        <v/>
      </c>
      <c r="T281" s="18"/>
      <c r="U281" s="19"/>
      <c r="V281" s="19"/>
      <c r="W281" s="181"/>
      <c r="X281" s="192"/>
      <c r="Y281" s="192"/>
    </row>
    <row r="282" spans="1:25" ht="16.8">
      <c r="A282" s="2" t="str">
        <f>IF(M282="","",COUNTIFS($M$13:M282,M282,$G$13:G282,"&gt;0"))</f>
        <v/>
      </c>
      <c r="B282" s="98" t="str">
        <f>IF(ISBLANK(G282),"",SUBTOTAL(3,$G$13:G282))</f>
        <v/>
      </c>
      <c r="C282" s="106"/>
      <c r="D282" s="107"/>
      <c r="E282" s="100"/>
      <c r="F282" s="107"/>
      <c r="G282" s="108"/>
      <c r="H282" s="139"/>
      <c r="I282" s="102" t="str">
        <f t="shared" si="28"/>
        <v/>
      </c>
      <c r="J282" s="103" t="str">
        <f t="shared" si="29"/>
        <v/>
      </c>
      <c r="K282" s="152"/>
      <c r="L282" s="104" t="str">
        <f t="shared" si="30"/>
        <v/>
      </c>
      <c r="M282" s="105"/>
      <c r="N282" s="105"/>
      <c r="O282" s="100"/>
      <c r="P282" s="172" t="str">
        <f t="shared" si="31"/>
        <v/>
      </c>
      <c r="T282" s="18"/>
      <c r="U282" s="19"/>
      <c r="V282" s="19"/>
      <c r="W282" s="181"/>
      <c r="X282" s="192"/>
      <c r="Y282" s="192"/>
    </row>
    <row r="283" spans="1:25" ht="16.8">
      <c r="A283" s="2" t="str">
        <f>IF(M283="","",COUNTIFS($M$13:M283,M283,$G$13:G283,"&gt;0"))</f>
        <v/>
      </c>
      <c r="B283" s="98" t="str">
        <f>IF(ISBLANK(G283),"",SUBTOTAL(3,$G$13:G283))</f>
        <v/>
      </c>
      <c r="C283" s="106"/>
      <c r="D283" s="107"/>
      <c r="E283" s="100"/>
      <c r="F283" s="107"/>
      <c r="G283" s="108"/>
      <c r="H283" s="139"/>
      <c r="I283" s="102" t="str">
        <f t="shared" si="28"/>
        <v/>
      </c>
      <c r="J283" s="103" t="str">
        <f t="shared" si="29"/>
        <v/>
      </c>
      <c r="K283" s="152"/>
      <c r="L283" s="104" t="str">
        <f t="shared" si="30"/>
        <v/>
      </c>
      <c r="M283" s="105"/>
      <c r="N283" s="105"/>
      <c r="O283" s="100"/>
      <c r="P283" s="172" t="str">
        <f t="shared" si="31"/>
        <v/>
      </c>
      <c r="T283" s="18"/>
      <c r="U283" s="19"/>
      <c r="V283" s="19"/>
      <c r="W283" s="181"/>
      <c r="X283" s="192"/>
      <c r="Y283" s="192"/>
    </row>
    <row r="284" spans="1:25" ht="16.8">
      <c r="A284" s="2" t="str">
        <f>IF(M284="","",COUNTIFS($M$13:M284,M284,$G$13:G284,"&gt;0"))</f>
        <v/>
      </c>
      <c r="B284" s="98" t="str">
        <f>IF(ISBLANK(G284),"",SUBTOTAL(3,$G$13:G284))</f>
        <v/>
      </c>
      <c r="C284" s="106"/>
      <c r="D284" s="107"/>
      <c r="E284" s="100"/>
      <c r="F284" s="107"/>
      <c r="G284" s="108"/>
      <c r="H284" s="139"/>
      <c r="I284" s="102" t="str">
        <f t="shared" si="28"/>
        <v/>
      </c>
      <c r="J284" s="103" t="str">
        <f t="shared" si="29"/>
        <v/>
      </c>
      <c r="K284" s="152"/>
      <c r="L284" s="104" t="str">
        <f t="shared" si="30"/>
        <v/>
      </c>
      <c r="M284" s="105"/>
      <c r="N284" s="105"/>
      <c r="O284" s="100"/>
      <c r="P284" s="172" t="str">
        <f t="shared" si="31"/>
        <v/>
      </c>
      <c r="T284" s="18"/>
      <c r="U284" s="19"/>
      <c r="V284" s="19"/>
      <c r="W284" s="181"/>
      <c r="X284" s="192"/>
      <c r="Y284" s="192"/>
    </row>
    <row r="285" spans="1:25" ht="16.8">
      <c r="A285" s="2" t="str">
        <f>IF(M285="","",COUNTIFS($M$13:M285,M285,$G$13:G285,"&gt;0"))</f>
        <v/>
      </c>
      <c r="B285" s="98" t="str">
        <f>IF(ISBLANK(G285),"",SUBTOTAL(3,$G$13:G285))</f>
        <v/>
      </c>
      <c r="C285" s="106"/>
      <c r="D285" s="107"/>
      <c r="E285" s="100"/>
      <c r="F285" s="107"/>
      <c r="G285" s="108"/>
      <c r="H285" s="139"/>
      <c r="I285" s="102" t="str">
        <f t="shared" si="28"/>
        <v/>
      </c>
      <c r="J285" s="103" t="str">
        <f t="shared" si="29"/>
        <v/>
      </c>
      <c r="K285" s="152"/>
      <c r="L285" s="104" t="str">
        <f t="shared" si="30"/>
        <v/>
      </c>
      <c r="M285" s="105"/>
      <c r="N285" s="105"/>
      <c r="O285" s="100"/>
      <c r="P285" s="172" t="str">
        <f t="shared" si="31"/>
        <v/>
      </c>
      <c r="T285" s="18"/>
      <c r="U285" s="19"/>
      <c r="V285" s="19"/>
      <c r="W285" s="181"/>
      <c r="X285" s="192"/>
      <c r="Y285" s="192"/>
    </row>
    <row r="286" spans="1:25" ht="16.8">
      <c r="A286" s="2" t="str">
        <f>IF(M286="","",COUNTIFS($M$13:M286,M286,$G$13:G286,"&gt;0"))</f>
        <v/>
      </c>
      <c r="B286" s="98" t="str">
        <f>IF(ISBLANK(G286),"",SUBTOTAL(3,$G$13:G286))</f>
        <v/>
      </c>
      <c r="C286" s="106"/>
      <c r="D286" s="107"/>
      <c r="E286" s="100"/>
      <c r="F286" s="107"/>
      <c r="G286" s="108"/>
      <c r="H286" s="139"/>
      <c r="I286" s="102" t="str">
        <f t="shared" si="28"/>
        <v/>
      </c>
      <c r="J286" s="103" t="str">
        <f t="shared" si="29"/>
        <v/>
      </c>
      <c r="K286" s="152"/>
      <c r="L286" s="104" t="str">
        <f t="shared" si="30"/>
        <v/>
      </c>
      <c r="M286" s="105"/>
      <c r="N286" s="105"/>
      <c r="O286" s="100"/>
      <c r="P286" s="172" t="str">
        <f t="shared" si="31"/>
        <v/>
      </c>
      <c r="T286" s="18"/>
      <c r="U286" s="19"/>
      <c r="V286" s="19"/>
      <c r="W286" s="181"/>
      <c r="X286" s="192"/>
      <c r="Y286" s="192"/>
    </row>
    <row r="287" spans="1:25" ht="16.8">
      <c r="A287" s="2" t="str">
        <f>IF(M287="","",COUNTIFS($M$13:M287,M287,$G$13:G287,"&gt;0"))</f>
        <v/>
      </c>
      <c r="B287" s="98" t="str">
        <f>IF(ISBLANK(G287),"",SUBTOTAL(3,$G$13:G287))</f>
        <v/>
      </c>
      <c r="C287" s="106"/>
      <c r="D287" s="107"/>
      <c r="E287" s="100"/>
      <c r="F287" s="107"/>
      <c r="G287" s="108"/>
      <c r="H287" s="139"/>
      <c r="I287" s="102" t="str">
        <f t="shared" si="28"/>
        <v/>
      </c>
      <c r="J287" s="103" t="str">
        <f t="shared" si="29"/>
        <v/>
      </c>
      <c r="K287" s="152"/>
      <c r="L287" s="104" t="str">
        <f t="shared" si="30"/>
        <v/>
      </c>
      <c r="M287" s="105"/>
      <c r="N287" s="105"/>
      <c r="O287" s="100"/>
      <c r="P287" s="172" t="str">
        <f t="shared" si="31"/>
        <v/>
      </c>
      <c r="T287" s="18"/>
      <c r="U287" s="19"/>
      <c r="V287" s="19"/>
      <c r="W287" s="181"/>
      <c r="X287" s="192"/>
      <c r="Y287" s="192"/>
    </row>
    <row r="288" spans="1:25" ht="16.8">
      <c r="A288" s="2" t="str">
        <f>IF(M288="","",COUNTIFS($M$13:M288,M288,$G$13:G288,"&gt;0"))</f>
        <v/>
      </c>
      <c r="B288" s="98" t="str">
        <f>IF(ISBLANK(G288),"",SUBTOTAL(3,$G$13:G288))</f>
        <v/>
      </c>
      <c r="C288" s="106"/>
      <c r="D288" s="107"/>
      <c r="E288" s="100"/>
      <c r="F288" s="107"/>
      <c r="G288" s="108"/>
      <c r="H288" s="139"/>
      <c r="I288" s="102" t="str">
        <f t="shared" si="28"/>
        <v/>
      </c>
      <c r="J288" s="103" t="str">
        <f t="shared" si="29"/>
        <v/>
      </c>
      <c r="K288" s="152"/>
      <c r="L288" s="104" t="str">
        <f t="shared" si="30"/>
        <v/>
      </c>
      <c r="M288" s="105"/>
      <c r="N288" s="105"/>
      <c r="O288" s="100"/>
      <c r="P288" s="172" t="str">
        <f t="shared" si="31"/>
        <v/>
      </c>
      <c r="T288" s="18"/>
      <c r="U288" s="19"/>
      <c r="V288" s="19"/>
      <c r="W288" s="181"/>
      <c r="X288" s="192"/>
      <c r="Y288" s="192"/>
    </row>
    <row r="289" spans="1:25" ht="16.8">
      <c r="A289" s="2" t="str">
        <f>IF(M289="","",COUNTIFS($M$13:M289,M289,$G$13:G289,"&gt;0"))</f>
        <v/>
      </c>
      <c r="B289" s="98" t="str">
        <f>IF(ISBLANK(G289),"",SUBTOTAL(3,$G$13:G289))</f>
        <v/>
      </c>
      <c r="C289" s="106"/>
      <c r="D289" s="107"/>
      <c r="E289" s="100"/>
      <c r="F289" s="107"/>
      <c r="G289" s="108"/>
      <c r="H289" s="139"/>
      <c r="I289" s="102" t="str">
        <f t="shared" si="28"/>
        <v/>
      </c>
      <c r="J289" s="103" t="str">
        <f t="shared" si="29"/>
        <v/>
      </c>
      <c r="K289" s="152"/>
      <c r="L289" s="104" t="str">
        <f t="shared" si="30"/>
        <v/>
      </c>
      <c r="M289" s="105"/>
      <c r="N289" s="105"/>
      <c r="O289" s="100"/>
      <c r="P289" s="172" t="str">
        <f t="shared" si="31"/>
        <v/>
      </c>
      <c r="T289" s="18"/>
      <c r="U289" s="19"/>
      <c r="V289" s="19"/>
      <c r="W289" s="181"/>
      <c r="X289" s="192"/>
      <c r="Y289" s="192"/>
    </row>
    <row r="290" spans="1:25" ht="16.8">
      <c r="A290" s="2" t="str">
        <f>IF(M290="","",COUNTIFS($M$13:M290,M290,$G$13:G290,"&gt;0"))</f>
        <v/>
      </c>
      <c r="B290" s="98" t="str">
        <f>IF(ISBLANK(G290),"",SUBTOTAL(3,$G$13:G290))</f>
        <v/>
      </c>
      <c r="C290" s="106"/>
      <c r="D290" s="107"/>
      <c r="E290" s="100"/>
      <c r="F290" s="107"/>
      <c r="G290" s="108"/>
      <c r="H290" s="139"/>
      <c r="I290" s="102" t="str">
        <f t="shared" si="28"/>
        <v/>
      </c>
      <c r="J290" s="103" t="str">
        <f t="shared" si="29"/>
        <v/>
      </c>
      <c r="K290" s="152"/>
      <c r="L290" s="104" t="str">
        <f t="shared" si="30"/>
        <v/>
      </c>
      <c r="M290" s="105"/>
      <c r="N290" s="105"/>
      <c r="O290" s="100"/>
      <c r="P290" s="172" t="str">
        <f t="shared" si="31"/>
        <v/>
      </c>
      <c r="T290" s="18"/>
      <c r="U290" s="19"/>
      <c r="V290" s="19"/>
      <c r="W290" s="181"/>
      <c r="X290" s="192"/>
      <c r="Y290" s="192"/>
    </row>
    <row r="291" spans="1:25" ht="16.8">
      <c r="A291" s="2" t="str">
        <f>IF(M291="","",COUNTIFS($M$13:M291,M291,$G$13:G291,"&gt;0"))</f>
        <v/>
      </c>
      <c r="B291" s="98" t="str">
        <f>IF(ISBLANK(G291),"",SUBTOTAL(3,$G$13:G291))</f>
        <v/>
      </c>
      <c r="C291" s="106"/>
      <c r="D291" s="107"/>
      <c r="E291" s="100"/>
      <c r="F291" s="107"/>
      <c r="G291" s="108"/>
      <c r="H291" s="139"/>
      <c r="I291" s="102" t="str">
        <f t="shared" si="28"/>
        <v/>
      </c>
      <c r="J291" s="103" t="str">
        <f t="shared" si="29"/>
        <v/>
      </c>
      <c r="K291" s="152"/>
      <c r="L291" s="104" t="str">
        <f t="shared" si="30"/>
        <v/>
      </c>
      <c r="M291" s="105"/>
      <c r="N291" s="105"/>
      <c r="O291" s="100"/>
      <c r="P291" s="172" t="str">
        <f t="shared" si="31"/>
        <v/>
      </c>
      <c r="T291" s="18"/>
      <c r="U291" s="19"/>
      <c r="V291" s="19"/>
      <c r="W291" s="181"/>
      <c r="X291" s="192"/>
      <c r="Y291" s="192"/>
    </row>
    <row r="292" spans="1:25" ht="16.8">
      <c r="A292" s="2" t="str">
        <f>IF(M292="","",COUNTIFS($M$13:M292,M292,$G$13:G292,"&gt;0"))</f>
        <v/>
      </c>
      <c r="B292" s="98" t="str">
        <f>IF(ISBLANK(G292),"",SUBTOTAL(3,$G$13:G292))</f>
        <v/>
      </c>
      <c r="C292" s="106"/>
      <c r="D292" s="107"/>
      <c r="E292" s="100"/>
      <c r="F292" s="107"/>
      <c r="G292" s="108"/>
      <c r="H292" s="139"/>
      <c r="I292" s="102" t="str">
        <f t="shared" si="28"/>
        <v/>
      </c>
      <c r="J292" s="103" t="str">
        <f t="shared" si="29"/>
        <v/>
      </c>
      <c r="K292" s="152"/>
      <c r="L292" s="104" t="str">
        <f t="shared" si="30"/>
        <v/>
      </c>
      <c r="M292" s="105"/>
      <c r="N292" s="105"/>
      <c r="O292" s="100"/>
      <c r="P292" s="172" t="str">
        <f t="shared" si="31"/>
        <v/>
      </c>
      <c r="T292" s="18"/>
      <c r="U292" s="19"/>
      <c r="V292" s="19"/>
      <c r="W292" s="181"/>
      <c r="X292" s="192"/>
      <c r="Y292" s="192"/>
    </row>
    <row r="293" spans="1:25" ht="16.8">
      <c r="A293" s="2" t="str">
        <f>IF(M293="","",COUNTIFS($M$13:M293,M293,$G$13:G293,"&gt;0"))</f>
        <v/>
      </c>
      <c r="B293" s="98" t="str">
        <f>IF(ISBLANK(G293),"",SUBTOTAL(3,$G$13:G293))</f>
        <v/>
      </c>
      <c r="C293" s="106"/>
      <c r="D293" s="107"/>
      <c r="E293" s="100"/>
      <c r="F293" s="107"/>
      <c r="G293" s="108"/>
      <c r="H293" s="139"/>
      <c r="I293" s="102" t="str">
        <f t="shared" si="28"/>
        <v/>
      </c>
      <c r="J293" s="103" t="str">
        <f t="shared" si="29"/>
        <v/>
      </c>
      <c r="K293" s="152"/>
      <c r="L293" s="104" t="str">
        <f t="shared" si="30"/>
        <v/>
      </c>
      <c r="M293" s="105"/>
      <c r="N293" s="105"/>
      <c r="O293" s="100"/>
      <c r="P293" s="172" t="str">
        <f t="shared" si="31"/>
        <v/>
      </c>
      <c r="T293" s="18"/>
      <c r="U293" s="19"/>
      <c r="V293" s="19"/>
      <c r="W293" s="181"/>
      <c r="X293" s="192"/>
      <c r="Y293" s="192"/>
    </row>
    <row r="294" spans="1:25" ht="16.8">
      <c r="A294" s="2" t="str">
        <f>IF(M294="","",COUNTIFS($M$13:M294,M294,$G$13:G294,"&gt;0"))</f>
        <v/>
      </c>
      <c r="B294" s="98" t="str">
        <f>IF(ISBLANK(G294),"",SUBTOTAL(3,$G$13:G294))</f>
        <v/>
      </c>
      <c r="C294" s="106"/>
      <c r="D294" s="107"/>
      <c r="E294" s="100"/>
      <c r="F294" s="107"/>
      <c r="G294" s="108"/>
      <c r="H294" s="139"/>
      <c r="I294" s="102" t="str">
        <f t="shared" si="28"/>
        <v/>
      </c>
      <c r="J294" s="103" t="str">
        <f t="shared" si="29"/>
        <v/>
      </c>
      <c r="K294" s="152"/>
      <c r="L294" s="104" t="str">
        <f t="shared" si="30"/>
        <v/>
      </c>
      <c r="M294" s="105"/>
      <c r="N294" s="105"/>
      <c r="O294" s="100"/>
      <c r="P294" s="172" t="str">
        <f t="shared" si="31"/>
        <v/>
      </c>
      <c r="T294" s="18"/>
      <c r="U294" s="19"/>
      <c r="V294" s="19"/>
      <c r="W294" s="181"/>
      <c r="X294" s="192"/>
      <c r="Y294" s="192"/>
    </row>
    <row r="295" spans="1:25" ht="16.8">
      <c r="A295" s="2" t="str">
        <f>IF(M295="","",COUNTIFS($M$13:M295,M295,$G$13:G295,"&gt;0"))</f>
        <v/>
      </c>
      <c r="B295" s="98" t="str">
        <f>IF(ISBLANK(G295),"",SUBTOTAL(3,$G$13:G295))</f>
        <v/>
      </c>
      <c r="C295" s="106"/>
      <c r="D295" s="107"/>
      <c r="E295" s="100"/>
      <c r="F295" s="107"/>
      <c r="G295" s="108"/>
      <c r="H295" s="139"/>
      <c r="I295" s="102" t="str">
        <f t="shared" si="28"/>
        <v/>
      </c>
      <c r="J295" s="103" t="str">
        <f t="shared" si="29"/>
        <v/>
      </c>
      <c r="K295" s="152"/>
      <c r="L295" s="104" t="str">
        <f t="shared" si="30"/>
        <v/>
      </c>
      <c r="M295" s="105"/>
      <c r="N295" s="105"/>
      <c r="O295" s="100"/>
      <c r="P295" s="172" t="str">
        <f t="shared" si="31"/>
        <v/>
      </c>
      <c r="T295" s="18"/>
      <c r="U295" s="19"/>
      <c r="V295" s="19"/>
      <c r="W295" s="181"/>
      <c r="X295" s="192"/>
      <c r="Y295" s="192"/>
    </row>
    <row r="296" spans="1:25" ht="16.8">
      <c r="A296" s="2" t="str">
        <f>IF(M296="","",COUNTIFS($M$13:M296,M296,$G$13:G296,"&gt;0"))</f>
        <v/>
      </c>
      <c r="B296" s="98" t="str">
        <f>IF(ISBLANK(G296),"",SUBTOTAL(3,$G$13:G296))</f>
        <v/>
      </c>
      <c r="C296" s="106"/>
      <c r="D296" s="107"/>
      <c r="E296" s="100"/>
      <c r="F296" s="107"/>
      <c r="G296" s="108"/>
      <c r="H296" s="139"/>
      <c r="I296" s="102" t="str">
        <f t="shared" si="28"/>
        <v/>
      </c>
      <c r="J296" s="103" t="str">
        <f t="shared" si="29"/>
        <v/>
      </c>
      <c r="K296" s="152"/>
      <c r="L296" s="104" t="str">
        <f t="shared" si="30"/>
        <v/>
      </c>
      <c r="M296" s="105"/>
      <c r="N296" s="105"/>
      <c r="O296" s="100"/>
      <c r="P296" s="172" t="str">
        <f t="shared" si="31"/>
        <v/>
      </c>
      <c r="T296" s="18"/>
      <c r="U296" s="19"/>
      <c r="V296" s="19"/>
      <c r="W296" s="181"/>
      <c r="X296" s="192"/>
      <c r="Y296" s="192"/>
    </row>
    <row r="297" spans="1:25" ht="16.8">
      <c r="A297" s="2" t="str">
        <f>IF(M297="","",COUNTIFS($M$13:M297,M297,$G$13:G297,"&gt;0"))</f>
        <v/>
      </c>
      <c r="B297" s="98" t="str">
        <f>IF(ISBLANK(G297),"",SUBTOTAL(3,$G$13:G297))</f>
        <v/>
      </c>
      <c r="C297" s="106"/>
      <c r="D297" s="107"/>
      <c r="E297" s="100"/>
      <c r="F297" s="107"/>
      <c r="G297" s="108"/>
      <c r="H297" s="139"/>
      <c r="I297" s="102" t="str">
        <f t="shared" si="28"/>
        <v/>
      </c>
      <c r="J297" s="103" t="str">
        <f t="shared" si="29"/>
        <v/>
      </c>
      <c r="K297" s="152"/>
      <c r="L297" s="104" t="str">
        <f t="shared" si="30"/>
        <v/>
      </c>
      <c r="M297" s="105"/>
      <c r="N297" s="105"/>
      <c r="O297" s="100"/>
      <c r="P297" s="172" t="str">
        <f t="shared" si="31"/>
        <v/>
      </c>
      <c r="T297" s="18"/>
      <c r="U297" s="19"/>
      <c r="V297" s="19"/>
      <c r="W297" s="181"/>
      <c r="X297" s="192"/>
      <c r="Y297" s="192"/>
    </row>
    <row r="298" spans="1:25" ht="16.8">
      <c r="A298" s="2" t="str">
        <f>IF(M298="","",COUNTIFS($M$13:M298,M298,$G$13:G298,"&gt;0"))</f>
        <v/>
      </c>
      <c r="B298" s="98" t="str">
        <f>IF(ISBLANK(G298),"",SUBTOTAL(3,$G$13:G298))</f>
        <v/>
      </c>
      <c r="C298" s="106"/>
      <c r="D298" s="107"/>
      <c r="E298" s="100"/>
      <c r="F298" s="107"/>
      <c r="G298" s="108"/>
      <c r="H298" s="139"/>
      <c r="I298" s="102" t="str">
        <f t="shared" si="28"/>
        <v/>
      </c>
      <c r="J298" s="103" t="str">
        <f t="shared" si="29"/>
        <v/>
      </c>
      <c r="K298" s="152"/>
      <c r="L298" s="104" t="str">
        <f t="shared" si="30"/>
        <v/>
      </c>
      <c r="M298" s="105"/>
      <c r="N298" s="105"/>
      <c r="O298" s="100"/>
      <c r="P298" s="172" t="str">
        <f t="shared" si="31"/>
        <v/>
      </c>
      <c r="T298" s="18"/>
      <c r="U298" s="19"/>
      <c r="V298" s="19"/>
      <c r="W298" s="181"/>
      <c r="X298" s="192"/>
      <c r="Y298" s="192"/>
    </row>
    <row r="299" spans="1:25" ht="16.8">
      <c r="A299" s="2" t="str">
        <f>IF(M299="","",COUNTIFS($M$13:M299,M299,$G$13:G299,"&gt;0"))</f>
        <v/>
      </c>
      <c r="B299" s="98" t="str">
        <f>IF(ISBLANK(G299),"",SUBTOTAL(3,$G$13:G299))</f>
        <v/>
      </c>
      <c r="C299" s="106"/>
      <c r="D299" s="107"/>
      <c r="E299" s="100"/>
      <c r="F299" s="107"/>
      <c r="G299" s="108"/>
      <c r="H299" s="139"/>
      <c r="I299" s="102" t="str">
        <f t="shared" si="28"/>
        <v/>
      </c>
      <c r="J299" s="103" t="str">
        <f t="shared" si="29"/>
        <v/>
      </c>
      <c r="K299" s="152"/>
      <c r="L299" s="104" t="str">
        <f t="shared" si="30"/>
        <v/>
      </c>
      <c r="M299" s="105"/>
      <c r="N299" s="105"/>
      <c r="O299" s="100"/>
      <c r="P299" s="172" t="str">
        <f t="shared" si="31"/>
        <v/>
      </c>
      <c r="T299" s="18"/>
      <c r="U299" s="19"/>
      <c r="V299" s="19"/>
      <c r="W299" s="181"/>
      <c r="X299" s="192"/>
      <c r="Y299" s="192"/>
    </row>
    <row r="300" spans="1:25" ht="16.8">
      <c r="A300" s="2" t="str">
        <f>IF(M300="","",COUNTIFS($M$13:M300,M300,$G$13:G300,"&gt;0"))</f>
        <v/>
      </c>
      <c r="B300" s="98" t="str">
        <f>IF(ISBLANK(G300),"",SUBTOTAL(3,$G$13:G300))</f>
        <v/>
      </c>
      <c r="C300" s="106"/>
      <c r="D300" s="107"/>
      <c r="E300" s="100"/>
      <c r="F300" s="107"/>
      <c r="G300" s="108"/>
      <c r="H300" s="139"/>
      <c r="I300" s="102" t="str">
        <f t="shared" si="28"/>
        <v/>
      </c>
      <c r="J300" s="103" t="str">
        <f t="shared" si="29"/>
        <v/>
      </c>
      <c r="K300" s="152"/>
      <c r="L300" s="104" t="str">
        <f t="shared" si="30"/>
        <v/>
      </c>
      <c r="M300" s="105"/>
      <c r="N300" s="105"/>
      <c r="O300" s="100"/>
      <c r="P300" s="172" t="str">
        <f t="shared" si="31"/>
        <v/>
      </c>
      <c r="T300" s="18"/>
      <c r="U300" s="19"/>
      <c r="V300" s="19"/>
      <c r="W300" s="181"/>
      <c r="X300" s="192"/>
      <c r="Y300" s="192"/>
    </row>
    <row r="301" spans="1:25" ht="16.8">
      <c r="A301" s="2" t="str">
        <f>IF(M301="","",COUNTIFS($M$13:M301,M301,$G$13:G301,"&gt;0"))</f>
        <v/>
      </c>
      <c r="B301" s="98" t="str">
        <f>IF(ISBLANK(G301),"",SUBTOTAL(3,$G$13:G301))</f>
        <v/>
      </c>
      <c r="C301" s="106"/>
      <c r="D301" s="107"/>
      <c r="E301" s="100"/>
      <c r="F301" s="107"/>
      <c r="G301" s="108"/>
      <c r="H301" s="139"/>
      <c r="I301" s="102" t="str">
        <f t="shared" si="28"/>
        <v/>
      </c>
      <c r="J301" s="103" t="str">
        <f t="shared" si="29"/>
        <v/>
      </c>
      <c r="K301" s="152"/>
      <c r="L301" s="104" t="str">
        <f t="shared" si="30"/>
        <v/>
      </c>
      <c r="M301" s="105"/>
      <c r="N301" s="105"/>
      <c r="O301" s="100"/>
      <c r="P301" s="172" t="str">
        <f t="shared" si="31"/>
        <v/>
      </c>
      <c r="T301" s="18"/>
      <c r="U301" s="19"/>
      <c r="V301" s="19"/>
      <c r="W301" s="181"/>
      <c r="X301" s="192"/>
      <c r="Y301" s="192"/>
    </row>
    <row r="302" spans="1:25" ht="16.8">
      <c r="A302" s="2" t="str">
        <f>IF(M302="","",COUNTIFS($M$13:M302,M302,$G$13:G302,"&gt;0"))</f>
        <v/>
      </c>
      <c r="B302" s="98" t="str">
        <f>IF(ISBLANK(G302),"",SUBTOTAL(3,$G$13:G302))</f>
        <v/>
      </c>
      <c r="C302" s="106"/>
      <c r="D302" s="107"/>
      <c r="E302" s="100"/>
      <c r="F302" s="107"/>
      <c r="G302" s="108"/>
      <c r="H302" s="139"/>
      <c r="I302" s="102" t="str">
        <f t="shared" si="28"/>
        <v/>
      </c>
      <c r="J302" s="103" t="str">
        <f t="shared" si="29"/>
        <v/>
      </c>
      <c r="K302" s="152"/>
      <c r="L302" s="104" t="str">
        <f t="shared" si="30"/>
        <v/>
      </c>
      <c r="M302" s="105"/>
      <c r="N302" s="105"/>
      <c r="O302" s="100"/>
      <c r="P302" s="172" t="str">
        <f t="shared" si="31"/>
        <v/>
      </c>
      <c r="T302" s="18"/>
      <c r="U302" s="19"/>
      <c r="V302" s="19"/>
      <c r="W302" s="181"/>
      <c r="X302" s="192"/>
      <c r="Y302" s="192"/>
    </row>
    <row r="303" spans="1:25" ht="16.8">
      <c r="A303" s="2" t="str">
        <f>IF(M303="","",COUNTIFS($M$13:M303,M303,$G$13:G303,"&gt;0"))</f>
        <v/>
      </c>
      <c r="B303" s="98" t="str">
        <f>IF(ISBLANK(G303),"",SUBTOTAL(3,$G$13:G303))</f>
        <v/>
      </c>
      <c r="C303" s="106"/>
      <c r="D303" s="107"/>
      <c r="E303" s="100"/>
      <c r="F303" s="107"/>
      <c r="G303" s="108"/>
      <c r="H303" s="139"/>
      <c r="I303" s="102" t="str">
        <f t="shared" si="28"/>
        <v/>
      </c>
      <c r="J303" s="103" t="str">
        <f t="shared" si="29"/>
        <v/>
      </c>
      <c r="K303" s="152"/>
      <c r="L303" s="104" t="str">
        <f t="shared" si="30"/>
        <v/>
      </c>
      <c r="M303" s="105"/>
      <c r="N303" s="105"/>
      <c r="O303" s="100"/>
      <c r="P303" s="172" t="str">
        <f t="shared" si="31"/>
        <v/>
      </c>
      <c r="T303" s="18"/>
      <c r="U303" s="19"/>
      <c r="V303" s="19"/>
      <c r="W303" s="181"/>
      <c r="X303" s="192"/>
      <c r="Y303" s="192"/>
    </row>
    <row r="304" spans="1:25" ht="16.8">
      <c r="A304" s="2" t="str">
        <f>IF(M304="","",COUNTIFS($M$13:M304,M304,$G$13:G304,"&gt;0"))</f>
        <v/>
      </c>
      <c r="B304" s="98" t="str">
        <f>IF(ISBLANK(G304),"",SUBTOTAL(3,$G$13:G304))</f>
        <v/>
      </c>
      <c r="C304" s="106"/>
      <c r="D304" s="107"/>
      <c r="E304" s="100"/>
      <c r="F304" s="107"/>
      <c r="G304" s="108"/>
      <c r="H304" s="139"/>
      <c r="I304" s="102" t="str">
        <f t="shared" si="28"/>
        <v/>
      </c>
      <c r="J304" s="103" t="str">
        <f t="shared" si="29"/>
        <v/>
      </c>
      <c r="K304" s="152"/>
      <c r="L304" s="104" t="str">
        <f t="shared" si="30"/>
        <v/>
      </c>
      <c r="M304" s="105"/>
      <c r="N304" s="105"/>
      <c r="O304" s="100"/>
      <c r="P304" s="172" t="str">
        <f t="shared" si="31"/>
        <v/>
      </c>
      <c r="T304" s="18"/>
      <c r="U304" s="19"/>
      <c r="V304" s="19"/>
      <c r="W304" s="181"/>
      <c r="X304" s="192"/>
      <c r="Y304" s="192"/>
    </row>
    <row r="305" spans="1:25" ht="16.8">
      <c r="A305" s="2" t="str">
        <f>IF(M305="","",COUNTIFS($M$13:M305,M305,$G$13:G305,"&gt;0"))</f>
        <v/>
      </c>
      <c r="B305" s="98" t="str">
        <f>IF(ISBLANK(G305),"",SUBTOTAL(3,$G$13:G305))</f>
        <v/>
      </c>
      <c r="C305" s="106"/>
      <c r="D305" s="107"/>
      <c r="E305" s="100"/>
      <c r="F305" s="107"/>
      <c r="G305" s="108"/>
      <c r="H305" s="139"/>
      <c r="I305" s="102" t="str">
        <f t="shared" si="28"/>
        <v/>
      </c>
      <c r="J305" s="103" t="str">
        <f t="shared" si="29"/>
        <v/>
      </c>
      <c r="K305" s="152"/>
      <c r="L305" s="104" t="str">
        <f t="shared" si="30"/>
        <v/>
      </c>
      <c r="M305" s="105"/>
      <c r="N305" s="105"/>
      <c r="O305" s="100"/>
      <c r="P305" s="172" t="str">
        <f t="shared" si="31"/>
        <v/>
      </c>
      <c r="T305" s="18"/>
      <c r="U305" s="19"/>
      <c r="V305" s="19"/>
      <c r="W305" s="181"/>
      <c r="X305" s="192"/>
      <c r="Y305" s="192"/>
    </row>
    <row r="306" spans="1:25" ht="16.8">
      <c r="A306" s="2" t="str">
        <f>IF(M306="","",COUNTIFS($M$13:M306,M306,$G$13:G306,"&gt;0"))</f>
        <v/>
      </c>
      <c r="B306" s="98" t="str">
        <f>IF(ISBLANK(G306),"",SUBTOTAL(3,$G$13:G306))</f>
        <v/>
      </c>
      <c r="C306" s="106"/>
      <c r="D306" s="107"/>
      <c r="E306" s="100"/>
      <c r="F306" s="107"/>
      <c r="G306" s="108"/>
      <c r="H306" s="139"/>
      <c r="I306" s="102" t="str">
        <f t="shared" si="28"/>
        <v/>
      </c>
      <c r="J306" s="103" t="str">
        <f t="shared" si="29"/>
        <v/>
      </c>
      <c r="K306" s="152"/>
      <c r="L306" s="104" t="str">
        <f t="shared" si="30"/>
        <v/>
      </c>
      <c r="M306" s="105"/>
      <c r="N306" s="105"/>
      <c r="O306" s="100"/>
      <c r="P306" s="172" t="str">
        <f t="shared" si="31"/>
        <v/>
      </c>
      <c r="T306" s="18"/>
      <c r="U306" s="19"/>
      <c r="V306" s="19"/>
      <c r="W306" s="181"/>
      <c r="X306" s="192"/>
      <c r="Y306" s="192"/>
    </row>
    <row r="307" spans="1:25" ht="16.8">
      <c r="A307" s="2" t="str">
        <f>IF(M307="","",COUNTIFS($M$13:M307,M307,$G$13:G307,"&gt;0"))</f>
        <v/>
      </c>
      <c r="B307" s="98" t="str">
        <f>IF(ISBLANK(G307),"",SUBTOTAL(3,$G$13:G307))</f>
        <v/>
      </c>
      <c r="C307" s="106"/>
      <c r="D307" s="107"/>
      <c r="E307" s="100"/>
      <c r="F307" s="107"/>
      <c r="G307" s="108"/>
      <c r="H307" s="139"/>
      <c r="I307" s="102" t="str">
        <f t="shared" si="28"/>
        <v/>
      </c>
      <c r="J307" s="103" t="str">
        <f t="shared" si="29"/>
        <v/>
      </c>
      <c r="K307" s="152"/>
      <c r="L307" s="104" t="str">
        <f t="shared" si="30"/>
        <v/>
      </c>
      <c r="M307" s="105"/>
      <c r="N307" s="105"/>
      <c r="O307" s="100"/>
      <c r="P307" s="172" t="str">
        <f t="shared" si="31"/>
        <v/>
      </c>
      <c r="T307" s="18"/>
      <c r="U307" s="19"/>
      <c r="V307" s="19"/>
      <c r="W307" s="181"/>
      <c r="X307" s="192"/>
      <c r="Y307" s="192"/>
    </row>
    <row r="308" spans="1:25" ht="16.8">
      <c r="A308" s="2" t="str">
        <f>IF(M308="","",COUNTIFS($M$13:M308,M308,$G$13:G308,"&gt;0"))</f>
        <v/>
      </c>
      <c r="B308" s="98" t="str">
        <f>IF(ISBLANK(G308),"",SUBTOTAL(3,$G$13:G308))</f>
        <v/>
      </c>
      <c r="C308" s="106"/>
      <c r="D308" s="107"/>
      <c r="E308" s="100"/>
      <c r="F308" s="107"/>
      <c r="G308" s="108"/>
      <c r="H308" s="139"/>
      <c r="I308" s="102" t="str">
        <f t="shared" si="28"/>
        <v/>
      </c>
      <c r="J308" s="103" t="str">
        <f t="shared" si="29"/>
        <v/>
      </c>
      <c r="K308" s="152"/>
      <c r="L308" s="104" t="str">
        <f t="shared" si="30"/>
        <v/>
      </c>
      <c r="M308" s="105"/>
      <c r="N308" s="105"/>
      <c r="O308" s="100"/>
      <c r="P308" s="172" t="str">
        <f t="shared" si="31"/>
        <v/>
      </c>
      <c r="T308" s="18"/>
      <c r="U308" s="19"/>
      <c r="V308" s="19"/>
      <c r="W308" s="181"/>
      <c r="X308" s="192"/>
      <c r="Y308" s="192"/>
    </row>
    <row r="309" spans="1:25" ht="16.8">
      <c r="A309" s="2" t="str">
        <f>IF(M309="","",COUNTIFS($M$13:M309,M309,$G$13:G309,"&gt;0"))</f>
        <v/>
      </c>
      <c r="B309" s="98" t="str">
        <f>IF(ISBLANK(G309),"",SUBTOTAL(3,$G$13:G309))</f>
        <v/>
      </c>
      <c r="C309" s="106"/>
      <c r="D309" s="107"/>
      <c r="E309" s="100"/>
      <c r="F309" s="107"/>
      <c r="G309" s="108"/>
      <c r="H309" s="139"/>
      <c r="I309" s="102" t="str">
        <f t="shared" si="28"/>
        <v/>
      </c>
      <c r="J309" s="103" t="str">
        <f t="shared" si="29"/>
        <v/>
      </c>
      <c r="K309" s="152"/>
      <c r="L309" s="104" t="str">
        <f t="shared" si="30"/>
        <v/>
      </c>
      <c r="M309" s="105"/>
      <c r="N309" s="105"/>
      <c r="O309" s="100"/>
      <c r="P309" s="172" t="str">
        <f t="shared" si="31"/>
        <v/>
      </c>
      <c r="T309" s="18"/>
      <c r="U309" s="19"/>
      <c r="V309" s="19"/>
      <c r="W309" s="181"/>
      <c r="X309" s="192"/>
      <c r="Y309" s="192"/>
    </row>
    <row r="310" spans="1:25" ht="16.8">
      <c r="A310" s="2" t="str">
        <f>IF(M310="","",COUNTIFS($M$13:M310,M310,$G$13:G310,"&gt;0"))</f>
        <v/>
      </c>
      <c r="B310" s="98" t="str">
        <f>IF(ISBLANK(G310),"",SUBTOTAL(3,$G$13:G310))</f>
        <v/>
      </c>
      <c r="C310" s="106"/>
      <c r="D310" s="107"/>
      <c r="E310" s="100"/>
      <c r="F310" s="107"/>
      <c r="G310" s="108"/>
      <c r="H310" s="139"/>
      <c r="I310" s="102" t="str">
        <f t="shared" si="28"/>
        <v/>
      </c>
      <c r="J310" s="103" t="str">
        <f t="shared" si="29"/>
        <v/>
      </c>
      <c r="K310" s="152"/>
      <c r="L310" s="104" t="str">
        <f t="shared" si="30"/>
        <v/>
      </c>
      <c r="M310" s="105"/>
      <c r="N310" s="105"/>
      <c r="O310" s="100"/>
      <c r="P310" s="172" t="str">
        <f t="shared" si="31"/>
        <v/>
      </c>
      <c r="T310" s="18"/>
      <c r="U310" s="19"/>
      <c r="V310" s="19"/>
      <c r="W310" s="181"/>
      <c r="X310" s="192"/>
      <c r="Y310" s="192"/>
    </row>
    <row r="311" spans="1:25" ht="16.8">
      <c r="A311" s="2" t="str">
        <f>IF(M311="","",COUNTIFS($M$13:M311,M311,$G$13:G311,"&gt;0"))</f>
        <v/>
      </c>
      <c r="B311" s="98" t="str">
        <f>IF(ISBLANK(G311),"",SUBTOTAL(3,$G$13:G311))</f>
        <v/>
      </c>
      <c r="C311" s="106"/>
      <c r="D311" s="107"/>
      <c r="E311" s="100"/>
      <c r="F311" s="107"/>
      <c r="G311" s="108"/>
      <c r="H311" s="139"/>
      <c r="I311" s="102" t="str">
        <f t="shared" si="28"/>
        <v/>
      </c>
      <c r="J311" s="103" t="str">
        <f t="shared" si="29"/>
        <v/>
      </c>
      <c r="K311" s="152"/>
      <c r="L311" s="104" t="str">
        <f t="shared" si="30"/>
        <v/>
      </c>
      <c r="M311" s="105"/>
      <c r="N311" s="105"/>
      <c r="O311" s="100"/>
      <c r="P311" s="172" t="str">
        <f t="shared" si="31"/>
        <v/>
      </c>
      <c r="T311" s="18"/>
      <c r="U311" s="19"/>
      <c r="V311" s="19"/>
      <c r="W311" s="181"/>
      <c r="X311" s="192"/>
      <c r="Y311" s="192"/>
    </row>
    <row r="312" spans="1:25" ht="16.8">
      <c r="A312" s="2" t="str">
        <f>IF(M312="","",COUNTIFS($M$13:M312,M312,$G$13:G312,"&gt;0"))</f>
        <v/>
      </c>
      <c r="B312" s="98" t="str">
        <f>IF(ISBLANK(G312),"",SUBTOTAL(3,$G$13:G312))</f>
        <v/>
      </c>
      <c r="C312" s="106"/>
      <c r="D312" s="107"/>
      <c r="E312" s="100"/>
      <c r="F312" s="107"/>
      <c r="G312" s="108"/>
      <c r="H312" s="139"/>
      <c r="I312" s="102" t="str">
        <f t="shared" si="28"/>
        <v/>
      </c>
      <c r="J312" s="103" t="str">
        <f t="shared" si="29"/>
        <v/>
      </c>
      <c r="K312" s="152"/>
      <c r="L312" s="104" t="str">
        <f t="shared" si="30"/>
        <v/>
      </c>
      <c r="M312" s="105"/>
      <c r="N312" s="105"/>
      <c r="O312" s="100"/>
      <c r="P312" s="172" t="str">
        <f t="shared" si="31"/>
        <v/>
      </c>
      <c r="T312" s="18"/>
      <c r="U312" s="19"/>
      <c r="V312" s="19"/>
      <c r="W312" s="181"/>
      <c r="X312" s="192"/>
      <c r="Y312" s="192"/>
    </row>
    <row r="313" spans="1:25" ht="16.8">
      <c r="A313" s="2" t="str">
        <f>IF(M313="","",COUNTIFS($M$13:M313,M313,$G$13:G313,"&gt;0"))</f>
        <v/>
      </c>
      <c r="B313" s="98" t="str">
        <f>IF(ISBLANK(G313),"",SUBTOTAL(3,$G$13:G313))</f>
        <v/>
      </c>
      <c r="C313" s="106"/>
      <c r="D313" s="107"/>
      <c r="E313" s="100"/>
      <c r="F313" s="107"/>
      <c r="G313" s="108"/>
      <c r="H313" s="139"/>
      <c r="I313" s="102" t="str">
        <f t="shared" si="28"/>
        <v/>
      </c>
      <c r="J313" s="103" t="str">
        <f t="shared" si="29"/>
        <v/>
      </c>
      <c r="K313" s="152"/>
      <c r="L313" s="104" t="str">
        <f t="shared" si="30"/>
        <v/>
      </c>
      <c r="M313" s="105"/>
      <c r="N313" s="105"/>
      <c r="O313" s="100"/>
      <c r="P313" s="172" t="str">
        <f t="shared" si="31"/>
        <v/>
      </c>
      <c r="T313" s="18"/>
      <c r="U313" s="19"/>
      <c r="V313" s="19"/>
      <c r="W313" s="181"/>
      <c r="X313" s="192"/>
      <c r="Y313" s="192"/>
    </row>
    <row r="314" spans="1:25" ht="16.8">
      <c r="A314" s="2" t="str">
        <f>IF(M314="","",COUNTIFS($M$13:M314,M314,$G$13:G314,"&gt;0"))</f>
        <v/>
      </c>
      <c r="B314" s="98" t="str">
        <f>IF(ISBLANK(G314),"",SUBTOTAL(3,$G$13:G314))</f>
        <v/>
      </c>
      <c r="C314" s="106"/>
      <c r="D314" s="107"/>
      <c r="E314" s="100"/>
      <c r="F314" s="107"/>
      <c r="G314" s="108"/>
      <c r="H314" s="139"/>
      <c r="I314" s="102" t="str">
        <f t="shared" si="28"/>
        <v/>
      </c>
      <c r="J314" s="103" t="str">
        <f t="shared" si="29"/>
        <v/>
      </c>
      <c r="K314" s="152"/>
      <c r="L314" s="104" t="str">
        <f t="shared" si="30"/>
        <v/>
      </c>
      <c r="M314" s="105"/>
      <c r="N314" s="105"/>
      <c r="O314" s="100"/>
      <c r="P314" s="172" t="str">
        <f t="shared" si="31"/>
        <v/>
      </c>
      <c r="T314" s="18"/>
      <c r="U314" s="19"/>
      <c r="V314" s="19"/>
      <c r="W314" s="181"/>
      <c r="X314" s="192"/>
      <c r="Y314" s="192"/>
    </row>
    <row r="315" spans="1:25" ht="16.8">
      <c r="A315" s="2" t="str">
        <f>IF(M315="","",COUNTIFS($M$13:M315,M315,$G$13:G315,"&gt;0"))</f>
        <v/>
      </c>
      <c r="B315" s="98" t="str">
        <f>IF(ISBLANK(G315),"",SUBTOTAL(3,$G$13:G315))</f>
        <v/>
      </c>
      <c r="C315" s="106"/>
      <c r="D315" s="107"/>
      <c r="E315" s="100"/>
      <c r="F315" s="107"/>
      <c r="G315" s="108"/>
      <c r="H315" s="139"/>
      <c r="I315" s="102" t="str">
        <f t="shared" si="28"/>
        <v/>
      </c>
      <c r="J315" s="103" t="str">
        <f t="shared" si="29"/>
        <v/>
      </c>
      <c r="K315" s="152"/>
      <c r="L315" s="104" t="str">
        <f t="shared" si="30"/>
        <v/>
      </c>
      <c r="M315" s="105"/>
      <c r="N315" s="105"/>
      <c r="O315" s="100"/>
      <c r="P315" s="172" t="str">
        <f t="shared" si="31"/>
        <v/>
      </c>
      <c r="T315" s="18"/>
      <c r="U315" s="19"/>
      <c r="V315" s="19"/>
      <c r="W315" s="181"/>
      <c r="X315" s="192"/>
      <c r="Y315" s="192"/>
    </row>
    <row r="316" spans="1:25" ht="16.8">
      <c r="A316" s="2" t="str">
        <f>IF(M316="","",COUNTIFS($M$13:M316,M316,$G$13:G316,"&gt;0"))</f>
        <v/>
      </c>
      <c r="B316" s="98" t="str">
        <f>IF(ISBLANK(G316),"",SUBTOTAL(3,$G$13:G316))</f>
        <v/>
      </c>
      <c r="C316" s="106"/>
      <c r="D316" s="107"/>
      <c r="E316" s="100"/>
      <c r="F316" s="107"/>
      <c r="G316" s="108"/>
      <c r="H316" s="139"/>
      <c r="I316" s="102" t="str">
        <f t="shared" si="28"/>
        <v/>
      </c>
      <c r="J316" s="103" t="str">
        <f t="shared" si="29"/>
        <v/>
      </c>
      <c r="K316" s="152"/>
      <c r="L316" s="104" t="str">
        <f t="shared" si="30"/>
        <v/>
      </c>
      <c r="M316" s="105"/>
      <c r="N316" s="105"/>
      <c r="O316" s="100"/>
      <c r="P316" s="172" t="str">
        <f t="shared" si="31"/>
        <v/>
      </c>
      <c r="T316" s="18"/>
      <c r="U316" s="19"/>
      <c r="V316" s="19"/>
      <c r="W316" s="181"/>
      <c r="X316" s="192"/>
      <c r="Y316" s="192"/>
    </row>
    <row r="317" spans="1:25" ht="16.8">
      <c r="A317" s="2" t="str">
        <f>IF(M317="","",COUNTIFS($M$13:M317,M317,$G$13:G317,"&gt;0"))</f>
        <v/>
      </c>
      <c r="B317" s="98" t="str">
        <f>IF(ISBLANK(G317),"",SUBTOTAL(3,$G$13:G317))</f>
        <v/>
      </c>
      <c r="C317" s="106"/>
      <c r="D317" s="107"/>
      <c r="E317" s="100"/>
      <c r="F317" s="107"/>
      <c r="G317" s="108"/>
      <c r="H317" s="139"/>
      <c r="I317" s="102" t="str">
        <f t="shared" si="28"/>
        <v/>
      </c>
      <c r="J317" s="103" t="str">
        <f t="shared" si="29"/>
        <v/>
      </c>
      <c r="K317" s="152"/>
      <c r="L317" s="104" t="str">
        <f t="shared" si="30"/>
        <v/>
      </c>
      <c r="M317" s="105"/>
      <c r="N317" s="105"/>
      <c r="O317" s="100"/>
      <c r="P317" s="172" t="str">
        <f t="shared" si="31"/>
        <v/>
      </c>
      <c r="T317" s="18"/>
      <c r="U317" s="19"/>
      <c r="V317" s="19"/>
      <c r="W317" s="181"/>
      <c r="X317" s="192"/>
      <c r="Y317" s="192"/>
    </row>
    <row r="318" spans="1:25" ht="16.8">
      <c r="A318" s="2" t="str">
        <f>IF(M318="","",COUNTIFS($M$13:M318,M318,$G$13:G318,"&gt;0"))</f>
        <v/>
      </c>
      <c r="B318" s="98" t="str">
        <f>IF(ISBLANK(G318),"",SUBTOTAL(3,$G$13:G318))</f>
        <v/>
      </c>
      <c r="C318" s="106"/>
      <c r="D318" s="107"/>
      <c r="E318" s="100"/>
      <c r="F318" s="107"/>
      <c r="G318" s="108"/>
      <c r="H318" s="139"/>
      <c r="I318" s="102" t="str">
        <f t="shared" si="28"/>
        <v/>
      </c>
      <c r="J318" s="103" t="str">
        <f t="shared" si="29"/>
        <v/>
      </c>
      <c r="K318" s="152"/>
      <c r="L318" s="104" t="str">
        <f t="shared" si="30"/>
        <v/>
      </c>
      <c r="M318" s="105"/>
      <c r="N318" s="105"/>
      <c r="O318" s="100"/>
      <c r="P318" s="172" t="str">
        <f t="shared" si="31"/>
        <v/>
      </c>
      <c r="T318" s="18"/>
      <c r="U318" s="19"/>
      <c r="V318" s="19"/>
      <c r="W318" s="181"/>
      <c r="X318" s="192"/>
      <c r="Y318" s="192"/>
    </row>
    <row r="319" spans="1:25" ht="16.8">
      <c r="A319" s="2" t="str">
        <f>IF(M319="","",COUNTIFS($M$13:M319,M319,$G$13:G319,"&gt;0"))</f>
        <v/>
      </c>
      <c r="B319" s="98" t="str">
        <f>IF(ISBLANK(G319),"",SUBTOTAL(3,$G$13:G319))</f>
        <v/>
      </c>
      <c r="C319" s="106"/>
      <c r="D319" s="107"/>
      <c r="E319" s="100"/>
      <c r="F319" s="107"/>
      <c r="G319" s="108"/>
      <c r="H319" s="139"/>
      <c r="I319" s="102" t="str">
        <f t="shared" si="28"/>
        <v/>
      </c>
      <c r="J319" s="103" t="str">
        <f t="shared" si="29"/>
        <v/>
      </c>
      <c r="K319" s="152"/>
      <c r="L319" s="104" t="str">
        <f t="shared" si="30"/>
        <v/>
      </c>
      <c r="M319" s="105"/>
      <c r="N319" s="105"/>
      <c r="O319" s="100"/>
      <c r="P319" s="172" t="str">
        <f t="shared" si="31"/>
        <v/>
      </c>
      <c r="T319" s="18"/>
      <c r="U319" s="19"/>
      <c r="V319" s="19"/>
      <c r="W319" s="181"/>
      <c r="X319" s="192"/>
      <c r="Y319" s="192"/>
    </row>
    <row r="320" spans="1:25" ht="16.8">
      <c r="A320" s="2" t="str">
        <f>IF(M320="","",COUNTIFS($M$13:M320,M320,$G$13:G320,"&gt;0"))</f>
        <v/>
      </c>
      <c r="B320" s="98" t="str">
        <f>IF(ISBLANK(G320),"",SUBTOTAL(3,$G$13:G320))</f>
        <v/>
      </c>
      <c r="C320" s="106"/>
      <c r="D320" s="107"/>
      <c r="E320" s="100"/>
      <c r="F320" s="107"/>
      <c r="G320" s="108"/>
      <c r="H320" s="139"/>
      <c r="I320" s="102" t="str">
        <f t="shared" si="28"/>
        <v/>
      </c>
      <c r="J320" s="103" t="str">
        <f t="shared" si="29"/>
        <v/>
      </c>
      <c r="K320" s="152"/>
      <c r="L320" s="104" t="str">
        <f t="shared" si="30"/>
        <v/>
      </c>
      <c r="M320" s="105"/>
      <c r="N320" s="105"/>
      <c r="O320" s="100"/>
      <c r="P320" s="172" t="str">
        <f t="shared" si="31"/>
        <v/>
      </c>
      <c r="T320" s="18"/>
      <c r="U320" s="19"/>
      <c r="V320" s="19"/>
      <c r="W320" s="181"/>
      <c r="X320" s="192"/>
      <c r="Y320" s="192"/>
    </row>
    <row r="321" spans="1:25" ht="16.8">
      <c r="A321" s="2" t="str">
        <f>IF(M321="","",COUNTIFS($M$13:M321,M321,$G$13:G321,"&gt;0"))</f>
        <v/>
      </c>
      <c r="B321" s="98" t="str">
        <f>IF(ISBLANK(G321),"",SUBTOTAL(3,$G$13:G321))</f>
        <v/>
      </c>
      <c r="C321" s="106"/>
      <c r="D321" s="107"/>
      <c r="E321" s="100"/>
      <c r="F321" s="107"/>
      <c r="G321" s="108"/>
      <c r="H321" s="139"/>
      <c r="I321" s="102" t="str">
        <f t="shared" si="28"/>
        <v/>
      </c>
      <c r="J321" s="103" t="str">
        <f t="shared" si="29"/>
        <v/>
      </c>
      <c r="K321" s="152"/>
      <c r="L321" s="104" t="str">
        <f t="shared" si="30"/>
        <v/>
      </c>
      <c r="M321" s="105"/>
      <c r="N321" s="105"/>
      <c r="O321" s="100"/>
      <c r="P321" s="172" t="str">
        <f t="shared" si="31"/>
        <v/>
      </c>
      <c r="T321" s="18"/>
      <c r="U321" s="19"/>
      <c r="V321" s="19"/>
      <c r="W321" s="181"/>
      <c r="X321" s="192"/>
      <c r="Y321" s="192"/>
    </row>
    <row r="322" spans="1:25" ht="16.8">
      <c r="A322" s="2" t="str">
        <f>IF(M322="","",COUNTIFS($M$13:M322,M322,$G$13:G322,"&gt;0"))</f>
        <v/>
      </c>
      <c r="B322" s="98" t="str">
        <f>IF(ISBLANK(G322),"",SUBTOTAL(3,$G$13:G322))</f>
        <v/>
      </c>
      <c r="C322" s="106"/>
      <c r="D322" s="107"/>
      <c r="E322" s="100"/>
      <c r="F322" s="107"/>
      <c r="G322" s="108"/>
      <c r="H322" s="139"/>
      <c r="I322" s="102" t="str">
        <f t="shared" si="28"/>
        <v/>
      </c>
      <c r="J322" s="103" t="str">
        <f t="shared" si="29"/>
        <v/>
      </c>
      <c r="K322" s="152"/>
      <c r="L322" s="104" t="str">
        <f t="shared" si="30"/>
        <v/>
      </c>
      <c r="M322" s="105"/>
      <c r="N322" s="105"/>
      <c r="O322" s="100"/>
      <c r="P322" s="172" t="str">
        <f t="shared" si="31"/>
        <v/>
      </c>
      <c r="T322" s="18"/>
      <c r="U322" s="19"/>
      <c r="V322" s="19"/>
      <c r="W322" s="181"/>
      <c r="X322" s="192"/>
      <c r="Y322" s="192"/>
    </row>
    <row r="323" spans="1:25" ht="16.8">
      <c r="A323" s="2" t="str">
        <f>IF(M323="","",COUNTIFS($M$13:M323,M323,$G$13:G323,"&gt;0"))</f>
        <v/>
      </c>
      <c r="B323" s="98" t="str">
        <f>IF(ISBLANK(G323),"",SUBTOTAL(3,$G$13:G323))</f>
        <v/>
      </c>
      <c r="C323" s="106"/>
      <c r="D323" s="107"/>
      <c r="E323" s="100"/>
      <c r="F323" s="107"/>
      <c r="G323" s="108"/>
      <c r="H323" s="139"/>
      <c r="I323" s="102" t="str">
        <f t="shared" si="28"/>
        <v/>
      </c>
      <c r="J323" s="103" t="str">
        <f t="shared" si="29"/>
        <v/>
      </c>
      <c r="K323" s="152"/>
      <c r="L323" s="104" t="str">
        <f t="shared" si="30"/>
        <v/>
      </c>
      <c r="M323" s="105"/>
      <c r="N323" s="105"/>
      <c r="O323" s="100"/>
      <c r="P323" s="172" t="str">
        <f t="shared" si="31"/>
        <v/>
      </c>
      <c r="T323" s="18"/>
      <c r="U323" s="19"/>
      <c r="V323" s="19"/>
      <c r="W323" s="181"/>
      <c r="X323" s="192"/>
      <c r="Y323" s="192"/>
    </row>
    <row r="324" spans="1:25" ht="16.8">
      <c r="A324" s="2" t="str">
        <f>IF(M324="","",COUNTIFS($M$13:M324,M324,$G$13:G324,"&gt;0"))</f>
        <v/>
      </c>
      <c r="B324" s="98" t="str">
        <f>IF(ISBLANK(G324),"",SUBTOTAL(3,$G$13:G324))</f>
        <v/>
      </c>
      <c r="C324" s="106"/>
      <c r="D324" s="107"/>
      <c r="E324" s="100"/>
      <c r="F324" s="107"/>
      <c r="G324" s="108"/>
      <c r="H324" s="139"/>
      <c r="I324" s="102" t="str">
        <f t="shared" si="28"/>
        <v/>
      </c>
      <c r="J324" s="103" t="str">
        <f t="shared" si="29"/>
        <v/>
      </c>
      <c r="K324" s="152"/>
      <c r="L324" s="104" t="str">
        <f t="shared" si="30"/>
        <v/>
      </c>
      <c r="M324" s="105"/>
      <c r="N324" s="105"/>
      <c r="O324" s="100"/>
      <c r="P324" s="172" t="str">
        <f t="shared" si="31"/>
        <v/>
      </c>
      <c r="T324" s="18"/>
      <c r="U324" s="19"/>
      <c r="V324" s="19"/>
      <c r="W324" s="181"/>
      <c r="X324" s="192"/>
      <c r="Y324" s="192"/>
    </row>
    <row r="325" spans="1:25" ht="16.8">
      <c r="A325" s="2" t="str">
        <f>IF(M325="","",COUNTIFS($M$13:M325,M325,$G$13:G325,"&gt;0"))</f>
        <v/>
      </c>
      <c r="B325" s="98" t="str">
        <f>IF(ISBLANK(G325),"",SUBTOTAL(3,$G$13:G325))</f>
        <v/>
      </c>
      <c r="C325" s="106"/>
      <c r="D325" s="107"/>
      <c r="E325" s="100"/>
      <c r="F325" s="107"/>
      <c r="G325" s="108"/>
      <c r="H325" s="139"/>
      <c r="I325" s="102" t="str">
        <f t="shared" si="28"/>
        <v/>
      </c>
      <c r="J325" s="103" t="str">
        <f t="shared" si="29"/>
        <v/>
      </c>
      <c r="K325" s="152"/>
      <c r="L325" s="104" t="str">
        <f t="shared" si="30"/>
        <v/>
      </c>
      <c r="M325" s="105"/>
      <c r="N325" s="105"/>
      <c r="O325" s="100"/>
      <c r="P325" s="172" t="str">
        <f t="shared" si="31"/>
        <v/>
      </c>
      <c r="T325" s="18"/>
      <c r="U325" s="19"/>
      <c r="V325" s="19"/>
      <c r="W325" s="181"/>
      <c r="X325" s="192"/>
      <c r="Y325" s="192"/>
    </row>
    <row r="326" spans="1:25" ht="16.8">
      <c r="A326" s="2" t="str">
        <f>IF(M326="","",COUNTIFS($M$13:M326,M326,$G$13:G326,"&gt;0"))</f>
        <v/>
      </c>
      <c r="B326" s="98" t="str">
        <f>IF(ISBLANK(G326),"",SUBTOTAL(3,$G$13:G326))</f>
        <v/>
      </c>
      <c r="C326" s="106"/>
      <c r="D326" s="107"/>
      <c r="E326" s="100"/>
      <c r="F326" s="107"/>
      <c r="G326" s="108"/>
      <c r="H326" s="139"/>
      <c r="I326" s="102" t="str">
        <f t="shared" si="28"/>
        <v/>
      </c>
      <c r="J326" s="103" t="str">
        <f t="shared" si="29"/>
        <v/>
      </c>
      <c r="K326" s="152"/>
      <c r="L326" s="104" t="str">
        <f t="shared" si="30"/>
        <v/>
      </c>
      <c r="M326" s="105"/>
      <c r="N326" s="105"/>
      <c r="O326" s="100"/>
      <c r="P326" s="172" t="str">
        <f t="shared" si="31"/>
        <v/>
      </c>
      <c r="T326" s="18"/>
      <c r="U326" s="19"/>
      <c r="V326" s="19"/>
      <c r="W326" s="181"/>
      <c r="X326" s="192"/>
      <c r="Y326" s="192"/>
    </row>
    <row r="327" spans="1:25" ht="16.8">
      <c r="A327" s="2" t="str">
        <f>IF(M327="","",COUNTIFS($M$13:M327,M327,$G$13:G327,"&gt;0"))</f>
        <v/>
      </c>
      <c r="B327" s="98" t="str">
        <f>IF(ISBLANK(G327),"",SUBTOTAL(3,$G$13:G327))</f>
        <v/>
      </c>
      <c r="C327" s="106"/>
      <c r="D327" s="107"/>
      <c r="E327" s="100"/>
      <c r="F327" s="107"/>
      <c r="G327" s="108"/>
      <c r="H327" s="139"/>
      <c r="I327" s="102" t="str">
        <f t="shared" si="28"/>
        <v/>
      </c>
      <c r="J327" s="103" t="str">
        <f t="shared" si="29"/>
        <v/>
      </c>
      <c r="K327" s="152"/>
      <c r="L327" s="104" t="str">
        <f t="shared" si="30"/>
        <v/>
      </c>
      <c r="M327" s="105"/>
      <c r="N327" s="105"/>
      <c r="O327" s="100"/>
      <c r="P327" s="172" t="str">
        <f t="shared" si="31"/>
        <v/>
      </c>
      <c r="T327" s="18"/>
      <c r="U327" s="19"/>
      <c r="V327" s="19"/>
      <c r="W327" s="181"/>
      <c r="X327" s="192"/>
      <c r="Y327" s="192"/>
    </row>
    <row r="328" spans="1:25" ht="16.8">
      <c r="A328" s="2" t="str">
        <f>IF(M328="","",COUNTIFS($M$13:M328,M328,$G$13:G328,"&gt;0"))</f>
        <v/>
      </c>
      <c r="B328" s="98" t="str">
        <f>IF(ISBLANK(G328),"",SUBTOTAL(3,$G$13:G328))</f>
        <v/>
      </c>
      <c r="C328" s="106"/>
      <c r="D328" s="107"/>
      <c r="E328" s="100"/>
      <c r="F328" s="107"/>
      <c r="G328" s="108"/>
      <c r="H328" s="139"/>
      <c r="I328" s="102" t="str">
        <f t="shared" si="28"/>
        <v/>
      </c>
      <c r="J328" s="103" t="str">
        <f t="shared" si="29"/>
        <v/>
      </c>
      <c r="K328" s="152"/>
      <c r="L328" s="104" t="str">
        <f t="shared" si="30"/>
        <v/>
      </c>
      <c r="M328" s="105"/>
      <c r="N328" s="105"/>
      <c r="O328" s="100"/>
      <c r="P328" s="172" t="str">
        <f t="shared" si="31"/>
        <v/>
      </c>
      <c r="T328" s="18"/>
      <c r="U328" s="19"/>
      <c r="V328" s="19"/>
      <c r="W328" s="181"/>
      <c r="X328" s="192"/>
      <c r="Y328" s="192"/>
    </row>
    <row r="329" spans="1:25" ht="16.8">
      <c r="A329" s="2" t="str">
        <f>IF(M329="","",COUNTIFS($M$13:M329,M329,$G$13:G329,"&gt;0"))</f>
        <v/>
      </c>
      <c r="B329" s="98" t="str">
        <f>IF(ISBLANK(G329),"",SUBTOTAL(3,$G$13:G329))</f>
        <v/>
      </c>
      <c r="C329" s="106"/>
      <c r="D329" s="107"/>
      <c r="E329" s="100"/>
      <c r="F329" s="107"/>
      <c r="G329" s="108"/>
      <c r="H329" s="139"/>
      <c r="I329" s="102" t="str">
        <f t="shared" si="28"/>
        <v/>
      </c>
      <c r="J329" s="103" t="str">
        <f t="shared" si="29"/>
        <v/>
      </c>
      <c r="K329" s="152"/>
      <c r="L329" s="104" t="str">
        <f t="shared" si="30"/>
        <v/>
      </c>
      <c r="M329" s="105"/>
      <c r="N329" s="105"/>
      <c r="O329" s="100"/>
      <c r="P329" s="172" t="str">
        <f t="shared" si="31"/>
        <v/>
      </c>
      <c r="T329" s="18"/>
      <c r="U329" s="19"/>
      <c r="V329" s="19"/>
      <c r="W329" s="181"/>
      <c r="X329" s="192"/>
      <c r="Y329" s="192"/>
    </row>
    <row r="330" spans="1:25" ht="16.8">
      <c r="A330" s="2" t="str">
        <f>IF(M330="","",COUNTIFS($M$13:M330,M330,$G$13:G330,"&gt;0"))</f>
        <v/>
      </c>
      <c r="B330" s="98" t="str">
        <f>IF(ISBLANK(G330),"",SUBTOTAL(3,$G$13:G330))</f>
        <v/>
      </c>
      <c r="C330" s="106"/>
      <c r="D330" s="107"/>
      <c r="E330" s="100"/>
      <c r="F330" s="107"/>
      <c r="G330" s="108"/>
      <c r="H330" s="139"/>
      <c r="I330" s="102" t="str">
        <f t="shared" si="28"/>
        <v/>
      </c>
      <c r="J330" s="103" t="str">
        <f t="shared" si="29"/>
        <v/>
      </c>
      <c r="K330" s="152"/>
      <c r="L330" s="104" t="str">
        <f t="shared" si="30"/>
        <v/>
      </c>
      <c r="M330" s="105"/>
      <c r="N330" s="105"/>
      <c r="O330" s="100"/>
      <c r="P330" s="172" t="str">
        <f t="shared" si="31"/>
        <v/>
      </c>
      <c r="T330" s="18"/>
      <c r="U330" s="19"/>
      <c r="V330" s="19"/>
      <c r="W330" s="181"/>
      <c r="X330" s="192"/>
      <c r="Y330" s="192"/>
    </row>
    <row r="331" spans="1:25" ht="16.8">
      <c r="A331" s="2" t="str">
        <f>IF(M331="","",COUNTIFS($M$13:M331,M331,$G$13:G331,"&gt;0"))</f>
        <v/>
      </c>
      <c r="B331" s="98" t="str">
        <f>IF(ISBLANK(G331),"",SUBTOTAL(3,$G$13:G331))</f>
        <v/>
      </c>
      <c r="C331" s="106"/>
      <c r="D331" s="107"/>
      <c r="E331" s="100"/>
      <c r="F331" s="107"/>
      <c r="G331" s="108"/>
      <c r="H331" s="139"/>
      <c r="I331" s="102" t="str">
        <f t="shared" si="28"/>
        <v/>
      </c>
      <c r="J331" s="103" t="str">
        <f t="shared" si="29"/>
        <v/>
      </c>
      <c r="K331" s="152"/>
      <c r="L331" s="104" t="str">
        <f t="shared" si="30"/>
        <v/>
      </c>
      <c r="M331" s="105"/>
      <c r="N331" s="105"/>
      <c r="O331" s="100"/>
      <c r="P331" s="172" t="str">
        <f t="shared" si="31"/>
        <v/>
      </c>
      <c r="T331" s="18"/>
      <c r="U331" s="19"/>
      <c r="V331" s="19"/>
      <c r="W331" s="181"/>
      <c r="X331" s="192"/>
      <c r="Y331" s="192"/>
    </row>
    <row r="332" spans="1:25" ht="16.8">
      <c r="A332" s="2" t="str">
        <f>IF(M332="","",COUNTIFS($M$13:M332,M332,$G$13:G332,"&gt;0"))</f>
        <v/>
      </c>
      <c r="B332" s="98" t="str">
        <f>IF(ISBLANK(G332),"",SUBTOTAL(3,$G$13:G332))</f>
        <v/>
      </c>
      <c r="C332" s="106"/>
      <c r="D332" s="107"/>
      <c r="E332" s="100"/>
      <c r="F332" s="107"/>
      <c r="G332" s="108"/>
      <c r="H332" s="139"/>
      <c r="I332" s="102" t="str">
        <f t="shared" si="28"/>
        <v/>
      </c>
      <c r="J332" s="103" t="str">
        <f t="shared" si="29"/>
        <v/>
      </c>
      <c r="K332" s="152"/>
      <c r="L332" s="104" t="str">
        <f t="shared" si="30"/>
        <v/>
      </c>
      <c r="M332" s="105"/>
      <c r="N332" s="105"/>
      <c r="O332" s="100"/>
      <c r="P332" s="172" t="str">
        <f t="shared" si="31"/>
        <v/>
      </c>
      <c r="T332" s="18"/>
      <c r="U332" s="19"/>
      <c r="V332" s="19"/>
      <c r="W332" s="181"/>
      <c r="X332" s="192"/>
      <c r="Y332" s="192"/>
    </row>
    <row r="333" spans="1:25" ht="16.8">
      <c r="A333" s="2" t="str">
        <f>IF(M333="","",COUNTIFS($M$13:M333,M333,$G$13:G333,"&gt;0"))</f>
        <v/>
      </c>
      <c r="B333" s="98" t="str">
        <f>IF(ISBLANK(G333),"",SUBTOTAL(3,$G$13:G333))</f>
        <v/>
      </c>
      <c r="C333" s="106"/>
      <c r="D333" s="107"/>
      <c r="E333" s="100"/>
      <c r="F333" s="107"/>
      <c r="G333" s="108"/>
      <c r="H333" s="139"/>
      <c r="I333" s="102" t="str">
        <f t="shared" ref="I333:I396" si="32">IFERROR(IF(ISBLANK(D333),"",(IF(K333&gt;0,L333,G333)/NhipSX)),"")</f>
        <v/>
      </c>
      <c r="J333" s="103" t="str">
        <f t="shared" ref="J333:J396" si="33">IFERROR(IF(OR(D333=0,B333=0),"",INDEX($AA$2:$AG$2,MATCH(D333,$AA$1:$AG$1,0))*IF($J$11="Đơn Giá CBC",L333,G333)),"")</f>
        <v/>
      </c>
      <c r="K333" s="152"/>
      <c r="L333" s="104" t="str">
        <f t="shared" ref="L333:L396" si="34">IFERROR(IF(ISBLANK(D333),"",IF(ISBLANK(K333),G333,(G333/K333))),"")</f>
        <v/>
      </c>
      <c r="M333" s="105"/>
      <c r="N333" s="105"/>
      <c r="O333" s="100"/>
      <c r="P333" s="172" t="str">
        <f t="shared" si="31"/>
        <v/>
      </c>
      <c r="T333" s="18"/>
      <c r="U333" s="19"/>
      <c r="V333" s="19"/>
      <c r="W333" s="181"/>
      <c r="X333" s="192"/>
      <c r="Y333" s="192"/>
    </row>
    <row r="334" spans="1:25" ht="16.8">
      <c r="A334" s="2" t="str">
        <f>IF(M334="","",COUNTIFS($M$13:M334,M334,$G$13:G334,"&gt;0"))</f>
        <v/>
      </c>
      <c r="B334" s="98" t="str">
        <f>IF(ISBLANK(G334),"",SUBTOTAL(3,$G$13:G334))</f>
        <v/>
      </c>
      <c r="C334" s="106"/>
      <c r="D334" s="107"/>
      <c r="E334" s="100"/>
      <c r="F334" s="107"/>
      <c r="G334" s="108"/>
      <c r="H334" s="139"/>
      <c r="I334" s="102" t="str">
        <f t="shared" si="32"/>
        <v/>
      </c>
      <c r="J334" s="103" t="str">
        <f t="shared" si="33"/>
        <v/>
      </c>
      <c r="K334" s="152"/>
      <c r="L334" s="104" t="str">
        <f t="shared" si="34"/>
        <v/>
      </c>
      <c r="M334" s="105"/>
      <c r="N334" s="105"/>
      <c r="O334" s="100"/>
      <c r="P334" s="172" t="str">
        <f t="shared" ref="P334:P397" si="35">IFERROR(IF(ISBLANK(G334),"",(L334/$I$4)),"")</f>
        <v/>
      </c>
      <c r="T334" s="18"/>
      <c r="U334" s="19"/>
      <c r="V334" s="19"/>
      <c r="W334" s="181"/>
      <c r="X334" s="192"/>
      <c r="Y334" s="192"/>
    </row>
    <row r="335" spans="1:25" ht="16.8">
      <c r="A335" s="2" t="str">
        <f>IF(M335="","",COUNTIFS($M$13:M335,M335,$G$13:G335,"&gt;0"))</f>
        <v/>
      </c>
      <c r="B335" s="98" t="str">
        <f>IF(ISBLANK(G335),"",SUBTOTAL(3,$G$13:G335))</f>
        <v/>
      </c>
      <c r="C335" s="106"/>
      <c r="D335" s="107"/>
      <c r="E335" s="100"/>
      <c r="F335" s="107"/>
      <c r="G335" s="108"/>
      <c r="H335" s="139"/>
      <c r="I335" s="102" t="str">
        <f t="shared" si="32"/>
        <v/>
      </c>
      <c r="J335" s="103" t="str">
        <f t="shared" si="33"/>
        <v/>
      </c>
      <c r="K335" s="152"/>
      <c r="L335" s="104" t="str">
        <f t="shared" si="34"/>
        <v/>
      </c>
      <c r="M335" s="105"/>
      <c r="N335" s="105"/>
      <c r="O335" s="100"/>
      <c r="P335" s="172" t="str">
        <f t="shared" si="35"/>
        <v/>
      </c>
      <c r="T335" s="18"/>
      <c r="U335" s="19"/>
      <c r="V335" s="19"/>
      <c r="W335" s="181"/>
      <c r="X335" s="192"/>
      <c r="Y335" s="192"/>
    </row>
    <row r="336" spans="1:25" ht="16.8">
      <c r="A336" s="2" t="str">
        <f>IF(M336="","",COUNTIFS($M$13:M336,M336,$G$13:G336,"&gt;0"))</f>
        <v/>
      </c>
      <c r="B336" s="98" t="str">
        <f>IF(ISBLANK(G336),"",SUBTOTAL(3,$G$13:G336))</f>
        <v/>
      </c>
      <c r="C336" s="106"/>
      <c r="D336" s="107"/>
      <c r="E336" s="100"/>
      <c r="F336" s="107"/>
      <c r="G336" s="108"/>
      <c r="H336" s="139"/>
      <c r="I336" s="102" t="str">
        <f t="shared" si="32"/>
        <v/>
      </c>
      <c r="J336" s="103" t="str">
        <f t="shared" si="33"/>
        <v/>
      </c>
      <c r="K336" s="152"/>
      <c r="L336" s="104" t="str">
        <f t="shared" si="34"/>
        <v/>
      </c>
      <c r="M336" s="105"/>
      <c r="N336" s="105"/>
      <c r="O336" s="100"/>
      <c r="P336" s="172" t="str">
        <f t="shared" si="35"/>
        <v/>
      </c>
      <c r="T336" s="18"/>
      <c r="U336" s="19"/>
      <c r="V336" s="19"/>
      <c r="W336" s="181"/>
      <c r="X336" s="192"/>
      <c r="Y336" s="192"/>
    </row>
    <row r="337" spans="1:25" ht="16.8">
      <c r="A337" s="2" t="str">
        <f>IF(M337="","",COUNTIFS($M$13:M337,M337,$G$13:G337,"&gt;0"))</f>
        <v/>
      </c>
      <c r="B337" s="98" t="str">
        <f>IF(ISBLANK(G337),"",SUBTOTAL(3,$G$13:G337))</f>
        <v/>
      </c>
      <c r="C337" s="106"/>
      <c r="D337" s="107"/>
      <c r="E337" s="100"/>
      <c r="F337" s="107"/>
      <c r="G337" s="108"/>
      <c r="H337" s="139"/>
      <c r="I337" s="102" t="str">
        <f t="shared" si="32"/>
        <v/>
      </c>
      <c r="J337" s="103" t="str">
        <f t="shared" si="33"/>
        <v/>
      </c>
      <c r="K337" s="152"/>
      <c r="L337" s="104" t="str">
        <f t="shared" si="34"/>
        <v/>
      </c>
      <c r="M337" s="105"/>
      <c r="N337" s="105"/>
      <c r="O337" s="100"/>
      <c r="P337" s="172" t="str">
        <f t="shared" si="35"/>
        <v/>
      </c>
      <c r="T337" s="18"/>
      <c r="U337" s="19"/>
      <c r="V337" s="19"/>
      <c r="W337" s="181"/>
      <c r="X337" s="192"/>
      <c r="Y337" s="192"/>
    </row>
    <row r="338" spans="1:25" ht="16.8">
      <c r="A338" s="2" t="str">
        <f>IF(M338="","",COUNTIFS($M$13:M338,M338,$G$13:G338,"&gt;0"))</f>
        <v/>
      </c>
      <c r="B338" s="98" t="str">
        <f>IF(ISBLANK(G338),"",SUBTOTAL(3,$G$13:G338))</f>
        <v/>
      </c>
      <c r="C338" s="106"/>
      <c r="D338" s="107"/>
      <c r="E338" s="100"/>
      <c r="F338" s="107"/>
      <c r="G338" s="108"/>
      <c r="H338" s="139"/>
      <c r="I338" s="102" t="str">
        <f t="shared" si="32"/>
        <v/>
      </c>
      <c r="J338" s="103" t="str">
        <f t="shared" si="33"/>
        <v/>
      </c>
      <c r="K338" s="152"/>
      <c r="L338" s="104" t="str">
        <f t="shared" si="34"/>
        <v/>
      </c>
      <c r="M338" s="105"/>
      <c r="N338" s="105"/>
      <c r="O338" s="100"/>
      <c r="P338" s="172" t="str">
        <f t="shared" si="35"/>
        <v/>
      </c>
      <c r="T338" s="18"/>
      <c r="U338" s="19"/>
      <c r="V338" s="19"/>
      <c r="W338" s="181"/>
      <c r="X338" s="192"/>
      <c r="Y338" s="192"/>
    </row>
    <row r="339" spans="1:25" ht="16.8">
      <c r="A339" s="2" t="str">
        <f>IF(M339="","",COUNTIFS($M$13:M339,M339,$G$13:G339,"&gt;0"))</f>
        <v/>
      </c>
      <c r="B339" s="98" t="str">
        <f>IF(ISBLANK(G339),"",SUBTOTAL(3,$G$13:G339))</f>
        <v/>
      </c>
      <c r="C339" s="106"/>
      <c r="D339" s="107"/>
      <c r="E339" s="100"/>
      <c r="F339" s="107"/>
      <c r="G339" s="108"/>
      <c r="H339" s="139"/>
      <c r="I339" s="102" t="str">
        <f t="shared" si="32"/>
        <v/>
      </c>
      <c r="J339" s="103" t="str">
        <f t="shared" si="33"/>
        <v/>
      </c>
      <c r="K339" s="152"/>
      <c r="L339" s="104" t="str">
        <f t="shared" si="34"/>
        <v/>
      </c>
      <c r="M339" s="105"/>
      <c r="N339" s="105"/>
      <c r="O339" s="100"/>
      <c r="P339" s="172" t="str">
        <f t="shared" si="35"/>
        <v/>
      </c>
      <c r="T339" s="18"/>
      <c r="U339" s="19"/>
      <c r="V339" s="19"/>
      <c r="W339" s="181"/>
      <c r="X339" s="192"/>
      <c r="Y339" s="192"/>
    </row>
    <row r="340" spans="1:25" ht="16.8">
      <c r="A340" s="2" t="str">
        <f>IF(M340="","",COUNTIFS($M$13:M340,M340,$G$13:G340,"&gt;0"))</f>
        <v/>
      </c>
      <c r="B340" s="98" t="str">
        <f>IF(ISBLANK(G340),"",SUBTOTAL(3,$G$13:G340))</f>
        <v/>
      </c>
      <c r="C340" s="106"/>
      <c r="D340" s="107"/>
      <c r="E340" s="100"/>
      <c r="F340" s="107"/>
      <c r="G340" s="108"/>
      <c r="H340" s="139"/>
      <c r="I340" s="102" t="str">
        <f t="shared" si="32"/>
        <v/>
      </c>
      <c r="J340" s="103" t="str">
        <f t="shared" si="33"/>
        <v/>
      </c>
      <c r="K340" s="152"/>
      <c r="L340" s="104" t="str">
        <f t="shared" si="34"/>
        <v/>
      </c>
      <c r="M340" s="105"/>
      <c r="N340" s="105"/>
      <c r="O340" s="100"/>
      <c r="P340" s="172" t="str">
        <f t="shared" si="35"/>
        <v/>
      </c>
      <c r="T340" s="18"/>
      <c r="U340" s="19"/>
      <c r="V340" s="19"/>
      <c r="W340" s="181"/>
      <c r="X340" s="192"/>
      <c r="Y340" s="192"/>
    </row>
    <row r="341" spans="1:25" ht="16.8">
      <c r="A341" s="2" t="str">
        <f>IF(M341="","",COUNTIFS($M$13:M341,M341,$G$13:G341,"&gt;0"))</f>
        <v/>
      </c>
      <c r="B341" s="98" t="str">
        <f>IF(ISBLANK(G341),"",SUBTOTAL(3,$G$13:G341))</f>
        <v/>
      </c>
      <c r="C341" s="106"/>
      <c r="D341" s="107"/>
      <c r="E341" s="100"/>
      <c r="F341" s="107"/>
      <c r="G341" s="108"/>
      <c r="H341" s="139"/>
      <c r="I341" s="102" t="str">
        <f t="shared" si="32"/>
        <v/>
      </c>
      <c r="J341" s="103" t="str">
        <f t="shared" si="33"/>
        <v/>
      </c>
      <c r="K341" s="152"/>
      <c r="L341" s="104" t="str">
        <f t="shared" si="34"/>
        <v/>
      </c>
      <c r="M341" s="105"/>
      <c r="N341" s="105"/>
      <c r="O341" s="100"/>
      <c r="P341" s="172" t="str">
        <f t="shared" si="35"/>
        <v/>
      </c>
      <c r="T341" s="18"/>
      <c r="U341" s="19"/>
      <c r="V341" s="19"/>
      <c r="W341" s="181"/>
      <c r="X341" s="192"/>
      <c r="Y341" s="192"/>
    </row>
    <row r="342" spans="1:25" ht="16.8">
      <c r="A342" s="2" t="str">
        <f>IF(M342="","",COUNTIFS($M$13:M342,M342,$G$13:G342,"&gt;0"))</f>
        <v/>
      </c>
      <c r="B342" s="98" t="str">
        <f>IF(ISBLANK(G342),"",SUBTOTAL(3,$G$13:G342))</f>
        <v/>
      </c>
      <c r="C342" s="106"/>
      <c r="D342" s="107"/>
      <c r="E342" s="100"/>
      <c r="F342" s="107"/>
      <c r="G342" s="108"/>
      <c r="H342" s="139"/>
      <c r="I342" s="102" t="str">
        <f t="shared" si="32"/>
        <v/>
      </c>
      <c r="J342" s="103" t="str">
        <f t="shared" si="33"/>
        <v/>
      </c>
      <c r="K342" s="152"/>
      <c r="L342" s="104" t="str">
        <f t="shared" si="34"/>
        <v/>
      </c>
      <c r="M342" s="105"/>
      <c r="N342" s="105"/>
      <c r="O342" s="100"/>
      <c r="P342" s="172" t="str">
        <f t="shared" si="35"/>
        <v/>
      </c>
      <c r="T342" s="18"/>
      <c r="U342" s="19"/>
      <c r="V342" s="19"/>
      <c r="W342" s="181"/>
      <c r="X342" s="192"/>
      <c r="Y342" s="192"/>
    </row>
    <row r="343" spans="1:25" ht="16.8">
      <c r="A343" s="2" t="str">
        <f>IF(M343="","",COUNTIFS($M$13:M343,M343,$G$13:G343,"&gt;0"))</f>
        <v/>
      </c>
      <c r="B343" s="98" t="str">
        <f>IF(ISBLANK(G343),"",SUBTOTAL(3,$G$13:G343))</f>
        <v/>
      </c>
      <c r="C343" s="106"/>
      <c r="D343" s="107"/>
      <c r="E343" s="100"/>
      <c r="F343" s="107"/>
      <c r="G343" s="108"/>
      <c r="H343" s="139"/>
      <c r="I343" s="102" t="str">
        <f t="shared" si="32"/>
        <v/>
      </c>
      <c r="J343" s="103" t="str">
        <f t="shared" si="33"/>
        <v/>
      </c>
      <c r="K343" s="152"/>
      <c r="L343" s="104" t="str">
        <f t="shared" si="34"/>
        <v/>
      </c>
      <c r="M343" s="105"/>
      <c r="N343" s="105"/>
      <c r="O343" s="100"/>
      <c r="P343" s="172" t="str">
        <f t="shared" si="35"/>
        <v/>
      </c>
      <c r="T343" s="18"/>
      <c r="U343" s="19"/>
      <c r="V343" s="19"/>
      <c r="W343" s="181"/>
      <c r="X343" s="192"/>
      <c r="Y343" s="192"/>
    </row>
    <row r="344" spans="1:25" ht="16.8">
      <c r="A344" s="2" t="str">
        <f>IF(M344="","",COUNTIFS($M$13:M344,M344,$G$13:G344,"&gt;0"))</f>
        <v/>
      </c>
      <c r="B344" s="98" t="str">
        <f>IF(ISBLANK(G344),"",SUBTOTAL(3,$G$13:G344))</f>
        <v/>
      </c>
      <c r="C344" s="106"/>
      <c r="D344" s="107"/>
      <c r="E344" s="100"/>
      <c r="F344" s="107"/>
      <c r="G344" s="108"/>
      <c r="H344" s="139"/>
      <c r="I344" s="102" t="str">
        <f t="shared" si="32"/>
        <v/>
      </c>
      <c r="J344" s="103" t="str">
        <f t="shared" si="33"/>
        <v/>
      </c>
      <c r="K344" s="152"/>
      <c r="L344" s="104" t="str">
        <f t="shared" si="34"/>
        <v/>
      </c>
      <c r="M344" s="105"/>
      <c r="N344" s="105"/>
      <c r="O344" s="100"/>
      <c r="P344" s="172" t="str">
        <f t="shared" si="35"/>
        <v/>
      </c>
      <c r="T344" s="18"/>
      <c r="U344" s="19"/>
      <c r="V344" s="19"/>
      <c r="W344" s="181"/>
      <c r="X344" s="192"/>
      <c r="Y344" s="192"/>
    </row>
    <row r="345" spans="1:25" ht="16.8">
      <c r="A345" s="2" t="str">
        <f>IF(M345="","",COUNTIFS($M$13:M345,M345,$G$13:G345,"&gt;0"))</f>
        <v/>
      </c>
      <c r="B345" s="98" t="str">
        <f>IF(ISBLANK(G345),"",SUBTOTAL(3,$G$13:G345))</f>
        <v/>
      </c>
      <c r="C345" s="106"/>
      <c r="D345" s="107"/>
      <c r="E345" s="100"/>
      <c r="F345" s="107"/>
      <c r="G345" s="108"/>
      <c r="H345" s="139"/>
      <c r="I345" s="102" t="str">
        <f t="shared" si="32"/>
        <v/>
      </c>
      <c r="J345" s="103" t="str">
        <f t="shared" si="33"/>
        <v/>
      </c>
      <c r="K345" s="152"/>
      <c r="L345" s="104" t="str">
        <f t="shared" si="34"/>
        <v/>
      </c>
      <c r="M345" s="105"/>
      <c r="N345" s="105"/>
      <c r="O345" s="100"/>
      <c r="P345" s="172" t="str">
        <f t="shared" si="35"/>
        <v/>
      </c>
      <c r="T345" s="18"/>
      <c r="U345" s="19"/>
      <c r="V345" s="19"/>
      <c r="W345" s="181"/>
      <c r="X345" s="192"/>
      <c r="Y345" s="192"/>
    </row>
    <row r="346" spans="1:25" ht="16.8">
      <c r="A346" s="2" t="str">
        <f>IF(M346="","",COUNTIFS($M$13:M346,M346,$G$13:G346,"&gt;0"))</f>
        <v/>
      </c>
      <c r="B346" s="98" t="str">
        <f>IF(ISBLANK(G346),"",SUBTOTAL(3,$G$13:G346))</f>
        <v/>
      </c>
      <c r="C346" s="106"/>
      <c r="D346" s="107"/>
      <c r="E346" s="100"/>
      <c r="F346" s="107"/>
      <c r="G346" s="108"/>
      <c r="H346" s="139"/>
      <c r="I346" s="102" t="str">
        <f t="shared" si="32"/>
        <v/>
      </c>
      <c r="J346" s="103" t="str">
        <f t="shared" si="33"/>
        <v/>
      </c>
      <c r="K346" s="152"/>
      <c r="L346" s="104" t="str">
        <f t="shared" si="34"/>
        <v/>
      </c>
      <c r="M346" s="105"/>
      <c r="N346" s="105"/>
      <c r="O346" s="100"/>
      <c r="P346" s="172" t="str">
        <f t="shared" si="35"/>
        <v/>
      </c>
      <c r="T346" s="18"/>
      <c r="U346" s="19"/>
      <c r="V346" s="19"/>
      <c r="W346" s="181"/>
      <c r="X346" s="192"/>
      <c r="Y346" s="192"/>
    </row>
    <row r="347" spans="1:25" ht="16.8">
      <c r="A347" s="2" t="str">
        <f>IF(M347="","",COUNTIFS($M$13:M347,M347,$G$13:G347,"&gt;0"))</f>
        <v/>
      </c>
      <c r="B347" s="98" t="str">
        <f>IF(ISBLANK(G347),"",SUBTOTAL(3,$G$13:G347))</f>
        <v/>
      </c>
      <c r="C347" s="106"/>
      <c r="D347" s="107"/>
      <c r="E347" s="100"/>
      <c r="F347" s="107"/>
      <c r="G347" s="108"/>
      <c r="H347" s="139"/>
      <c r="I347" s="102" t="str">
        <f t="shared" si="32"/>
        <v/>
      </c>
      <c r="J347" s="103" t="str">
        <f t="shared" si="33"/>
        <v/>
      </c>
      <c r="K347" s="152"/>
      <c r="L347" s="104" t="str">
        <f t="shared" si="34"/>
        <v/>
      </c>
      <c r="M347" s="105"/>
      <c r="N347" s="105"/>
      <c r="O347" s="100"/>
      <c r="P347" s="172" t="str">
        <f t="shared" si="35"/>
        <v/>
      </c>
      <c r="T347" s="18"/>
      <c r="U347" s="19"/>
      <c r="V347" s="19"/>
      <c r="W347" s="181"/>
      <c r="X347" s="192"/>
      <c r="Y347" s="192"/>
    </row>
    <row r="348" spans="1:25" ht="16.8">
      <c r="A348" s="2" t="str">
        <f>IF(M348="","",COUNTIFS($M$13:M348,M348,$G$13:G348,"&gt;0"))</f>
        <v/>
      </c>
      <c r="B348" s="98" t="str">
        <f>IF(ISBLANK(G348),"",SUBTOTAL(3,$G$13:G348))</f>
        <v/>
      </c>
      <c r="C348" s="106"/>
      <c r="D348" s="107"/>
      <c r="E348" s="100"/>
      <c r="F348" s="107"/>
      <c r="G348" s="108"/>
      <c r="H348" s="139"/>
      <c r="I348" s="102" t="str">
        <f t="shared" si="32"/>
        <v/>
      </c>
      <c r="J348" s="103" t="str">
        <f t="shared" si="33"/>
        <v/>
      </c>
      <c r="K348" s="152"/>
      <c r="L348" s="104" t="str">
        <f t="shared" si="34"/>
        <v/>
      </c>
      <c r="M348" s="105"/>
      <c r="N348" s="105"/>
      <c r="O348" s="100"/>
      <c r="P348" s="172" t="str">
        <f t="shared" si="35"/>
        <v/>
      </c>
      <c r="T348" s="18"/>
      <c r="U348" s="19"/>
      <c r="V348" s="19"/>
      <c r="W348" s="181"/>
      <c r="X348" s="192"/>
      <c r="Y348" s="192"/>
    </row>
    <row r="349" spans="1:25" ht="16.8">
      <c r="A349" s="2" t="str">
        <f>IF(M349="","",COUNTIFS($M$13:M349,M349,$G$13:G349,"&gt;0"))</f>
        <v/>
      </c>
      <c r="B349" s="98" t="str">
        <f>IF(ISBLANK(G349),"",SUBTOTAL(3,$G$13:G349))</f>
        <v/>
      </c>
      <c r="C349" s="106"/>
      <c r="D349" s="107"/>
      <c r="E349" s="100"/>
      <c r="F349" s="107"/>
      <c r="G349" s="108"/>
      <c r="H349" s="139"/>
      <c r="I349" s="102" t="str">
        <f t="shared" si="32"/>
        <v/>
      </c>
      <c r="J349" s="103" t="str">
        <f t="shared" si="33"/>
        <v/>
      </c>
      <c r="K349" s="152"/>
      <c r="L349" s="104" t="str">
        <f t="shared" si="34"/>
        <v/>
      </c>
      <c r="M349" s="105"/>
      <c r="N349" s="105"/>
      <c r="O349" s="100"/>
      <c r="P349" s="172" t="str">
        <f t="shared" si="35"/>
        <v/>
      </c>
      <c r="T349" s="18"/>
      <c r="U349" s="19"/>
      <c r="V349" s="19"/>
      <c r="W349" s="181"/>
      <c r="X349" s="192"/>
      <c r="Y349" s="192"/>
    </row>
    <row r="350" spans="1:25" ht="16.8">
      <c r="A350" s="2" t="str">
        <f>IF(M350="","",COUNTIFS($M$13:M350,M350,$G$13:G350,"&gt;0"))</f>
        <v/>
      </c>
      <c r="B350" s="98" t="str">
        <f>IF(ISBLANK(G350),"",SUBTOTAL(3,$G$13:G350))</f>
        <v/>
      </c>
      <c r="C350" s="106"/>
      <c r="D350" s="107"/>
      <c r="E350" s="100"/>
      <c r="F350" s="107"/>
      <c r="G350" s="108"/>
      <c r="H350" s="139"/>
      <c r="I350" s="102" t="str">
        <f t="shared" si="32"/>
        <v/>
      </c>
      <c r="J350" s="103" t="str">
        <f t="shared" si="33"/>
        <v/>
      </c>
      <c r="K350" s="152"/>
      <c r="L350" s="104" t="str">
        <f t="shared" si="34"/>
        <v/>
      </c>
      <c r="M350" s="105"/>
      <c r="N350" s="105"/>
      <c r="O350" s="100"/>
      <c r="P350" s="172" t="str">
        <f t="shared" si="35"/>
        <v/>
      </c>
      <c r="T350" s="18"/>
      <c r="U350" s="19"/>
      <c r="V350" s="19"/>
      <c r="W350" s="181"/>
      <c r="X350" s="192"/>
      <c r="Y350" s="192"/>
    </row>
    <row r="351" spans="1:25" ht="16.8">
      <c r="A351" s="2" t="str">
        <f>IF(M351="","",COUNTIFS($M$13:M351,M351,$G$13:G351,"&gt;0"))</f>
        <v/>
      </c>
      <c r="B351" s="98" t="str">
        <f>IF(ISBLANK(G351),"",SUBTOTAL(3,$G$13:G351))</f>
        <v/>
      </c>
      <c r="C351" s="106"/>
      <c r="D351" s="107"/>
      <c r="E351" s="100"/>
      <c r="F351" s="107"/>
      <c r="G351" s="108"/>
      <c r="H351" s="139"/>
      <c r="I351" s="102" t="str">
        <f t="shared" si="32"/>
        <v/>
      </c>
      <c r="J351" s="103" t="str">
        <f t="shared" si="33"/>
        <v/>
      </c>
      <c r="K351" s="152"/>
      <c r="L351" s="104" t="str">
        <f t="shared" si="34"/>
        <v/>
      </c>
      <c r="M351" s="105"/>
      <c r="N351" s="105"/>
      <c r="O351" s="100"/>
      <c r="P351" s="172" t="str">
        <f t="shared" si="35"/>
        <v/>
      </c>
      <c r="T351" s="18"/>
      <c r="U351" s="19"/>
      <c r="V351" s="19"/>
      <c r="W351" s="181"/>
      <c r="X351" s="192"/>
      <c r="Y351" s="192"/>
    </row>
    <row r="352" spans="1:25" ht="16.8">
      <c r="A352" s="2" t="str">
        <f>IF(M352="","",COUNTIFS($M$13:M352,M352,$G$13:G352,"&gt;0"))</f>
        <v/>
      </c>
      <c r="B352" s="98" t="str">
        <f>IF(ISBLANK(G352),"",SUBTOTAL(3,$G$13:G352))</f>
        <v/>
      </c>
      <c r="C352" s="106"/>
      <c r="D352" s="107"/>
      <c r="E352" s="100"/>
      <c r="F352" s="107"/>
      <c r="G352" s="108"/>
      <c r="H352" s="139"/>
      <c r="I352" s="102" t="str">
        <f t="shared" si="32"/>
        <v/>
      </c>
      <c r="J352" s="103" t="str">
        <f t="shared" si="33"/>
        <v/>
      </c>
      <c r="K352" s="152"/>
      <c r="L352" s="104" t="str">
        <f t="shared" si="34"/>
        <v/>
      </c>
      <c r="M352" s="105"/>
      <c r="N352" s="105"/>
      <c r="O352" s="100"/>
      <c r="P352" s="172" t="str">
        <f t="shared" si="35"/>
        <v/>
      </c>
      <c r="T352" s="18"/>
      <c r="U352" s="19"/>
      <c r="V352" s="19"/>
      <c r="W352" s="181"/>
      <c r="X352" s="192"/>
      <c r="Y352" s="192"/>
    </row>
    <row r="353" spans="1:25" ht="16.8">
      <c r="A353" s="2" t="str">
        <f>IF(M353="","",COUNTIFS($M$13:M353,M353,$G$13:G353,"&gt;0"))</f>
        <v/>
      </c>
      <c r="B353" s="98" t="str">
        <f>IF(ISBLANK(G353),"",SUBTOTAL(3,$G$13:G353))</f>
        <v/>
      </c>
      <c r="C353" s="106"/>
      <c r="D353" s="107"/>
      <c r="E353" s="100"/>
      <c r="F353" s="107"/>
      <c r="G353" s="108"/>
      <c r="H353" s="139"/>
      <c r="I353" s="102" t="str">
        <f t="shared" si="32"/>
        <v/>
      </c>
      <c r="J353" s="103" t="str">
        <f t="shared" si="33"/>
        <v/>
      </c>
      <c r="K353" s="152"/>
      <c r="L353" s="104" t="str">
        <f t="shared" si="34"/>
        <v/>
      </c>
      <c r="M353" s="105"/>
      <c r="N353" s="105"/>
      <c r="O353" s="100"/>
      <c r="P353" s="172" t="str">
        <f t="shared" si="35"/>
        <v/>
      </c>
      <c r="T353" s="18"/>
      <c r="U353" s="19"/>
      <c r="V353" s="19"/>
      <c r="W353" s="181"/>
      <c r="X353" s="192"/>
      <c r="Y353" s="192"/>
    </row>
    <row r="354" spans="1:25" ht="16.8">
      <c r="A354" s="2" t="str">
        <f>IF(M354="","",COUNTIFS($M$13:M354,M354,$G$13:G354,"&gt;0"))</f>
        <v/>
      </c>
      <c r="B354" s="98" t="str">
        <f>IF(ISBLANK(G354),"",SUBTOTAL(3,$G$13:G354))</f>
        <v/>
      </c>
      <c r="C354" s="106"/>
      <c r="D354" s="107"/>
      <c r="E354" s="100"/>
      <c r="F354" s="107"/>
      <c r="G354" s="108"/>
      <c r="H354" s="139"/>
      <c r="I354" s="102" t="str">
        <f t="shared" si="32"/>
        <v/>
      </c>
      <c r="J354" s="103" t="str">
        <f t="shared" si="33"/>
        <v/>
      </c>
      <c r="K354" s="152"/>
      <c r="L354" s="104" t="str">
        <f t="shared" si="34"/>
        <v/>
      </c>
      <c r="M354" s="105"/>
      <c r="N354" s="105"/>
      <c r="O354" s="100"/>
      <c r="P354" s="172" t="str">
        <f t="shared" si="35"/>
        <v/>
      </c>
      <c r="T354" s="18"/>
      <c r="U354" s="19"/>
      <c r="V354" s="19"/>
      <c r="W354" s="181"/>
      <c r="X354" s="192"/>
      <c r="Y354" s="192"/>
    </row>
    <row r="355" spans="1:25" ht="16.8">
      <c r="A355" s="2" t="str">
        <f>IF(M355="","",COUNTIFS($M$13:M355,M355,$G$13:G355,"&gt;0"))</f>
        <v/>
      </c>
      <c r="B355" s="98" t="str">
        <f>IF(ISBLANK(G355),"",SUBTOTAL(3,$G$13:G355))</f>
        <v/>
      </c>
      <c r="C355" s="106"/>
      <c r="D355" s="107"/>
      <c r="E355" s="100"/>
      <c r="F355" s="107"/>
      <c r="G355" s="108"/>
      <c r="H355" s="139"/>
      <c r="I355" s="102" t="str">
        <f t="shared" si="32"/>
        <v/>
      </c>
      <c r="J355" s="103" t="str">
        <f t="shared" si="33"/>
        <v/>
      </c>
      <c r="K355" s="152"/>
      <c r="L355" s="104" t="str">
        <f t="shared" si="34"/>
        <v/>
      </c>
      <c r="M355" s="105"/>
      <c r="N355" s="105"/>
      <c r="O355" s="100"/>
      <c r="P355" s="172" t="str">
        <f t="shared" si="35"/>
        <v/>
      </c>
      <c r="T355" s="18"/>
      <c r="U355" s="19"/>
      <c r="V355" s="19"/>
      <c r="W355" s="181"/>
      <c r="X355" s="192"/>
      <c r="Y355" s="192"/>
    </row>
    <row r="356" spans="1:25" ht="16.8">
      <c r="A356" s="2" t="str">
        <f>IF(M356="","",COUNTIFS($M$13:M356,M356,$G$13:G356,"&gt;0"))</f>
        <v/>
      </c>
      <c r="B356" s="98" t="str">
        <f>IF(ISBLANK(G356),"",SUBTOTAL(3,$G$13:G356))</f>
        <v/>
      </c>
      <c r="C356" s="106"/>
      <c r="D356" s="107"/>
      <c r="E356" s="100"/>
      <c r="F356" s="107"/>
      <c r="G356" s="108"/>
      <c r="H356" s="139"/>
      <c r="I356" s="102" t="str">
        <f t="shared" si="32"/>
        <v/>
      </c>
      <c r="J356" s="103" t="str">
        <f t="shared" si="33"/>
        <v/>
      </c>
      <c r="K356" s="152"/>
      <c r="L356" s="104" t="str">
        <f t="shared" si="34"/>
        <v/>
      </c>
      <c r="M356" s="105"/>
      <c r="N356" s="105"/>
      <c r="O356" s="100"/>
      <c r="P356" s="172" t="str">
        <f t="shared" si="35"/>
        <v/>
      </c>
      <c r="T356" s="18"/>
      <c r="U356" s="19"/>
      <c r="V356" s="19"/>
      <c r="W356" s="181"/>
      <c r="X356" s="192"/>
      <c r="Y356" s="192"/>
    </row>
    <row r="357" spans="1:25" ht="16.8">
      <c r="A357" s="2" t="str">
        <f>IF(M357="","",COUNTIFS($M$13:M357,M357,$G$13:G357,"&gt;0"))</f>
        <v/>
      </c>
      <c r="B357" s="98" t="str">
        <f>IF(ISBLANK(G357),"",SUBTOTAL(3,$G$13:G357))</f>
        <v/>
      </c>
      <c r="C357" s="106"/>
      <c r="D357" s="107"/>
      <c r="E357" s="100"/>
      <c r="F357" s="107"/>
      <c r="G357" s="108"/>
      <c r="H357" s="139"/>
      <c r="I357" s="102" t="str">
        <f t="shared" si="32"/>
        <v/>
      </c>
      <c r="J357" s="103" t="str">
        <f t="shared" si="33"/>
        <v/>
      </c>
      <c r="K357" s="152"/>
      <c r="L357" s="104" t="str">
        <f t="shared" si="34"/>
        <v/>
      </c>
      <c r="M357" s="105"/>
      <c r="N357" s="105"/>
      <c r="O357" s="100"/>
      <c r="P357" s="172" t="str">
        <f t="shared" si="35"/>
        <v/>
      </c>
      <c r="T357" s="18"/>
      <c r="U357" s="19"/>
      <c r="V357" s="19"/>
      <c r="W357" s="181"/>
      <c r="X357" s="192"/>
      <c r="Y357" s="192"/>
    </row>
    <row r="358" spans="1:25" ht="16.8">
      <c r="A358" s="2" t="str">
        <f>IF(M358="","",COUNTIFS($M$13:M358,M358,$G$13:G358,"&gt;0"))</f>
        <v/>
      </c>
      <c r="B358" s="98" t="str">
        <f>IF(ISBLANK(G358),"",SUBTOTAL(3,$G$13:G358))</f>
        <v/>
      </c>
      <c r="C358" s="106"/>
      <c r="D358" s="107"/>
      <c r="E358" s="100"/>
      <c r="F358" s="107"/>
      <c r="G358" s="108"/>
      <c r="H358" s="139"/>
      <c r="I358" s="102" t="str">
        <f t="shared" si="32"/>
        <v/>
      </c>
      <c r="J358" s="103" t="str">
        <f t="shared" si="33"/>
        <v/>
      </c>
      <c r="K358" s="152"/>
      <c r="L358" s="104" t="str">
        <f t="shared" si="34"/>
        <v/>
      </c>
      <c r="M358" s="105"/>
      <c r="N358" s="105"/>
      <c r="O358" s="100"/>
      <c r="P358" s="172" t="str">
        <f t="shared" si="35"/>
        <v/>
      </c>
      <c r="T358" s="18"/>
      <c r="U358" s="19"/>
      <c r="V358" s="19"/>
      <c r="W358" s="181"/>
      <c r="X358" s="192"/>
      <c r="Y358" s="192"/>
    </row>
    <row r="359" spans="1:25" ht="16.8">
      <c r="A359" s="2" t="str">
        <f>IF(M359="","",COUNTIFS($M$13:M359,M359,$G$13:G359,"&gt;0"))</f>
        <v/>
      </c>
      <c r="B359" s="98" t="str">
        <f>IF(ISBLANK(G359),"",SUBTOTAL(3,$G$13:G359))</f>
        <v/>
      </c>
      <c r="C359" s="106"/>
      <c r="D359" s="107"/>
      <c r="E359" s="100"/>
      <c r="F359" s="107"/>
      <c r="G359" s="108"/>
      <c r="H359" s="139"/>
      <c r="I359" s="102" t="str">
        <f t="shared" si="32"/>
        <v/>
      </c>
      <c r="J359" s="103" t="str">
        <f t="shared" si="33"/>
        <v/>
      </c>
      <c r="K359" s="152"/>
      <c r="L359" s="104" t="str">
        <f t="shared" si="34"/>
        <v/>
      </c>
      <c r="M359" s="105"/>
      <c r="N359" s="105"/>
      <c r="O359" s="100"/>
      <c r="P359" s="172" t="str">
        <f t="shared" si="35"/>
        <v/>
      </c>
      <c r="T359" s="18"/>
      <c r="U359" s="19"/>
      <c r="V359" s="19"/>
      <c r="W359" s="181"/>
      <c r="X359" s="192"/>
      <c r="Y359" s="192"/>
    </row>
    <row r="360" spans="1:25" ht="16.8">
      <c r="A360" s="2" t="str">
        <f>IF(M360="","",COUNTIFS($M$13:M360,M360,$G$13:G360,"&gt;0"))</f>
        <v/>
      </c>
      <c r="B360" s="98" t="str">
        <f>IF(ISBLANK(G360),"",SUBTOTAL(3,$G$13:G360))</f>
        <v/>
      </c>
      <c r="C360" s="106"/>
      <c r="D360" s="107"/>
      <c r="E360" s="100"/>
      <c r="F360" s="107"/>
      <c r="G360" s="108"/>
      <c r="H360" s="139"/>
      <c r="I360" s="102" t="str">
        <f t="shared" si="32"/>
        <v/>
      </c>
      <c r="J360" s="103" t="str">
        <f t="shared" si="33"/>
        <v/>
      </c>
      <c r="K360" s="152"/>
      <c r="L360" s="104" t="str">
        <f t="shared" si="34"/>
        <v/>
      </c>
      <c r="M360" s="105"/>
      <c r="N360" s="105"/>
      <c r="O360" s="100"/>
      <c r="P360" s="172" t="str">
        <f t="shared" si="35"/>
        <v/>
      </c>
      <c r="T360" s="18"/>
      <c r="U360" s="19"/>
      <c r="V360" s="19"/>
      <c r="W360" s="181"/>
      <c r="X360" s="192"/>
      <c r="Y360" s="192"/>
    </row>
    <row r="361" spans="1:25" ht="16.8">
      <c r="A361" s="2" t="str">
        <f>IF(M361="","",COUNTIFS($M$13:M361,M361,$G$13:G361,"&gt;0"))</f>
        <v/>
      </c>
      <c r="B361" s="98" t="str">
        <f>IF(ISBLANK(G361),"",SUBTOTAL(3,$G$13:G361))</f>
        <v/>
      </c>
      <c r="C361" s="106"/>
      <c r="D361" s="107"/>
      <c r="E361" s="100"/>
      <c r="F361" s="107"/>
      <c r="G361" s="108"/>
      <c r="H361" s="139"/>
      <c r="I361" s="102" t="str">
        <f t="shared" si="32"/>
        <v/>
      </c>
      <c r="J361" s="103" t="str">
        <f t="shared" si="33"/>
        <v/>
      </c>
      <c r="K361" s="152"/>
      <c r="L361" s="104" t="str">
        <f t="shared" si="34"/>
        <v/>
      </c>
      <c r="M361" s="105"/>
      <c r="N361" s="105"/>
      <c r="O361" s="100"/>
      <c r="P361" s="172" t="str">
        <f t="shared" si="35"/>
        <v/>
      </c>
      <c r="T361" s="18"/>
      <c r="U361" s="19"/>
      <c r="V361" s="19"/>
      <c r="W361" s="181"/>
      <c r="X361" s="192"/>
      <c r="Y361" s="192"/>
    </row>
    <row r="362" spans="1:25" ht="16.8">
      <c r="A362" s="2" t="str">
        <f>IF(M362="","",COUNTIFS($M$13:M362,M362,$G$13:G362,"&gt;0"))</f>
        <v/>
      </c>
      <c r="B362" s="98" t="str">
        <f>IF(ISBLANK(G362),"",SUBTOTAL(3,$G$13:G362))</f>
        <v/>
      </c>
      <c r="C362" s="106"/>
      <c r="D362" s="107"/>
      <c r="E362" s="100"/>
      <c r="F362" s="107"/>
      <c r="G362" s="108"/>
      <c r="H362" s="139"/>
      <c r="I362" s="102" t="str">
        <f t="shared" si="32"/>
        <v/>
      </c>
      <c r="J362" s="103" t="str">
        <f t="shared" si="33"/>
        <v/>
      </c>
      <c r="K362" s="152"/>
      <c r="L362" s="104" t="str">
        <f t="shared" si="34"/>
        <v/>
      </c>
      <c r="M362" s="105"/>
      <c r="N362" s="105"/>
      <c r="O362" s="100"/>
      <c r="P362" s="172" t="str">
        <f t="shared" si="35"/>
        <v/>
      </c>
      <c r="T362" s="18"/>
      <c r="U362" s="19"/>
      <c r="V362" s="19"/>
      <c r="W362" s="181"/>
      <c r="X362" s="192"/>
      <c r="Y362" s="192"/>
    </row>
    <row r="363" spans="1:25" ht="16.8">
      <c r="A363" s="2" t="str">
        <f>IF(M363="","",COUNTIFS($M$13:M363,M363,$G$13:G363,"&gt;0"))</f>
        <v/>
      </c>
      <c r="B363" s="98" t="str">
        <f>IF(ISBLANK(G363),"",SUBTOTAL(3,$G$13:G363))</f>
        <v/>
      </c>
      <c r="C363" s="106"/>
      <c r="D363" s="107"/>
      <c r="E363" s="100"/>
      <c r="F363" s="107"/>
      <c r="G363" s="108"/>
      <c r="H363" s="139"/>
      <c r="I363" s="102" t="str">
        <f t="shared" si="32"/>
        <v/>
      </c>
      <c r="J363" s="103" t="str">
        <f t="shared" si="33"/>
        <v/>
      </c>
      <c r="K363" s="152"/>
      <c r="L363" s="104" t="str">
        <f t="shared" si="34"/>
        <v/>
      </c>
      <c r="M363" s="105"/>
      <c r="N363" s="105"/>
      <c r="O363" s="100"/>
      <c r="P363" s="172" t="str">
        <f t="shared" si="35"/>
        <v/>
      </c>
      <c r="T363" s="18"/>
      <c r="U363" s="19"/>
      <c r="V363" s="19"/>
      <c r="W363" s="181"/>
      <c r="X363" s="192"/>
      <c r="Y363" s="192"/>
    </row>
    <row r="364" spans="1:25" ht="16.8">
      <c r="A364" s="2" t="str">
        <f>IF(M364="","",COUNTIFS($M$13:M364,M364,$G$13:G364,"&gt;0"))</f>
        <v/>
      </c>
      <c r="B364" s="98" t="str">
        <f>IF(ISBLANK(G364),"",SUBTOTAL(3,$G$13:G364))</f>
        <v/>
      </c>
      <c r="C364" s="106"/>
      <c r="D364" s="107"/>
      <c r="E364" s="100"/>
      <c r="F364" s="107"/>
      <c r="G364" s="108"/>
      <c r="H364" s="139"/>
      <c r="I364" s="102" t="str">
        <f t="shared" si="32"/>
        <v/>
      </c>
      <c r="J364" s="103" t="str">
        <f t="shared" si="33"/>
        <v/>
      </c>
      <c r="K364" s="152"/>
      <c r="L364" s="104" t="str">
        <f t="shared" si="34"/>
        <v/>
      </c>
      <c r="M364" s="105"/>
      <c r="N364" s="105"/>
      <c r="O364" s="100"/>
      <c r="P364" s="172" t="str">
        <f t="shared" si="35"/>
        <v/>
      </c>
      <c r="T364" s="18"/>
      <c r="U364" s="19"/>
      <c r="V364" s="19"/>
      <c r="W364" s="181"/>
      <c r="X364" s="192"/>
      <c r="Y364" s="192"/>
    </row>
    <row r="365" spans="1:25" ht="15.6">
      <c r="A365" s="2" t="str">
        <f>IF(M365="","",COUNTIFS($M$13:M365,M365,$G$13:G365,"&gt;0"))</f>
        <v/>
      </c>
      <c r="B365" s="98" t="str">
        <f>IF(ISBLANK(G365),"",SUBTOTAL(3,$G$13:G365))</f>
        <v/>
      </c>
      <c r="C365" s="106"/>
      <c r="D365" s="107"/>
      <c r="E365" s="100"/>
      <c r="F365" s="107"/>
      <c r="G365" s="108"/>
      <c r="H365" s="139"/>
      <c r="I365" s="102" t="str">
        <f t="shared" si="32"/>
        <v/>
      </c>
      <c r="J365" s="103" t="str">
        <f t="shared" si="33"/>
        <v/>
      </c>
      <c r="K365" s="152"/>
      <c r="L365" s="104" t="str">
        <f t="shared" si="34"/>
        <v/>
      </c>
      <c r="M365" s="105"/>
      <c r="N365" s="105"/>
      <c r="O365" s="100"/>
      <c r="P365" s="172" t="str">
        <f t="shared" si="35"/>
        <v/>
      </c>
      <c r="U365" s="19"/>
      <c r="V365" s="19"/>
      <c r="W365" s="181"/>
      <c r="X365" s="192"/>
      <c r="Y365" s="192"/>
    </row>
    <row r="366" spans="1:25" ht="16.8">
      <c r="A366" s="2" t="str">
        <f>IF(M366="","",COUNTIFS($M$13:M366,M366,$G$13:G366,"&gt;0"))</f>
        <v/>
      </c>
      <c r="B366" s="98" t="str">
        <f>IF(ISBLANK(G366),"",SUBTOTAL(3,$G$13:G366))</f>
        <v/>
      </c>
      <c r="C366" s="106"/>
      <c r="D366" s="107"/>
      <c r="E366" s="100"/>
      <c r="F366" s="107"/>
      <c r="G366" s="108"/>
      <c r="H366" s="139"/>
      <c r="I366" s="102" t="str">
        <f t="shared" si="32"/>
        <v/>
      </c>
      <c r="J366" s="103" t="str">
        <f t="shared" si="33"/>
        <v/>
      </c>
      <c r="K366" s="152"/>
      <c r="L366" s="104" t="str">
        <f t="shared" si="34"/>
        <v/>
      </c>
      <c r="M366" s="105"/>
      <c r="N366" s="105"/>
      <c r="O366" s="100"/>
      <c r="P366" s="172" t="str">
        <f t="shared" si="35"/>
        <v/>
      </c>
      <c r="T366" s="18"/>
      <c r="U366" s="19"/>
      <c r="V366" s="19"/>
      <c r="W366" s="181"/>
      <c r="X366" s="192"/>
      <c r="Y366" s="192"/>
    </row>
    <row r="367" spans="1:25" ht="16.8">
      <c r="A367" s="2" t="str">
        <f>IF(M367="","",COUNTIFS($M$13:M367,M367,$G$13:G367,"&gt;0"))</f>
        <v/>
      </c>
      <c r="B367" s="98" t="str">
        <f>IF(ISBLANK(G367),"",SUBTOTAL(3,$G$13:G367))</f>
        <v/>
      </c>
      <c r="C367" s="106"/>
      <c r="D367" s="107"/>
      <c r="E367" s="100"/>
      <c r="F367" s="107"/>
      <c r="G367" s="108"/>
      <c r="H367" s="139"/>
      <c r="I367" s="102" t="str">
        <f t="shared" si="32"/>
        <v/>
      </c>
      <c r="J367" s="103" t="str">
        <f t="shared" si="33"/>
        <v/>
      </c>
      <c r="K367" s="152"/>
      <c r="L367" s="104" t="str">
        <f t="shared" si="34"/>
        <v/>
      </c>
      <c r="M367" s="105"/>
      <c r="N367" s="105"/>
      <c r="O367" s="100"/>
      <c r="P367" s="172" t="str">
        <f t="shared" si="35"/>
        <v/>
      </c>
      <c r="T367" s="18"/>
      <c r="U367" s="19"/>
      <c r="V367" s="19"/>
      <c r="W367" s="181"/>
      <c r="X367" s="192"/>
      <c r="Y367" s="192"/>
    </row>
    <row r="368" spans="1:25" ht="16.8">
      <c r="A368" s="2" t="str">
        <f>IF(M368="","",COUNTIFS($M$13:M368,M368,$G$13:G368,"&gt;0"))</f>
        <v/>
      </c>
      <c r="B368" s="98" t="str">
        <f>IF(ISBLANK(G368),"",SUBTOTAL(3,$G$13:G368))</f>
        <v/>
      </c>
      <c r="C368" s="106"/>
      <c r="D368" s="107"/>
      <c r="E368" s="100"/>
      <c r="F368" s="107"/>
      <c r="G368" s="108"/>
      <c r="H368" s="139"/>
      <c r="I368" s="102" t="str">
        <f t="shared" si="32"/>
        <v/>
      </c>
      <c r="J368" s="103" t="str">
        <f t="shared" si="33"/>
        <v/>
      </c>
      <c r="K368" s="152"/>
      <c r="L368" s="104" t="str">
        <f t="shared" si="34"/>
        <v/>
      </c>
      <c r="M368" s="105"/>
      <c r="N368" s="105"/>
      <c r="O368" s="100"/>
      <c r="P368" s="172" t="str">
        <f t="shared" si="35"/>
        <v/>
      </c>
      <c r="T368" s="18"/>
      <c r="U368" s="19"/>
      <c r="V368" s="19"/>
      <c r="W368" s="181"/>
      <c r="X368" s="192"/>
      <c r="Y368" s="192"/>
    </row>
    <row r="369" spans="1:25" ht="16.8">
      <c r="A369" s="2" t="str">
        <f>IF(M369="","",COUNTIFS($M$13:M369,M369,$G$13:G369,"&gt;0"))</f>
        <v/>
      </c>
      <c r="B369" s="98" t="str">
        <f>IF(ISBLANK(G369),"",SUBTOTAL(3,$G$13:G369))</f>
        <v/>
      </c>
      <c r="C369" s="106"/>
      <c r="D369" s="107"/>
      <c r="E369" s="100"/>
      <c r="F369" s="107"/>
      <c r="G369" s="108"/>
      <c r="H369" s="139"/>
      <c r="I369" s="102" t="str">
        <f t="shared" si="32"/>
        <v/>
      </c>
      <c r="J369" s="103" t="str">
        <f t="shared" si="33"/>
        <v/>
      </c>
      <c r="K369" s="152"/>
      <c r="L369" s="104" t="str">
        <f t="shared" si="34"/>
        <v/>
      </c>
      <c r="M369" s="105"/>
      <c r="N369" s="105"/>
      <c r="O369" s="100"/>
      <c r="P369" s="172" t="str">
        <f t="shared" si="35"/>
        <v/>
      </c>
      <c r="T369" s="18"/>
      <c r="U369" s="19"/>
      <c r="V369" s="19"/>
      <c r="W369" s="181"/>
      <c r="X369" s="192"/>
      <c r="Y369" s="192"/>
    </row>
    <row r="370" spans="1:25" ht="16.8">
      <c r="A370" s="2" t="str">
        <f>IF(M370="","",COUNTIFS($M$13:M370,M370,$G$13:G370,"&gt;0"))</f>
        <v/>
      </c>
      <c r="B370" s="98" t="str">
        <f>IF(ISBLANK(G370),"",SUBTOTAL(3,$G$13:G370))</f>
        <v/>
      </c>
      <c r="C370" s="106"/>
      <c r="D370" s="107"/>
      <c r="E370" s="100"/>
      <c r="F370" s="107"/>
      <c r="G370" s="108"/>
      <c r="H370" s="139"/>
      <c r="I370" s="102" t="str">
        <f t="shared" si="32"/>
        <v/>
      </c>
      <c r="J370" s="103" t="str">
        <f t="shared" si="33"/>
        <v/>
      </c>
      <c r="K370" s="152"/>
      <c r="L370" s="104" t="str">
        <f t="shared" si="34"/>
        <v/>
      </c>
      <c r="M370" s="105"/>
      <c r="N370" s="105"/>
      <c r="O370" s="100"/>
      <c r="P370" s="172" t="str">
        <f t="shared" si="35"/>
        <v/>
      </c>
      <c r="T370" s="18"/>
      <c r="U370" s="19"/>
      <c r="V370" s="19"/>
      <c r="W370" s="181"/>
      <c r="X370" s="192"/>
      <c r="Y370" s="192"/>
    </row>
    <row r="371" spans="1:25" ht="16.8">
      <c r="A371" s="2" t="str">
        <f>IF(M371="","",COUNTIFS($M$13:M371,M371,$G$13:G371,"&gt;0"))</f>
        <v/>
      </c>
      <c r="B371" s="98" t="str">
        <f>IF(ISBLANK(G371),"",SUBTOTAL(3,$G$13:G371))</f>
        <v/>
      </c>
      <c r="C371" s="106"/>
      <c r="D371" s="107"/>
      <c r="E371" s="100"/>
      <c r="F371" s="107"/>
      <c r="G371" s="108"/>
      <c r="H371" s="139"/>
      <c r="I371" s="102" t="str">
        <f t="shared" si="32"/>
        <v/>
      </c>
      <c r="J371" s="103" t="str">
        <f t="shared" si="33"/>
        <v/>
      </c>
      <c r="K371" s="152"/>
      <c r="L371" s="104" t="str">
        <f t="shared" si="34"/>
        <v/>
      </c>
      <c r="M371" s="105"/>
      <c r="N371" s="105"/>
      <c r="O371" s="100"/>
      <c r="P371" s="172" t="str">
        <f t="shared" si="35"/>
        <v/>
      </c>
      <c r="T371" s="18"/>
      <c r="U371" s="19"/>
      <c r="V371" s="19"/>
      <c r="W371" s="181"/>
      <c r="X371" s="192"/>
      <c r="Y371" s="192"/>
    </row>
    <row r="372" spans="1:25" ht="16.8">
      <c r="A372" s="2" t="str">
        <f>IF(M372="","",COUNTIFS($M$13:M372,M372,$G$13:G372,"&gt;0"))</f>
        <v/>
      </c>
      <c r="B372" s="98" t="str">
        <f>IF(ISBLANK(G372),"",SUBTOTAL(3,$G$13:G372))</f>
        <v/>
      </c>
      <c r="C372" s="106"/>
      <c r="D372" s="107"/>
      <c r="E372" s="100"/>
      <c r="F372" s="107"/>
      <c r="G372" s="108"/>
      <c r="H372" s="139"/>
      <c r="I372" s="102" t="str">
        <f t="shared" si="32"/>
        <v/>
      </c>
      <c r="J372" s="103" t="str">
        <f t="shared" si="33"/>
        <v/>
      </c>
      <c r="K372" s="152"/>
      <c r="L372" s="104" t="str">
        <f t="shared" si="34"/>
        <v/>
      </c>
      <c r="M372" s="105"/>
      <c r="N372" s="105"/>
      <c r="O372" s="100"/>
      <c r="P372" s="172" t="str">
        <f t="shared" si="35"/>
        <v/>
      </c>
      <c r="T372" s="18"/>
      <c r="U372" s="19"/>
      <c r="V372" s="19"/>
      <c r="W372" s="181"/>
      <c r="X372" s="192"/>
      <c r="Y372" s="192"/>
    </row>
    <row r="373" spans="1:25" ht="16.8">
      <c r="A373" s="2" t="str">
        <f>IF(M373="","",COUNTIFS($M$13:M373,M373,$G$13:G373,"&gt;0"))</f>
        <v/>
      </c>
      <c r="B373" s="98" t="str">
        <f>IF(ISBLANK(G373),"",SUBTOTAL(3,$G$13:G373))</f>
        <v/>
      </c>
      <c r="C373" s="106"/>
      <c r="D373" s="107"/>
      <c r="E373" s="100"/>
      <c r="F373" s="107"/>
      <c r="G373" s="108"/>
      <c r="H373" s="139"/>
      <c r="I373" s="102" t="str">
        <f t="shared" si="32"/>
        <v/>
      </c>
      <c r="J373" s="103" t="str">
        <f t="shared" si="33"/>
        <v/>
      </c>
      <c r="K373" s="152"/>
      <c r="L373" s="104" t="str">
        <f t="shared" si="34"/>
        <v/>
      </c>
      <c r="M373" s="105"/>
      <c r="N373" s="105"/>
      <c r="O373" s="100"/>
      <c r="P373" s="172" t="str">
        <f t="shared" si="35"/>
        <v/>
      </c>
      <c r="T373" s="18"/>
      <c r="U373" s="19"/>
      <c r="V373" s="19"/>
      <c r="W373" s="181"/>
      <c r="X373" s="192"/>
      <c r="Y373" s="192"/>
    </row>
    <row r="374" spans="1:25" ht="16.8">
      <c r="A374" s="2" t="str">
        <f>IF(M374="","",COUNTIFS($M$13:M374,M374,$G$13:G374,"&gt;0"))</f>
        <v/>
      </c>
      <c r="B374" s="98" t="str">
        <f>IF(ISBLANK(G374),"",SUBTOTAL(3,$G$13:G374))</f>
        <v/>
      </c>
      <c r="C374" s="106"/>
      <c r="D374" s="107"/>
      <c r="E374" s="100"/>
      <c r="F374" s="107"/>
      <c r="G374" s="108"/>
      <c r="H374" s="139"/>
      <c r="I374" s="102" t="str">
        <f t="shared" si="32"/>
        <v/>
      </c>
      <c r="J374" s="103" t="str">
        <f t="shared" si="33"/>
        <v/>
      </c>
      <c r="K374" s="152"/>
      <c r="L374" s="104" t="str">
        <f t="shared" si="34"/>
        <v/>
      </c>
      <c r="M374" s="105"/>
      <c r="N374" s="105"/>
      <c r="O374" s="100"/>
      <c r="P374" s="172" t="str">
        <f t="shared" si="35"/>
        <v/>
      </c>
      <c r="T374" s="18"/>
      <c r="U374" s="19"/>
      <c r="V374" s="19"/>
      <c r="W374" s="181"/>
      <c r="X374" s="192"/>
      <c r="Y374" s="192"/>
    </row>
    <row r="375" spans="1:25" ht="16.8">
      <c r="A375" s="2" t="str">
        <f>IF(M375="","",COUNTIFS($M$13:M375,M375,$G$13:G375,"&gt;0"))</f>
        <v/>
      </c>
      <c r="B375" s="98" t="str">
        <f>IF(ISBLANK(G375),"",SUBTOTAL(3,$G$13:G375))</f>
        <v/>
      </c>
      <c r="C375" s="106"/>
      <c r="D375" s="107"/>
      <c r="E375" s="100"/>
      <c r="F375" s="107"/>
      <c r="G375" s="108"/>
      <c r="H375" s="139"/>
      <c r="I375" s="102" t="str">
        <f t="shared" si="32"/>
        <v/>
      </c>
      <c r="J375" s="103" t="str">
        <f t="shared" si="33"/>
        <v/>
      </c>
      <c r="K375" s="152"/>
      <c r="L375" s="104" t="str">
        <f t="shared" si="34"/>
        <v/>
      </c>
      <c r="M375" s="105"/>
      <c r="N375" s="105"/>
      <c r="O375" s="100"/>
      <c r="P375" s="172" t="str">
        <f t="shared" si="35"/>
        <v/>
      </c>
      <c r="T375" s="18"/>
      <c r="U375" s="19"/>
      <c r="V375" s="19"/>
      <c r="W375" s="181"/>
      <c r="X375" s="192"/>
      <c r="Y375" s="192"/>
    </row>
    <row r="376" spans="1:25" ht="16.8">
      <c r="A376" s="2" t="str">
        <f>IF(M376="","",COUNTIFS($M$13:M376,M376,$G$13:G376,"&gt;0"))</f>
        <v/>
      </c>
      <c r="B376" s="98" t="str">
        <f>IF(ISBLANK(G376),"",SUBTOTAL(3,$G$13:G376))</f>
        <v/>
      </c>
      <c r="C376" s="106"/>
      <c r="D376" s="107"/>
      <c r="E376" s="100"/>
      <c r="F376" s="107"/>
      <c r="G376" s="108"/>
      <c r="H376" s="139"/>
      <c r="I376" s="102" t="str">
        <f t="shared" si="32"/>
        <v/>
      </c>
      <c r="J376" s="103" t="str">
        <f t="shared" si="33"/>
        <v/>
      </c>
      <c r="K376" s="152"/>
      <c r="L376" s="104" t="str">
        <f t="shared" si="34"/>
        <v/>
      </c>
      <c r="M376" s="105"/>
      <c r="N376" s="105"/>
      <c r="O376" s="100"/>
      <c r="P376" s="172" t="str">
        <f t="shared" si="35"/>
        <v/>
      </c>
      <c r="T376" s="18"/>
      <c r="U376" s="19"/>
      <c r="V376" s="19"/>
      <c r="W376" s="181"/>
      <c r="X376" s="192"/>
      <c r="Y376" s="192"/>
    </row>
    <row r="377" spans="1:25" ht="16.8">
      <c r="A377" s="2" t="str">
        <f>IF(M377="","",COUNTIFS($M$13:M377,M377,$G$13:G377,"&gt;0"))</f>
        <v/>
      </c>
      <c r="B377" s="98" t="str">
        <f>IF(ISBLANK(G377),"",SUBTOTAL(3,$G$13:G377))</f>
        <v/>
      </c>
      <c r="C377" s="106"/>
      <c r="D377" s="107"/>
      <c r="E377" s="100"/>
      <c r="F377" s="107"/>
      <c r="G377" s="108"/>
      <c r="H377" s="139"/>
      <c r="I377" s="102" t="str">
        <f t="shared" si="32"/>
        <v/>
      </c>
      <c r="J377" s="103" t="str">
        <f t="shared" si="33"/>
        <v/>
      </c>
      <c r="K377" s="152"/>
      <c r="L377" s="104" t="str">
        <f t="shared" si="34"/>
        <v/>
      </c>
      <c r="M377" s="105"/>
      <c r="N377" s="105"/>
      <c r="O377" s="100"/>
      <c r="P377" s="172" t="str">
        <f t="shared" si="35"/>
        <v/>
      </c>
      <c r="T377" s="18"/>
      <c r="U377" s="19"/>
      <c r="V377" s="19"/>
      <c r="W377" s="181"/>
      <c r="X377" s="192"/>
      <c r="Y377" s="192"/>
    </row>
    <row r="378" spans="1:25" ht="16.8">
      <c r="A378" s="2" t="str">
        <f>IF(M378="","",COUNTIFS($M$13:M378,M378,$G$13:G378,"&gt;0"))</f>
        <v/>
      </c>
      <c r="B378" s="98" t="str">
        <f>IF(ISBLANK(G378),"",SUBTOTAL(3,$G$13:G378))</f>
        <v/>
      </c>
      <c r="C378" s="106"/>
      <c r="D378" s="107"/>
      <c r="E378" s="100"/>
      <c r="F378" s="107"/>
      <c r="G378" s="108"/>
      <c r="H378" s="139"/>
      <c r="I378" s="102" t="str">
        <f t="shared" si="32"/>
        <v/>
      </c>
      <c r="J378" s="103" t="str">
        <f t="shared" si="33"/>
        <v/>
      </c>
      <c r="K378" s="152"/>
      <c r="L378" s="104" t="str">
        <f t="shared" si="34"/>
        <v/>
      </c>
      <c r="M378" s="105"/>
      <c r="N378" s="105"/>
      <c r="O378" s="100"/>
      <c r="P378" s="172" t="str">
        <f t="shared" si="35"/>
        <v/>
      </c>
      <c r="T378" s="18"/>
      <c r="U378" s="19"/>
      <c r="V378" s="19"/>
      <c r="W378" s="181"/>
      <c r="X378" s="192"/>
      <c r="Y378" s="192"/>
    </row>
    <row r="379" spans="1:25" ht="16.8">
      <c r="A379" s="2" t="str">
        <f>IF(M379="","",COUNTIFS($M$13:M379,M379,$G$13:G379,"&gt;0"))</f>
        <v/>
      </c>
      <c r="B379" s="98" t="str">
        <f>IF(ISBLANK(G379),"",SUBTOTAL(3,$G$13:G379))</f>
        <v/>
      </c>
      <c r="C379" s="106"/>
      <c r="D379" s="107"/>
      <c r="E379" s="100"/>
      <c r="F379" s="107"/>
      <c r="G379" s="108"/>
      <c r="H379" s="139"/>
      <c r="I379" s="102" t="str">
        <f t="shared" si="32"/>
        <v/>
      </c>
      <c r="J379" s="103" t="str">
        <f t="shared" si="33"/>
        <v/>
      </c>
      <c r="K379" s="152"/>
      <c r="L379" s="104" t="str">
        <f t="shared" si="34"/>
        <v/>
      </c>
      <c r="M379" s="105"/>
      <c r="N379" s="105"/>
      <c r="O379" s="100"/>
      <c r="P379" s="172" t="str">
        <f t="shared" si="35"/>
        <v/>
      </c>
      <c r="T379" s="18"/>
      <c r="U379" s="19"/>
      <c r="V379" s="19"/>
      <c r="W379" s="181"/>
      <c r="X379" s="192"/>
      <c r="Y379" s="192"/>
    </row>
    <row r="380" spans="1:25" ht="16.8">
      <c r="A380" s="2" t="str">
        <f>IF(M380="","",COUNTIFS($M$13:M380,M380,$G$13:G380,"&gt;0"))</f>
        <v/>
      </c>
      <c r="B380" s="98" t="str">
        <f>IF(ISBLANK(G380),"",SUBTOTAL(3,$G$13:G380))</f>
        <v/>
      </c>
      <c r="C380" s="106"/>
      <c r="D380" s="107"/>
      <c r="E380" s="100"/>
      <c r="F380" s="107"/>
      <c r="G380" s="108"/>
      <c r="H380" s="139"/>
      <c r="I380" s="102" t="str">
        <f t="shared" si="32"/>
        <v/>
      </c>
      <c r="J380" s="103" t="str">
        <f t="shared" si="33"/>
        <v/>
      </c>
      <c r="K380" s="152"/>
      <c r="L380" s="104" t="str">
        <f t="shared" si="34"/>
        <v/>
      </c>
      <c r="M380" s="105"/>
      <c r="N380" s="105"/>
      <c r="O380" s="100"/>
      <c r="P380" s="172" t="str">
        <f t="shared" si="35"/>
        <v/>
      </c>
      <c r="T380" s="18"/>
      <c r="U380" s="19"/>
      <c r="V380" s="19"/>
      <c r="W380" s="181"/>
      <c r="X380" s="192"/>
      <c r="Y380" s="192"/>
    </row>
    <row r="381" spans="1:25" ht="16.8">
      <c r="A381" s="2" t="str">
        <f>IF(M381="","",COUNTIFS($M$13:M381,M381,$G$13:G381,"&gt;0"))</f>
        <v/>
      </c>
      <c r="B381" s="98" t="str">
        <f>IF(ISBLANK(G381),"",SUBTOTAL(3,$G$13:G381))</f>
        <v/>
      </c>
      <c r="C381" s="106"/>
      <c r="D381" s="107"/>
      <c r="E381" s="100"/>
      <c r="F381" s="107"/>
      <c r="G381" s="108"/>
      <c r="H381" s="139"/>
      <c r="I381" s="102" t="str">
        <f t="shared" si="32"/>
        <v/>
      </c>
      <c r="J381" s="103" t="str">
        <f t="shared" si="33"/>
        <v/>
      </c>
      <c r="K381" s="152"/>
      <c r="L381" s="104" t="str">
        <f t="shared" si="34"/>
        <v/>
      </c>
      <c r="M381" s="105"/>
      <c r="N381" s="105"/>
      <c r="O381" s="100"/>
      <c r="P381" s="172" t="str">
        <f t="shared" si="35"/>
        <v/>
      </c>
      <c r="T381" s="18"/>
      <c r="U381" s="19"/>
      <c r="V381" s="19"/>
      <c r="W381" s="181"/>
      <c r="X381" s="192"/>
      <c r="Y381" s="192"/>
    </row>
    <row r="382" spans="1:25" ht="16.8">
      <c r="A382" s="2" t="str">
        <f>IF(M382="","",COUNTIFS($M$13:M382,M382,$G$13:G382,"&gt;0"))</f>
        <v/>
      </c>
      <c r="B382" s="98" t="str">
        <f>IF(ISBLANK(G382),"",SUBTOTAL(3,$G$13:G382))</f>
        <v/>
      </c>
      <c r="C382" s="106"/>
      <c r="D382" s="107"/>
      <c r="E382" s="100"/>
      <c r="F382" s="107"/>
      <c r="G382" s="108"/>
      <c r="H382" s="139"/>
      <c r="I382" s="102" t="str">
        <f t="shared" si="32"/>
        <v/>
      </c>
      <c r="J382" s="103" t="str">
        <f t="shared" si="33"/>
        <v/>
      </c>
      <c r="K382" s="152"/>
      <c r="L382" s="104" t="str">
        <f t="shared" si="34"/>
        <v/>
      </c>
      <c r="M382" s="105"/>
      <c r="N382" s="105"/>
      <c r="O382" s="100"/>
      <c r="P382" s="172" t="str">
        <f t="shared" si="35"/>
        <v/>
      </c>
      <c r="T382" s="18"/>
      <c r="U382" s="19"/>
      <c r="V382" s="19"/>
      <c r="W382" s="181"/>
      <c r="X382" s="192"/>
      <c r="Y382" s="192"/>
    </row>
    <row r="383" spans="1:25" ht="16.8">
      <c r="A383" s="2" t="str">
        <f>IF(M383="","",COUNTIFS($M$13:M383,M383,$G$13:G383,"&gt;0"))</f>
        <v/>
      </c>
      <c r="B383" s="98" t="str">
        <f>IF(ISBLANK(G383),"",SUBTOTAL(3,$G$13:G383))</f>
        <v/>
      </c>
      <c r="C383" s="106"/>
      <c r="D383" s="107"/>
      <c r="E383" s="100"/>
      <c r="F383" s="107"/>
      <c r="G383" s="108"/>
      <c r="H383" s="139"/>
      <c r="I383" s="102" t="str">
        <f t="shared" si="32"/>
        <v/>
      </c>
      <c r="J383" s="103" t="str">
        <f t="shared" si="33"/>
        <v/>
      </c>
      <c r="K383" s="152"/>
      <c r="L383" s="104" t="str">
        <f t="shared" si="34"/>
        <v/>
      </c>
      <c r="M383" s="105"/>
      <c r="N383" s="105"/>
      <c r="O383" s="100"/>
      <c r="P383" s="172" t="str">
        <f t="shared" si="35"/>
        <v/>
      </c>
      <c r="T383" s="18"/>
      <c r="U383" s="19"/>
      <c r="V383" s="19"/>
      <c r="W383" s="181"/>
      <c r="X383" s="192"/>
      <c r="Y383" s="192"/>
    </row>
    <row r="384" spans="1:25" ht="16.8">
      <c r="A384" s="2" t="str">
        <f>IF(M384="","",COUNTIFS($M$13:M384,M384,$G$13:G384,"&gt;0"))</f>
        <v/>
      </c>
      <c r="B384" s="98" t="str">
        <f>IF(ISBLANK(G384),"",SUBTOTAL(3,$G$13:G384))</f>
        <v/>
      </c>
      <c r="C384" s="106"/>
      <c r="D384" s="107"/>
      <c r="E384" s="100"/>
      <c r="F384" s="107"/>
      <c r="G384" s="108"/>
      <c r="H384" s="139"/>
      <c r="I384" s="102" t="str">
        <f t="shared" si="32"/>
        <v/>
      </c>
      <c r="J384" s="103" t="str">
        <f t="shared" si="33"/>
        <v/>
      </c>
      <c r="K384" s="152"/>
      <c r="L384" s="104" t="str">
        <f t="shared" si="34"/>
        <v/>
      </c>
      <c r="M384" s="105"/>
      <c r="N384" s="105"/>
      <c r="O384" s="100"/>
      <c r="P384" s="172" t="str">
        <f t="shared" si="35"/>
        <v/>
      </c>
      <c r="T384" s="18"/>
      <c r="U384" s="19"/>
      <c r="V384" s="19"/>
      <c r="W384" s="181"/>
      <c r="X384" s="192"/>
      <c r="Y384" s="192"/>
    </row>
    <row r="385" spans="1:25" ht="16.8">
      <c r="A385" s="2" t="str">
        <f>IF(M385="","",COUNTIFS($M$13:M385,M385,$G$13:G385,"&gt;0"))</f>
        <v/>
      </c>
      <c r="B385" s="98" t="str">
        <f>IF(ISBLANK(G385),"",SUBTOTAL(3,$G$13:G385))</f>
        <v/>
      </c>
      <c r="C385" s="106"/>
      <c r="D385" s="107"/>
      <c r="E385" s="100"/>
      <c r="F385" s="107"/>
      <c r="G385" s="108"/>
      <c r="H385" s="139"/>
      <c r="I385" s="102" t="str">
        <f t="shared" si="32"/>
        <v/>
      </c>
      <c r="J385" s="103" t="str">
        <f t="shared" si="33"/>
        <v/>
      </c>
      <c r="K385" s="152"/>
      <c r="L385" s="104" t="str">
        <f t="shared" si="34"/>
        <v/>
      </c>
      <c r="M385" s="105"/>
      <c r="N385" s="105"/>
      <c r="O385" s="100"/>
      <c r="P385" s="172" t="str">
        <f t="shared" si="35"/>
        <v/>
      </c>
      <c r="T385" s="18"/>
      <c r="U385" s="19"/>
      <c r="V385" s="19"/>
      <c r="W385" s="181"/>
      <c r="X385" s="192"/>
      <c r="Y385" s="192"/>
    </row>
    <row r="386" spans="1:25" ht="16.8">
      <c r="A386" s="2" t="str">
        <f>IF(M386="","",COUNTIFS($M$13:M386,M386,$G$13:G386,"&gt;0"))</f>
        <v/>
      </c>
      <c r="B386" s="98" t="str">
        <f>IF(ISBLANK(G386),"",SUBTOTAL(3,$G$13:G386))</f>
        <v/>
      </c>
      <c r="C386" s="106"/>
      <c r="D386" s="107"/>
      <c r="E386" s="100"/>
      <c r="F386" s="107"/>
      <c r="G386" s="108"/>
      <c r="H386" s="139"/>
      <c r="I386" s="102" t="str">
        <f t="shared" si="32"/>
        <v/>
      </c>
      <c r="J386" s="103" t="str">
        <f t="shared" si="33"/>
        <v/>
      </c>
      <c r="K386" s="152"/>
      <c r="L386" s="104" t="str">
        <f t="shared" si="34"/>
        <v/>
      </c>
      <c r="M386" s="105"/>
      <c r="N386" s="105"/>
      <c r="O386" s="100"/>
      <c r="P386" s="172" t="str">
        <f t="shared" si="35"/>
        <v/>
      </c>
      <c r="T386" s="18"/>
      <c r="U386" s="19"/>
      <c r="V386" s="19"/>
      <c r="W386" s="181"/>
      <c r="X386" s="192"/>
      <c r="Y386" s="192"/>
    </row>
    <row r="387" spans="1:25" ht="16.8">
      <c r="A387" s="2" t="str">
        <f>IF(M387="","",COUNTIFS($M$13:M387,M387,$G$13:G387,"&gt;0"))</f>
        <v/>
      </c>
      <c r="B387" s="98" t="str">
        <f>IF(ISBLANK(G387),"",SUBTOTAL(3,$G$13:G387))</f>
        <v/>
      </c>
      <c r="C387" s="106"/>
      <c r="D387" s="107"/>
      <c r="E387" s="100"/>
      <c r="F387" s="107"/>
      <c r="G387" s="108"/>
      <c r="H387" s="139"/>
      <c r="I387" s="102" t="str">
        <f t="shared" si="32"/>
        <v/>
      </c>
      <c r="J387" s="103" t="str">
        <f t="shared" si="33"/>
        <v/>
      </c>
      <c r="K387" s="152"/>
      <c r="L387" s="104" t="str">
        <f t="shared" si="34"/>
        <v/>
      </c>
      <c r="M387" s="105"/>
      <c r="N387" s="105"/>
      <c r="O387" s="100"/>
      <c r="P387" s="172" t="str">
        <f t="shared" si="35"/>
        <v/>
      </c>
      <c r="T387" s="18"/>
      <c r="U387" s="19"/>
      <c r="V387" s="19"/>
      <c r="W387" s="181"/>
      <c r="X387" s="192"/>
      <c r="Y387" s="192"/>
    </row>
    <row r="388" spans="1:25" ht="16.8">
      <c r="A388" s="2" t="str">
        <f>IF(M388="","",COUNTIFS($M$13:M388,M388,$G$13:G388,"&gt;0"))</f>
        <v/>
      </c>
      <c r="B388" s="98" t="str">
        <f>IF(ISBLANK(G388),"",SUBTOTAL(3,$G$13:G388))</f>
        <v/>
      </c>
      <c r="C388" s="106"/>
      <c r="D388" s="107"/>
      <c r="E388" s="100"/>
      <c r="F388" s="107"/>
      <c r="G388" s="108"/>
      <c r="H388" s="139"/>
      <c r="I388" s="102" t="str">
        <f t="shared" si="32"/>
        <v/>
      </c>
      <c r="J388" s="103" t="str">
        <f t="shared" si="33"/>
        <v/>
      </c>
      <c r="K388" s="152"/>
      <c r="L388" s="104" t="str">
        <f t="shared" si="34"/>
        <v/>
      </c>
      <c r="M388" s="105"/>
      <c r="N388" s="105"/>
      <c r="O388" s="100"/>
      <c r="P388" s="172" t="str">
        <f t="shared" si="35"/>
        <v/>
      </c>
      <c r="T388" s="18"/>
      <c r="U388" s="19"/>
      <c r="V388" s="19"/>
      <c r="W388" s="181"/>
      <c r="X388" s="192"/>
      <c r="Y388" s="192"/>
    </row>
    <row r="389" spans="1:25" ht="16.8">
      <c r="A389" s="2" t="str">
        <f>IF(M389="","",COUNTIFS($M$13:M389,M389,$G$13:G389,"&gt;0"))</f>
        <v/>
      </c>
      <c r="B389" s="98" t="str">
        <f>IF(ISBLANK(G389),"",SUBTOTAL(3,$G$13:G389))</f>
        <v/>
      </c>
      <c r="C389" s="106"/>
      <c r="D389" s="107"/>
      <c r="E389" s="100"/>
      <c r="F389" s="107"/>
      <c r="G389" s="108"/>
      <c r="H389" s="139"/>
      <c r="I389" s="102" t="str">
        <f t="shared" si="32"/>
        <v/>
      </c>
      <c r="J389" s="103" t="str">
        <f t="shared" si="33"/>
        <v/>
      </c>
      <c r="K389" s="152"/>
      <c r="L389" s="104" t="str">
        <f t="shared" si="34"/>
        <v/>
      </c>
      <c r="M389" s="105"/>
      <c r="N389" s="105"/>
      <c r="O389" s="100"/>
      <c r="P389" s="172" t="str">
        <f t="shared" si="35"/>
        <v/>
      </c>
      <c r="T389" s="18"/>
      <c r="U389" s="19"/>
      <c r="V389" s="19"/>
      <c r="W389" s="181"/>
      <c r="X389" s="192"/>
      <c r="Y389" s="192"/>
    </row>
    <row r="390" spans="1:25" ht="16.8">
      <c r="A390" s="2" t="str">
        <f>IF(M390="","",COUNTIFS($M$13:M390,M390,$G$13:G390,"&gt;0"))</f>
        <v/>
      </c>
      <c r="B390" s="98" t="str">
        <f>IF(ISBLANK(G390),"",SUBTOTAL(3,$G$13:G390))</f>
        <v/>
      </c>
      <c r="C390" s="106"/>
      <c r="D390" s="107"/>
      <c r="E390" s="100"/>
      <c r="F390" s="107"/>
      <c r="G390" s="108"/>
      <c r="H390" s="139"/>
      <c r="I390" s="102" t="str">
        <f t="shared" si="32"/>
        <v/>
      </c>
      <c r="J390" s="103" t="str">
        <f t="shared" si="33"/>
        <v/>
      </c>
      <c r="K390" s="152"/>
      <c r="L390" s="104" t="str">
        <f t="shared" si="34"/>
        <v/>
      </c>
      <c r="M390" s="105"/>
      <c r="N390" s="105"/>
      <c r="O390" s="100"/>
      <c r="P390" s="172" t="str">
        <f t="shared" si="35"/>
        <v/>
      </c>
      <c r="T390" s="18"/>
      <c r="U390" s="19"/>
      <c r="V390" s="19"/>
      <c r="W390" s="181"/>
      <c r="X390" s="192"/>
      <c r="Y390" s="192"/>
    </row>
    <row r="391" spans="1:25" ht="16.8">
      <c r="A391" s="2" t="str">
        <f>IF(M391="","",COUNTIFS($M$13:M391,M391,$G$13:G391,"&gt;0"))</f>
        <v/>
      </c>
      <c r="B391" s="98" t="str">
        <f>IF(ISBLANK(G391),"",SUBTOTAL(3,$G$13:G391))</f>
        <v/>
      </c>
      <c r="C391" s="106"/>
      <c r="D391" s="107"/>
      <c r="E391" s="100"/>
      <c r="F391" s="107"/>
      <c r="G391" s="108"/>
      <c r="H391" s="139"/>
      <c r="I391" s="102" t="str">
        <f t="shared" si="32"/>
        <v/>
      </c>
      <c r="J391" s="103" t="str">
        <f t="shared" si="33"/>
        <v/>
      </c>
      <c r="K391" s="152"/>
      <c r="L391" s="104" t="str">
        <f t="shared" si="34"/>
        <v/>
      </c>
      <c r="M391" s="105"/>
      <c r="N391" s="105"/>
      <c r="O391" s="100"/>
      <c r="P391" s="172" t="str">
        <f t="shared" si="35"/>
        <v/>
      </c>
      <c r="T391" s="18"/>
      <c r="U391" s="19"/>
      <c r="V391" s="19"/>
      <c r="W391" s="181"/>
      <c r="X391" s="192"/>
      <c r="Y391" s="192"/>
    </row>
    <row r="392" spans="1:25" ht="16.8">
      <c r="A392" s="2" t="str">
        <f>IF(M392="","",COUNTIFS($M$13:M392,M392,$G$13:G392,"&gt;0"))</f>
        <v/>
      </c>
      <c r="B392" s="98" t="str">
        <f>IF(ISBLANK(G392),"",SUBTOTAL(3,$G$13:G392))</f>
        <v/>
      </c>
      <c r="C392" s="106"/>
      <c r="D392" s="107"/>
      <c r="E392" s="100"/>
      <c r="F392" s="107"/>
      <c r="G392" s="108"/>
      <c r="H392" s="139"/>
      <c r="I392" s="102" t="str">
        <f t="shared" si="32"/>
        <v/>
      </c>
      <c r="J392" s="103" t="str">
        <f t="shared" si="33"/>
        <v/>
      </c>
      <c r="K392" s="152"/>
      <c r="L392" s="104" t="str">
        <f t="shared" si="34"/>
        <v/>
      </c>
      <c r="M392" s="105"/>
      <c r="N392" s="105"/>
      <c r="O392" s="100"/>
      <c r="P392" s="172" t="str">
        <f t="shared" si="35"/>
        <v/>
      </c>
      <c r="T392" s="18"/>
      <c r="U392" s="19"/>
      <c r="V392" s="19"/>
      <c r="W392" s="181"/>
      <c r="X392" s="192"/>
      <c r="Y392" s="192"/>
    </row>
    <row r="393" spans="1:25" ht="16.8">
      <c r="A393" s="2" t="str">
        <f>IF(M393="","",COUNTIFS($M$13:M393,M393,$G$13:G393,"&gt;0"))</f>
        <v/>
      </c>
      <c r="B393" s="98" t="str">
        <f>IF(ISBLANK(G393),"",SUBTOTAL(3,$G$13:G393))</f>
        <v/>
      </c>
      <c r="C393" s="106"/>
      <c r="D393" s="107"/>
      <c r="E393" s="100"/>
      <c r="F393" s="107"/>
      <c r="G393" s="108"/>
      <c r="H393" s="139"/>
      <c r="I393" s="102" t="str">
        <f t="shared" si="32"/>
        <v/>
      </c>
      <c r="J393" s="103" t="str">
        <f t="shared" si="33"/>
        <v/>
      </c>
      <c r="K393" s="152"/>
      <c r="L393" s="104" t="str">
        <f t="shared" si="34"/>
        <v/>
      </c>
      <c r="M393" s="105"/>
      <c r="N393" s="105"/>
      <c r="O393" s="100"/>
      <c r="P393" s="172" t="str">
        <f t="shared" si="35"/>
        <v/>
      </c>
      <c r="T393" s="18"/>
      <c r="U393" s="19"/>
      <c r="V393" s="19"/>
      <c r="W393" s="181"/>
      <c r="X393" s="192"/>
      <c r="Y393" s="192"/>
    </row>
    <row r="394" spans="1:25" ht="15.6">
      <c r="A394" s="2" t="str">
        <f>IF(M394="","",COUNTIFS($M$13:M394,M394,$G$13:G394,"&gt;0"))</f>
        <v/>
      </c>
      <c r="B394" s="98" t="str">
        <f>IF(ISBLANK(G394),"",SUBTOTAL(3,$G$13:G394))</f>
        <v/>
      </c>
      <c r="C394" s="106"/>
      <c r="D394" s="107"/>
      <c r="E394" s="100"/>
      <c r="F394" s="107"/>
      <c r="G394" s="108"/>
      <c r="H394" s="139"/>
      <c r="I394" s="102" t="str">
        <f t="shared" si="32"/>
        <v/>
      </c>
      <c r="J394" s="103" t="str">
        <f t="shared" si="33"/>
        <v/>
      </c>
      <c r="K394" s="152"/>
      <c r="L394" s="104" t="str">
        <f t="shared" si="34"/>
        <v/>
      </c>
      <c r="M394" s="105"/>
      <c r="N394" s="105"/>
      <c r="O394" s="100"/>
      <c r="P394" s="172" t="str">
        <f t="shared" si="35"/>
        <v/>
      </c>
      <c r="U394" s="19"/>
      <c r="V394" s="19"/>
      <c r="W394" s="181"/>
      <c r="X394" s="192"/>
      <c r="Y394" s="192"/>
    </row>
    <row r="395" spans="1:25" ht="16.8">
      <c r="A395" s="2" t="str">
        <f>IF(M395="","",COUNTIFS($M$13:M395,M395,$G$13:G395,"&gt;0"))</f>
        <v/>
      </c>
      <c r="B395" s="98" t="str">
        <f>IF(ISBLANK(G395),"",SUBTOTAL(3,$G$13:G395))</f>
        <v/>
      </c>
      <c r="C395" s="106"/>
      <c r="D395" s="107"/>
      <c r="E395" s="100"/>
      <c r="F395" s="107"/>
      <c r="G395" s="108"/>
      <c r="H395" s="139"/>
      <c r="I395" s="102" t="str">
        <f t="shared" si="32"/>
        <v/>
      </c>
      <c r="J395" s="103" t="str">
        <f t="shared" si="33"/>
        <v/>
      </c>
      <c r="K395" s="152"/>
      <c r="L395" s="104" t="str">
        <f t="shared" si="34"/>
        <v/>
      </c>
      <c r="M395" s="105"/>
      <c r="N395" s="105"/>
      <c r="O395" s="100"/>
      <c r="P395" s="172" t="str">
        <f t="shared" si="35"/>
        <v/>
      </c>
      <c r="T395" s="18"/>
      <c r="U395" s="19"/>
      <c r="V395" s="19"/>
      <c r="W395" s="181"/>
      <c r="X395" s="192"/>
      <c r="Y395" s="192"/>
    </row>
    <row r="396" spans="1:25" ht="16.8">
      <c r="A396" s="2" t="str">
        <f>IF(M396="","",COUNTIFS($M$13:M396,M396,$G$13:G396,"&gt;0"))</f>
        <v/>
      </c>
      <c r="B396" s="98" t="str">
        <f>IF(ISBLANK(G396),"",SUBTOTAL(3,$G$13:G396))</f>
        <v/>
      </c>
      <c r="C396" s="106"/>
      <c r="D396" s="107"/>
      <c r="E396" s="100"/>
      <c r="F396" s="107"/>
      <c r="G396" s="108"/>
      <c r="H396" s="139"/>
      <c r="I396" s="102" t="str">
        <f t="shared" si="32"/>
        <v/>
      </c>
      <c r="J396" s="103" t="str">
        <f t="shared" si="33"/>
        <v/>
      </c>
      <c r="K396" s="152"/>
      <c r="L396" s="104" t="str">
        <f t="shared" si="34"/>
        <v/>
      </c>
      <c r="M396" s="105"/>
      <c r="N396" s="105"/>
      <c r="O396" s="100"/>
      <c r="P396" s="172" t="str">
        <f t="shared" si="35"/>
        <v/>
      </c>
      <c r="T396" s="18"/>
      <c r="U396" s="19"/>
      <c r="V396" s="19"/>
      <c r="W396" s="181"/>
      <c r="X396" s="192"/>
      <c r="Y396" s="192"/>
    </row>
    <row r="397" spans="1:25" ht="16.8">
      <c r="A397" s="2" t="str">
        <f>IF(M397="","",COUNTIFS($M$13:M397,M397,$G$13:G397,"&gt;0"))</f>
        <v/>
      </c>
      <c r="B397" s="98" t="str">
        <f>IF(ISBLANK(G397),"",SUBTOTAL(3,$G$13:G397))</f>
        <v/>
      </c>
      <c r="C397" s="106"/>
      <c r="D397" s="107"/>
      <c r="E397" s="100"/>
      <c r="F397" s="107"/>
      <c r="G397" s="108"/>
      <c r="H397" s="139"/>
      <c r="I397" s="102" t="str">
        <f t="shared" ref="I397:I406" si="36">IFERROR(IF(ISBLANK(D397),"",(IF(K397&gt;0,L397,G397)/NhipSX)),"")</f>
        <v/>
      </c>
      <c r="J397" s="103" t="str">
        <f t="shared" ref="J397:J406" si="37">IFERROR(IF(OR(D397=0,B397=0),"",INDEX($AA$2:$AG$2,MATCH(D397,$AA$1:$AG$1,0))*IF($J$11="Đơn Giá CBC",L397,G397)),"")</f>
        <v/>
      </c>
      <c r="K397" s="152"/>
      <c r="L397" s="104" t="str">
        <f t="shared" ref="L397:L406" si="38">IFERROR(IF(ISBLANK(D397),"",IF(ISBLANK(K397),G397,(G397/K397))),"")</f>
        <v/>
      </c>
      <c r="M397" s="105"/>
      <c r="N397" s="105"/>
      <c r="O397" s="100"/>
      <c r="P397" s="172" t="str">
        <f t="shared" si="35"/>
        <v/>
      </c>
      <c r="T397" s="18"/>
      <c r="U397" s="19"/>
      <c r="V397" s="19"/>
      <c r="W397" s="181"/>
      <c r="X397" s="192"/>
      <c r="Y397" s="192"/>
    </row>
    <row r="398" spans="1:25" ht="16.8">
      <c r="A398" s="2" t="str">
        <f>IF(M398="","",COUNTIFS($M$13:M398,M398,$G$13:G398,"&gt;0"))</f>
        <v/>
      </c>
      <c r="B398" s="98" t="str">
        <f>IF(ISBLANK(G398),"",SUBTOTAL(3,$G$13:G398))</f>
        <v/>
      </c>
      <c r="C398" s="106"/>
      <c r="D398" s="107"/>
      <c r="E398" s="100"/>
      <c r="F398" s="107"/>
      <c r="G398" s="108"/>
      <c r="H398" s="139"/>
      <c r="I398" s="102" t="str">
        <f t="shared" si="36"/>
        <v/>
      </c>
      <c r="J398" s="103" t="str">
        <f t="shared" si="37"/>
        <v/>
      </c>
      <c r="K398" s="152"/>
      <c r="L398" s="104" t="str">
        <f t="shared" si="38"/>
        <v/>
      </c>
      <c r="M398" s="105"/>
      <c r="N398" s="105"/>
      <c r="O398" s="100"/>
      <c r="P398" s="172" t="str">
        <f t="shared" ref="P398:P406" si="39">IFERROR(IF(ISBLANK(G398),"",(L398/$I$4)),"")</f>
        <v/>
      </c>
      <c r="T398" s="18"/>
      <c r="U398" s="19"/>
      <c r="V398" s="19"/>
      <c r="W398" s="181"/>
      <c r="X398" s="192"/>
      <c r="Y398" s="192"/>
    </row>
    <row r="399" spans="1:25" ht="16.8">
      <c r="A399" s="2" t="str">
        <f>IF(M399="","",COUNTIFS($M$13:M399,M399,$G$13:G399,"&gt;0"))</f>
        <v/>
      </c>
      <c r="B399" s="98" t="str">
        <f>IF(ISBLANK(G399),"",SUBTOTAL(3,$G$13:G399))</f>
        <v/>
      </c>
      <c r="C399" s="106"/>
      <c r="D399" s="107"/>
      <c r="E399" s="100"/>
      <c r="F399" s="107"/>
      <c r="G399" s="108"/>
      <c r="H399" s="139"/>
      <c r="I399" s="102" t="str">
        <f t="shared" si="36"/>
        <v/>
      </c>
      <c r="J399" s="103" t="str">
        <f t="shared" si="37"/>
        <v/>
      </c>
      <c r="K399" s="152"/>
      <c r="L399" s="104" t="str">
        <f t="shared" si="38"/>
        <v/>
      </c>
      <c r="M399" s="105"/>
      <c r="N399" s="105"/>
      <c r="O399" s="100"/>
      <c r="P399" s="172" t="str">
        <f t="shared" si="39"/>
        <v/>
      </c>
      <c r="T399" s="18"/>
      <c r="U399" s="19"/>
      <c r="V399" s="19"/>
      <c r="W399" s="181"/>
      <c r="X399" s="192"/>
      <c r="Y399" s="192"/>
    </row>
    <row r="400" spans="1:25" ht="16.8">
      <c r="A400" s="2" t="str">
        <f>IF(M400="","",COUNTIFS($M$13:M400,M400,$G$13:G400,"&gt;0"))</f>
        <v/>
      </c>
      <c r="B400" s="98" t="str">
        <f>IF(ISBLANK(G400),"",SUBTOTAL(3,$G$13:G400))</f>
        <v/>
      </c>
      <c r="C400" s="106"/>
      <c r="D400" s="107"/>
      <c r="E400" s="100"/>
      <c r="F400" s="107"/>
      <c r="G400" s="108"/>
      <c r="H400" s="139"/>
      <c r="I400" s="102" t="str">
        <f t="shared" si="36"/>
        <v/>
      </c>
      <c r="J400" s="103" t="str">
        <f t="shared" si="37"/>
        <v/>
      </c>
      <c r="K400" s="152"/>
      <c r="L400" s="104" t="str">
        <f t="shared" si="38"/>
        <v/>
      </c>
      <c r="M400" s="105"/>
      <c r="N400" s="105"/>
      <c r="O400" s="100"/>
      <c r="P400" s="172" t="str">
        <f t="shared" si="39"/>
        <v/>
      </c>
      <c r="T400" s="18"/>
      <c r="U400" s="19"/>
      <c r="V400" s="19"/>
      <c r="W400" s="181"/>
      <c r="X400" s="192"/>
      <c r="Y400" s="192"/>
    </row>
    <row r="401" spans="1:29" ht="16.8">
      <c r="A401" s="2" t="str">
        <f>IF(M401="","",COUNTIFS($M$13:M401,M401,$G$13:G401,"&gt;0"))</f>
        <v/>
      </c>
      <c r="B401" s="98" t="str">
        <f>IF(ISBLANK(G401),"",SUBTOTAL(3,$G$13:G401))</f>
        <v/>
      </c>
      <c r="C401" s="106"/>
      <c r="D401" s="107"/>
      <c r="E401" s="100"/>
      <c r="F401" s="107"/>
      <c r="G401" s="108"/>
      <c r="H401" s="139"/>
      <c r="I401" s="102" t="str">
        <f t="shared" si="36"/>
        <v/>
      </c>
      <c r="J401" s="103" t="str">
        <f t="shared" si="37"/>
        <v/>
      </c>
      <c r="K401" s="152"/>
      <c r="L401" s="104" t="str">
        <f t="shared" si="38"/>
        <v/>
      </c>
      <c r="M401" s="105"/>
      <c r="N401" s="105"/>
      <c r="O401" s="100"/>
      <c r="P401" s="172" t="str">
        <f t="shared" si="39"/>
        <v/>
      </c>
      <c r="T401" s="18"/>
      <c r="U401" s="19"/>
      <c r="V401" s="19"/>
      <c r="W401" s="181"/>
      <c r="X401" s="192"/>
      <c r="Y401" s="192"/>
    </row>
    <row r="402" spans="1:29" ht="16.8">
      <c r="A402" s="2" t="str">
        <f>IF(M402="","",COUNTIFS($M$13:M402,M402,$G$13:G402,"&gt;0"))</f>
        <v/>
      </c>
      <c r="B402" s="98" t="str">
        <f>IF(ISBLANK(G402),"",SUBTOTAL(3,$G$13:G402))</f>
        <v/>
      </c>
      <c r="C402" s="106"/>
      <c r="D402" s="107"/>
      <c r="E402" s="100"/>
      <c r="F402" s="107"/>
      <c r="G402" s="108"/>
      <c r="H402" s="139"/>
      <c r="I402" s="102" t="str">
        <f t="shared" si="36"/>
        <v/>
      </c>
      <c r="J402" s="103" t="str">
        <f t="shared" si="37"/>
        <v/>
      </c>
      <c r="K402" s="152"/>
      <c r="L402" s="104" t="str">
        <f t="shared" si="38"/>
        <v/>
      </c>
      <c r="M402" s="105"/>
      <c r="N402" s="105"/>
      <c r="O402" s="100"/>
      <c r="P402" s="172" t="str">
        <f t="shared" si="39"/>
        <v/>
      </c>
      <c r="T402" s="18"/>
      <c r="U402" s="19"/>
      <c r="V402" s="19"/>
      <c r="W402" s="181"/>
      <c r="X402" s="192"/>
      <c r="Y402" s="192"/>
    </row>
    <row r="403" spans="1:29" ht="16.8">
      <c r="A403" s="2" t="str">
        <f>IF(M403="","",COUNTIFS($M$13:M403,M403,$G$13:G403,"&gt;0"))</f>
        <v/>
      </c>
      <c r="B403" s="98" t="str">
        <f>IF(ISBLANK(G403),"",SUBTOTAL(3,$G$13:G403))</f>
        <v/>
      </c>
      <c r="C403" s="106"/>
      <c r="D403" s="107"/>
      <c r="E403" s="100"/>
      <c r="F403" s="107"/>
      <c r="G403" s="108"/>
      <c r="H403" s="139"/>
      <c r="I403" s="102" t="str">
        <f t="shared" si="36"/>
        <v/>
      </c>
      <c r="J403" s="103" t="str">
        <f t="shared" si="37"/>
        <v/>
      </c>
      <c r="K403" s="152"/>
      <c r="L403" s="104" t="str">
        <f t="shared" si="38"/>
        <v/>
      </c>
      <c r="M403" s="105"/>
      <c r="N403" s="105"/>
      <c r="O403" s="100"/>
      <c r="P403" s="172" t="str">
        <f t="shared" si="39"/>
        <v/>
      </c>
      <c r="T403" s="18"/>
      <c r="U403" s="19"/>
      <c r="V403" s="19"/>
      <c r="W403" s="181"/>
      <c r="X403" s="192"/>
      <c r="Y403" s="192"/>
    </row>
    <row r="404" spans="1:29" ht="16.8">
      <c r="A404" s="2" t="str">
        <f>IF(M404="","",COUNTIFS($M$13:M404,M404,$G$13:G404,"&gt;0"))</f>
        <v/>
      </c>
      <c r="B404" s="98" t="str">
        <f>IF(ISBLANK(G404),"",SUBTOTAL(3,$G$13:G404))</f>
        <v/>
      </c>
      <c r="C404" s="106"/>
      <c r="D404" s="107"/>
      <c r="E404" s="100"/>
      <c r="F404" s="107"/>
      <c r="G404" s="108"/>
      <c r="H404" s="139"/>
      <c r="I404" s="102" t="str">
        <f t="shared" si="36"/>
        <v/>
      </c>
      <c r="J404" s="103" t="str">
        <f t="shared" si="37"/>
        <v/>
      </c>
      <c r="K404" s="152"/>
      <c r="L404" s="104" t="str">
        <f t="shared" si="38"/>
        <v/>
      </c>
      <c r="M404" s="105"/>
      <c r="N404" s="105"/>
      <c r="O404" s="100"/>
      <c r="P404" s="172" t="str">
        <f t="shared" si="39"/>
        <v/>
      </c>
      <c r="T404" s="18"/>
      <c r="U404" s="19"/>
      <c r="V404" s="19"/>
      <c r="W404" s="181"/>
      <c r="X404" s="192"/>
      <c r="Y404" s="192"/>
    </row>
    <row r="405" spans="1:29" ht="16.8">
      <c r="A405" s="2" t="str">
        <f>IF(M405="","",COUNTIFS($M$13:M405,M405,$G$13:G405,"&gt;0"))</f>
        <v/>
      </c>
      <c r="B405" s="98" t="str">
        <f>IF(ISBLANK(G405),"",SUBTOTAL(3,$G$13:G405))</f>
        <v/>
      </c>
      <c r="C405" s="106"/>
      <c r="D405" s="107"/>
      <c r="E405" s="100"/>
      <c r="F405" s="107"/>
      <c r="G405" s="108"/>
      <c r="H405" s="139"/>
      <c r="I405" s="102" t="str">
        <f t="shared" si="36"/>
        <v/>
      </c>
      <c r="J405" s="103" t="str">
        <f t="shared" si="37"/>
        <v/>
      </c>
      <c r="K405" s="152"/>
      <c r="L405" s="104" t="str">
        <f t="shared" si="38"/>
        <v/>
      </c>
      <c r="M405" s="105"/>
      <c r="N405" s="105"/>
      <c r="O405" s="100"/>
      <c r="P405" s="172" t="str">
        <f t="shared" si="39"/>
        <v/>
      </c>
      <c r="T405" s="18"/>
      <c r="U405" s="19"/>
      <c r="V405" s="19"/>
      <c r="W405" s="181"/>
      <c r="X405" s="192"/>
      <c r="Y405" s="192"/>
    </row>
    <row r="406" spans="1:29" ht="16.8">
      <c r="A406" s="2" t="str">
        <f>IF(M406="","",COUNTIFS($M$13:M406,M406,$G$13:G406,"&gt;0"))</f>
        <v/>
      </c>
      <c r="B406" s="98" t="str">
        <f>IF(ISBLANK(G406),"",SUBTOTAL(3,$G$13:G406))</f>
        <v/>
      </c>
      <c r="C406" s="106"/>
      <c r="D406" s="107"/>
      <c r="E406" s="100"/>
      <c r="F406" s="107"/>
      <c r="G406" s="108"/>
      <c r="H406" s="139"/>
      <c r="I406" s="102" t="str">
        <f t="shared" si="36"/>
        <v/>
      </c>
      <c r="J406" s="103" t="str">
        <f t="shared" si="37"/>
        <v/>
      </c>
      <c r="K406" s="152"/>
      <c r="L406" s="104" t="str">
        <f t="shared" si="38"/>
        <v/>
      </c>
      <c r="M406" s="105"/>
      <c r="N406" s="105"/>
      <c r="O406" s="100"/>
      <c r="P406" s="172" t="str">
        <f t="shared" si="39"/>
        <v/>
      </c>
      <c r="T406" s="18"/>
      <c r="U406" s="19"/>
      <c r="V406" s="19"/>
      <c r="W406" s="181"/>
      <c r="X406" s="192"/>
      <c r="Y406" s="192"/>
    </row>
    <row r="407" spans="1:29" ht="16.5" customHeight="1">
      <c r="B407" s="20"/>
      <c r="C407" s="21"/>
      <c r="D407" s="20"/>
      <c r="E407" s="20"/>
      <c r="F407" s="20"/>
      <c r="G407" s="6"/>
      <c r="H407" s="20"/>
      <c r="I407" s="3"/>
      <c r="J407" s="3"/>
      <c r="L407" s="6"/>
      <c r="M407" s="6"/>
      <c r="N407" s="141"/>
      <c r="O407" s="110"/>
    </row>
    <row r="408" spans="1:29" s="67" customFormat="1" ht="16.8">
      <c r="A408" s="22"/>
      <c r="B408" s="64" t="s">
        <v>47</v>
      </c>
      <c r="C408" s="64" t="s">
        <v>47</v>
      </c>
      <c r="D408" s="68" cm="1">
        <f t="array" ref="D408">SUMPRODUCT(1/COUNTIF(D13:D406,D13:D406&amp;"")*(D13:D406&lt;&gt;""))</f>
        <v>5.9999999999999982</v>
      </c>
      <c r="E408" s="68" cm="1">
        <f t="array" ref="E408">SUMPRODUCT(1/COUNTIF(E13:E406,E13:E406&amp;"")*(E13:E406&lt;&gt;""))</f>
        <v>28.000000000000043</v>
      </c>
      <c r="F408" s="97" cm="1">
        <f t="array" ref="F408">SUMPRODUCT(1/COUNTIF(F13:F406,F13:F406&amp;"")*(F13:F406&lt;&gt;""))</f>
        <v>20</v>
      </c>
      <c r="G408" s="97">
        <f>SUBTOTAL(9,G13:G407)</f>
        <v>3190</v>
      </c>
      <c r="H408" s="68" cm="1">
        <f t="array" ref="H408">SUMPRODUCT(1/COUNTIF(H13:H406,H13:H406&amp;"")*(H13:H406&lt;&gt;""))</f>
        <v>0</v>
      </c>
      <c r="I408" s="97">
        <f>SUBTOTAL(9,I13:I407)</f>
        <v>32.999999999999979</v>
      </c>
      <c r="J408" s="70">
        <f>SUBTOTAL(9,J13:J407)</f>
        <v>0</v>
      </c>
      <c r="K408" s="69">
        <f>IFERROR(SUBTOTAL(1,K13:K407),"")</f>
        <v>0.85136054421768803</v>
      </c>
      <c r="L408" s="70">
        <f>SUBTOTAL(9,L13:L407)</f>
        <v>3874.2867349368908</v>
      </c>
      <c r="M408" s="70" cm="1">
        <f t="array" ref="M408">SUMPRODUCT(1/COUNTIF(M13:M406,M13:M406&amp;"")*(M13:M406&lt;&gt;""))</f>
        <v>19.999999999999989</v>
      </c>
      <c r="N408" s="70">
        <f>SUBTOTAL(9,N13:N407)</f>
        <v>0</v>
      </c>
      <c r="O408" s="64" t="s">
        <v>47</v>
      </c>
      <c r="P408" s="175"/>
      <c r="Q408" s="65"/>
      <c r="R408" s="65"/>
      <c r="S408" s="65"/>
      <c r="T408" s="66"/>
      <c r="W408" s="179"/>
      <c r="X408" s="187"/>
      <c r="Y408" s="187"/>
    </row>
    <row r="409" spans="1:29" s="133" customFormat="1" ht="16.8">
      <c r="A409" s="125"/>
      <c r="B409" s="132"/>
      <c r="C409" s="132"/>
      <c r="D409" s="132"/>
      <c r="E409" s="132"/>
      <c r="F409" s="132"/>
      <c r="G409" s="132"/>
      <c r="L409" s="204">
        <f ca="1">TODAY()</f>
        <v>46262</v>
      </c>
      <c r="M409" s="204"/>
      <c r="N409" s="204"/>
      <c r="O409" s="204"/>
      <c r="P409" s="176"/>
      <c r="Q409" s="3"/>
      <c r="R409" s="3"/>
      <c r="S409" s="3"/>
      <c r="T409" s="19"/>
      <c r="W409" s="176"/>
      <c r="X409" s="188"/>
      <c r="Y409" s="188"/>
    </row>
    <row r="410" spans="1:29" s="111" customFormat="1" ht="16.8">
      <c r="A410" s="116"/>
      <c r="C410" s="114"/>
      <c r="D410" s="193" t="s">
        <v>40</v>
      </c>
      <c r="E410" s="193"/>
      <c r="F410" s="115"/>
      <c r="G410" s="118"/>
      <c r="H410" s="202" t="s">
        <v>41</v>
      </c>
      <c r="I410" s="202"/>
      <c r="J410" s="202"/>
      <c r="L410" s="202" t="s">
        <v>42</v>
      </c>
      <c r="M410" s="202"/>
      <c r="N410" s="202"/>
      <c r="O410" s="202"/>
      <c r="P410" s="177"/>
      <c r="Q410" s="110"/>
      <c r="R410" s="110"/>
      <c r="S410" s="110"/>
      <c r="T410" s="117"/>
      <c r="W410" s="177"/>
      <c r="X410" s="189"/>
      <c r="Y410" s="189"/>
    </row>
    <row r="411" spans="1:29" s="111" customFormat="1" ht="16.8">
      <c r="A411" s="116"/>
      <c r="C411" s="114"/>
      <c r="D411" s="116"/>
      <c r="E411" s="114"/>
      <c r="F411" s="114"/>
      <c r="G411" s="115"/>
      <c r="H411" s="114"/>
      <c r="O411" s="110"/>
      <c r="P411" s="177"/>
      <c r="Q411" s="110"/>
      <c r="R411" s="110"/>
      <c r="S411" s="110"/>
      <c r="T411" s="117"/>
      <c r="W411" s="177"/>
      <c r="X411" s="189"/>
      <c r="Y411" s="189"/>
    </row>
    <row r="412" spans="1:29" s="111" customFormat="1" ht="16.8">
      <c r="A412" s="115"/>
      <c r="C412" s="114"/>
      <c r="D412" s="115"/>
      <c r="E412" s="114"/>
      <c r="F412" s="114"/>
      <c r="G412" s="116"/>
      <c r="H412" s="114"/>
      <c r="O412" s="110"/>
      <c r="P412" s="177"/>
      <c r="Q412" s="110"/>
      <c r="R412" s="110"/>
      <c r="S412" s="110"/>
      <c r="T412" s="117"/>
      <c r="W412" s="177"/>
      <c r="X412" s="189"/>
      <c r="Y412" s="189"/>
    </row>
    <row r="413" spans="1:29" s="111" customFormat="1" ht="16.8">
      <c r="A413" s="116"/>
      <c r="C413" s="113"/>
      <c r="D413" s="193"/>
      <c r="E413" s="193"/>
      <c r="F413" s="115"/>
      <c r="G413" s="119"/>
      <c r="H413" s="203"/>
      <c r="I413" s="203"/>
      <c r="J413" s="203"/>
      <c r="L413" s="193"/>
      <c r="M413" s="193"/>
      <c r="N413" s="193"/>
      <c r="O413" s="193"/>
      <c r="P413" s="177"/>
      <c r="Q413" s="110"/>
      <c r="R413" s="110"/>
      <c r="S413" s="110"/>
      <c r="T413" s="117"/>
      <c r="W413" s="177"/>
      <c r="X413" s="189"/>
      <c r="Y413" s="189"/>
    </row>
    <row r="414" spans="1:29" s="111" customFormat="1">
      <c r="O414" s="110"/>
      <c r="P414" s="177"/>
      <c r="Q414" s="110"/>
      <c r="R414" s="110"/>
      <c r="S414" s="110"/>
      <c r="T414" s="117"/>
      <c r="W414" s="177"/>
      <c r="X414" s="189"/>
      <c r="Y414" s="189"/>
    </row>
    <row r="415" spans="1:29"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0"/>
      <c r="P415" s="177"/>
      <c r="Q415" s="110"/>
      <c r="R415" s="110"/>
      <c r="S415" s="110"/>
      <c r="T415" s="117"/>
      <c r="U415" s="111"/>
      <c r="V415" s="111"/>
      <c r="W415" s="177"/>
      <c r="X415" s="189"/>
      <c r="Y415" s="189"/>
      <c r="Z415" s="111"/>
      <c r="AA415" s="111"/>
      <c r="AB415" s="111"/>
      <c r="AC415" s="111"/>
    </row>
    <row r="416" spans="1:29"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0"/>
      <c r="P416" s="177"/>
      <c r="Q416" s="110"/>
      <c r="R416" s="110"/>
      <c r="S416" s="110"/>
      <c r="T416" s="117"/>
      <c r="U416" s="111"/>
      <c r="V416" s="111"/>
      <c r="W416" s="177"/>
      <c r="X416" s="189"/>
      <c r="Y416" s="189"/>
      <c r="Z416" s="111"/>
      <c r="AA416" s="111"/>
      <c r="AB416" s="111"/>
      <c r="AC416" s="111"/>
    </row>
    <row r="417" spans="2:29"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0"/>
      <c r="P417" s="177"/>
      <c r="Q417" s="110"/>
      <c r="R417" s="110"/>
      <c r="S417" s="110"/>
      <c r="T417" s="117"/>
      <c r="U417" s="111"/>
      <c r="V417" s="111"/>
      <c r="W417" s="177"/>
      <c r="X417" s="189"/>
      <c r="Y417" s="189"/>
      <c r="Z417" s="111"/>
      <c r="AA417" s="111"/>
      <c r="AB417" s="111"/>
      <c r="AC417" s="111"/>
    </row>
    <row r="418" spans="2:29"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0"/>
      <c r="P418" s="177"/>
      <c r="Q418" s="110"/>
      <c r="R418" s="110"/>
      <c r="S418" s="110"/>
      <c r="T418" s="117"/>
      <c r="U418" s="111"/>
      <c r="V418" s="111"/>
      <c r="W418" s="177"/>
      <c r="X418" s="189"/>
      <c r="Y418" s="189"/>
      <c r="Z418" s="111"/>
      <c r="AA418" s="111"/>
      <c r="AB418" s="111"/>
      <c r="AC418" s="111"/>
    </row>
    <row r="419" spans="2:29"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0"/>
      <c r="P419" s="177"/>
      <c r="Q419" s="110"/>
      <c r="R419" s="110"/>
      <c r="S419" s="110"/>
      <c r="T419" s="117"/>
      <c r="U419" s="111"/>
      <c r="V419" s="111"/>
      <c r="W419" s="177"/>
      <c r="X419" s="189"/>
      <c r="Y419" s="189"/>
      <c r="Z419" s="111"/>
      <c r="AA419" s="111"/>
      <c r="AB419" s="111"/>
      <c r="AC419" s="111"/>
    </row>
    <row r="420" spans="2:29"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0"/>
      <c r="P420" s="177"/>
      <c r="Q420" s="110"/>
      <c r="R420" s="110"/>
      <c r="S420" s="110"/>
      <c r="T420" s="117"/>
      <c r="U420" s="111"/>
      <c r="V420" s="111"/>
      <c r="W420" s="177"/>
      <c r="X420" s="189"/>
      <c r="Y420" s="189"/>
      <c r="Z420" s="111"/>
      <c r="AA420" s="111"/>
      <c r="AB420" s="111"/>
      <c r="AC420" s="111"/>
    </row>
    <row r="421" spans="2:29"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0"/>
      <c r="P421" s="177"/>
      <c r="Q421" s="110"/>
      <c r="R421" s="110"/>
      <c r="S421" s="110"/>
      <c r="T421" s="117"/>
      <c r="U421" s="111"/>
      <c r="V421" s="111"/>
      <c r="W421" s="177"/>
      <c r="X421" s="189"/>
      <c r="Y421" s="189"/>
      <c r="Z421" s="111"/>
      <c r="AA421" s="111"/>
      <c r="AB421" s="111"/>
      <c r="AC421" s="111"/>
    </row>
    <row r="422" spans="2:29"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0"/>
      <c r="P422" s="177"/>
      <c r="Q422" s="110"/>
      <c r="R422" s="110"/>
      <c r="S422" s="110"/>
      <c r="T422" s="117"/>
      <c r="U422" s="111"/>
      <c r="V422" s="111"/>
      <c r="W422" s="177"/>
      <c r="X422" s="189"/>
      <c r="Y422" s="189"/>
      <c r="Z422" s="111"/>
      <c r="AA422" s="111"/>
      <c r="AB422" s="111"/>
      <c r="AC422" s="111"/>
    </row>
    <row r="423" spans="2:29"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0"/>
      <c r="P423" s="177"/>
      <c r="Q423" s="110"/>
      <c r="R423" s="110"/>
      <c r="S423" s="110"/>
      <c r="T423" s="117"/>
      <c r="U423" s="111"/>
      <c r="V423" s="111"/>
      <c r="W423" s="177"/>
      <c r="X423" s="189"/>
      <c r="Y423" s="189"/>
      <c r="Z423" s="111"/>
      <c r="AA423" s="111"/>
      <c r="AB423" s="111"/>
      <c r="AC423" s="111"/>
    </row>
    <row r="424" spans="2:29"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0"/>
      <c r="P424" s="177"/>
      <c r="Q424" s="110"/>
      <c r="R424" s="110"/>
      <c r="S424" s="110"/>
      <c r="T424" s="117"/>
      <c r="U424" s="111"/>
      <c r="V424" s="111"/>
      <c r="W424" s="177"/>
      <c r="X424" s="189"/>
      <c r="Y424" s="189"/>
      <c r="Z424" s="111"/>
      <c r="AA424" s="111"/>
      <c r="AB424" s="111"/>
      <c r="AC424" s="111"/>
    </row>
    <row r="425" spans="2:29"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0"/>
      <c r="P425" s="177"/>
      <c r="Q425" s="110"/>
      <c r="R425" s="110"/>
      <c r="S425" s="110"/>
      <c r="T425" s="117"/>
      <c r="U425" s="111"/>
      <c r="V425" s="111"/>
      <c r="W425" s="177"/>
      <c r="X425" s="189"/>
      <c r="Y425" s="189"/>
      <c r="Z425" s="111"/>
      <c r="AA425" s="111"/>
      <c r="AB425" s="111"/>
      <c r="AC425" s="111"/>
    </row>
    <row r="426" spans="2:29"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0"/>
      <c r="P426" s="177"/>
      <c r="Q426" s="110"/>
      <c r="R426" s="110"/>
      <c r="S426" s="110"/>
      <c r="T426" s="117"/>
      <c r="U426" s="111"/>
      <c r="V426" s="111"/>
      <c r="W426" s="177"/>
      <c r="X426" s="189"/>
      <c r="Y426" s="189"/>
      <c r="Z426" s="111"/>
      <c r="AA426" s="111"/>
      <c r="AB426" s="111"/>
      <c r="AC426" s="111"/>
    </row>
    <row r="427" spans="2:29"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0"/>
      <c r="P427" s="177"/>
      <c r="Q427" s="110"/>
      <c r="R427" s="110"/>
      <c r="S427" s="110"/>
      <c r="T427" s="117"/>
      <c r="U427" s="111"/>
      <c r="V427" s="111"/>
      <c r="W427" s="177"/>
      <c r="X427" s="189"/>
      <c r="Y427" s="189"/>
      <c r="Z427" s="111"/>
      <c r="AA427" s="111"/>
      <c r="AB427" s="111"/>
      <c r="AC427" s="111"/>
    </row>
    <row r="428" spans="2:29"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0"/>
      <c r="P428" s="177"/>
      <c r="Q428" s="110"/>
      <c r="R428" s="110"/>
      <c r="S428" s="110"/>
      <c r="T428" s="117"/>
      <c r="U428" s="111"/>
      <c r="V428" s="111"/>
      <c r="W428" s="177"/>
      <c r="X428" s="189"/>
      <c r="Y428" s="189"/>
      <c r="Z428" s="111"/>
      <c r="AA428" s="111"/>
      <c r="AB428" s="111"/>
      <c r="AC428" s="111"/>
    </row>
    <row r="429" spans="2:29"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0"/>
      <c r="P429" s="177"/>
      <c r="Q429" s="110"/>
      <c r="R429" s="110"/>
      <c r="S429" s="110"/>
      <c r="T429" s="117"/>
      <c r="U429" s="111"/>
      <c r="V429" s="111"/>
      <c r="W429" s="177"/>
      <c r="X429" s="189"/>
      <c r="Y429" s="189"/>
      <c r="Z429" s="111"/>
      <c r="AA429" s="111"/>
      <c r="AB429" s="111"/>
      <c r="AC429" s="111"/>
    </row>
    <row r="430" spans="2:29"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0"/>
      <c r="P430" s="177"/>
      <c r="Q430" s="110"/>
      <c r="R430" s="110"/>
      <c r="S430" s="110"/>
      <c r="T430" s="117"/>
      <c r="U430" s="111"/>
      <c r="V430" s="111"/>
      <c r="W430" s="177"/>
      <c r="X430" s="189"/>
      <c r="Y430" s="189"/>
      <c r="Z430" s="111"/>
      <c r="AA430" s="111"/>
      <c r="AB430" s="111"/>
      <c r="AC430" s="111"/>
    </row>
    <row r="431" spans="2:29"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0"/>
      <c r="P431" s="177"/>
      <c r="Q431" s="110"/>
      <c r="R431" s="110"/>
      <c r="S431" s="110"/>
      <c r="T431" s="117"/>
      <c r="U431" s="111"/>
      <c r="V431" s="111"/>
      <c r="W431" s="177"/>
      <c r="X431" s="189"/>
      <c r="Y431" s="189"/>
      <c r="Z431" s="111"/>
      <c r="AA431" s="111"/>
      <c r="AB431" s="111"/>
      <c r="AC431" s="111"/>
    </row>
    <row r="432" spans="2:29"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0"/>
      <c r="P432" s="177"/>
      <c r="Q432" s="110"/>
      <c r="R432" s="110"/>
      <c r="S432" s="110"/>
      <c r="T432" s="117"/>
      <c r="U432" s="111"/>
      <c r="V432" s="111"/>
      <c r="W432" s="177"/>
      <c r="X432" s="189"/>
      <c r="Y432" s="189"/>
      <c r="Z432" s="111"/>
      <c r="AA432" s="111"/>
      <c r="AB432" s="111"/>
      <c r="AC432" s="111"/>
    </row>
    <row r="433" spans="2:29"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0"/>
      <c r="P433" s="177"/>
      <c r="Q433" s="110"/>
      <c r="R433" s="110"/>
      <c r="S433" s="110"/>
      <c r="T433" s="117"/>
      <c r="U433" s="111"/>
      <c r="V433" s="111"/>
      <c r="W433" s="177"/>
      <c r="X433" s="189"/>
      <c r="Y433" s="189"/>
      <c r="Z433" s="111"/>
      <c r="AA433" s="111"/>
      <c r="AB433" s="111"/>
      <c r="AC433" s="111"/>
    </row>
    <row r="434" spans="2:29"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0"/>
      <c r="P434" s="177"/>
      <c r="Q434" s="110"/>
      <c r="R434" s="110"/>
      <c r="S434" s="110"/>
      <c r="T434" s="117"/>
      <c r="U434" s="111"/>
      <c r="V434" s="111"/>
      <c r="W434" s="177"/>
      <c r="X434" s="189"/>
      <c r="Y434" s="189"/>
      <c r="Z434" s="111"/>
      <c r="AA434" s="111"/>
      <c r="AB434" s="111"/>
      <c r="AC434" s="111"/>
    </row>
    <row r="435" spans="2:29"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0"/>
      <c r="P435" s="177"/>
      <c r="Q435" s="110"/>
      <c r="R435" s="110"/>
      <c r="S435" s="110"/>
      <c r="T435" s="117"/>
      <c r="U435" s="111"/>
      <c r="V435" s="111"/>
      <c r="W435" s="177"/>
      <c r="X435" s="189"/>
      <c r="Y435" s="189"/>
      <c r="Z435" s="111"/>
      <c r="AA435" s="111"/>
      <c r="AB435" s="111"/>
      <c r="AC435" s="111"/>
    </row>
    <row r="436" spans="2:29"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0"/>
      <c r="P436" s="177"/>
      <c r="Q436" s="110"/>
      <c r="R436" s="110"/>
      <c r="S436" s="110"/>
      <c r="T436" s="117"/>
      <c r="U436" s="111"/>
      <c r="V436" s="111"/>
      <c r="W436" s="177"/>
      <c r="X436" s="189"/>
      <c r="Y436" s="189"/>
      <c r="Z436" s="111"/>
      <c r="AA436" s="111"/>
      <c r="AB436" s="111"/>
      <c r="AC436" s="111"/>
    </row>
    <row r="437" spans="2:29"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0"/>
      <c r="P437" s="177"/>
      <c r="Q437" s="110"/>
      <c r="R437" s="110"/>
      <c r="S437" s="110"/>
      <c r="T437" s="117"/>
      <c r="U437" s="111"/>
      <c r="V437" s="111"/>
      <c r="W437" s="177"/>
      <c r="X437" s="189"/>
      <c r="Y437" s="189"/>
      <c r="Z437" s="111"/>
      <c r="AA437" s="111"/>
      <c r="AB437" s="111"/>
      <c r="AC437" s="111"/>
    </row>
    <row r="438" spans="2:29"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0"/>
      <c r="P438" s="177"/>
      <c r="Q438" s="110"/>
      <c r="R438" s="110"/>
      <c r="S438" s="110"/>
      <c r="T438" s="117"/>
      <c r="U438" s="111"/>
      <c r="V438" s="111"/>
      <c r="W438" s="177"/>
      <c r="X438" s="189"/>
      <c r="Y438" s="189"/>
      <c r="Z438" s="111"/>
      <c r="AA438" s="111"/>
      <c r="AB438" s="111"/>
      <c r="AC438" s="111"/>
    </row>
    <row r="439" spans="2:29"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0"/>
      <c r="P439" s="177"/>
      <c r="Q439" s="110"/>
      <c r="R439" s="110"/>
      <c r="S439" s="110"/>
      <c r="T439" s="117"/>
      <c r="U439" s="111"/>
      <c r="V439" s="111"/>
      <c r="W439" s="177"/>
      <c r="X439" s="189"/>
      <c r="Y439" s="189"/>
      <c r="Z439" s="111"/>
      <c r="AA439" s="111"/>
      <c r="AB439" s="111"/>
      <c r="AC439" s="111"/>
    </row>
    <row r="440" spans="2:29"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0"/>
      <c r="P440" s="177"/>
      <c r="Q440" s="110"/>
      <c r="R440" s="110"/>
      <c r="S440" s="110"/>
      <c r="T440" s="117"/>
      <c r="U440" s="111"/>
      <c r="V440" s="111"/>
      <c r="W440" s="177"/>
      <c r="X440" s="189"/>
      <c r="Y440" s="189"/>
      <c r="Z440" s="111"/>
      <c r="AA440" s="111"/>
      <c r="AB440" s="111"/>
      <c r="AC440" s="111"/>
    </row>
    <row r="441" spans="2:29"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0"/>
      <c r="P441" s="177"/>
      <c r="Q441" s="110"/>
      <c r="R441" s="110"/>
      <c r="S441" s="110"/>
      <c r="T441" s="117"/>
      <c r="U441" s="111"/>
      <c r="V441" s="111"/>
      <c r="W441" s="177"/>
      <c r="X441" s="189"/>
      <c r="Y441" s="189"/>
      <c r="Z441" s="111"/>
      <c r="AA441" s="111"/>
      <c r="AB441" s="111"/>
      <c r="AC441" s="111"/>
    </row>
    <row r="442" spans="2:29"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0"/>
      <c r="P442" s="177"/>
      <c r="Q442" s="110"/>
      <c r="R442" s="110"/>
      <c r="S442" s="110"/>
      <c r="T442" s="117"/>
      <c r="U442" s="111"/>
      <c r="V442" s="111"/>
      <c r="W442" s="177"/>
      <c r="X442" s="189"/>
      <c r="Y442" s="189"/>
      <c r="Z442" s="111"/>
      <c r="AA442" s="111"/>
      <c r="AB442" s="111"/>
      <c r="AC442" s="111"/>
    </row>
    <row r="443" spans="2:29"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0"/>
      <c r="P443" s="177"/>
      <c r="Q443" s="110"/>
      <c r="R443" s="110"/>
      <c r="S443" s="110"/>
      <c r="T443" s="117"/>
      <c r="U443" s="111"/>
      <c r="V443" s="111"/>
      <c r="W443" s="177"/>
      <c r="X443" s="189"/>
      <c r="Y443" s="189"/>
      <c r="Z443" s="111"/>
      <c r="AA443" s="111"/>
      <c r="AB443" s="111"/>
      <c r="AC443" s="111"/>
    </row>
    <row r="444" spans="2:29"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0"/>
      <c r="P444" s="177"/>
      <c r="Q444" s="110"/>
      <c r="R444" s="110"/>
      <c r="S444" s="110"/>
      <c r="T444" s="117"/>
      <c r="U444" s="111"/>
      <c r="V444" s="111"/>
      <c r="W444" s="177"/>
      <c r="X444" s="189"/>
      <c r="Y444" s="189"/>
      <c r="Z444" s="111"/>
      <c r="AA444" s="111"/>
      <c r="AB444" s="111"/>
      <c r="AC444" s="111"/>
    </row>
    <row r="445" spans="2:29"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0"/>
      <c r="P445" s="177"/>
      <c r="Q445" s="110"/>
      <c r="R445" s="110"/>
      <c r="S445" s="110"/>
      <c r="T445" s="117"/>
      <c r="U445" s="111"/>
      <c r="V445" s="111"/>
      <c r="W445" s="177"/>
      <c r="X445" s="189"/>
      <c r="Y445" s="189"/>
      <c r="Z445" s="111"/>
      <c r="AA445" s="111"/>
      <c r="AB445" s="111"/>
      <c r="AC445" s="111"/>
    </row>
    <row r="446" spans="2:29"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0"/>
      <c r="P446" s="177"/>
      <c r="Q446" s="110"/>
      <c r="R446" s="110"/>
      <c r="S446" s="110"/>
      <c r="T446" s="117"/>
      <c r="U446" s="111"/>
      <c r="V446" s="111"/>
      <c r="W446" s="177"/>
      <c r="X446" s="189"/>
      <c r="Y446" s="189"/>
      <c r="Z446" s="111"/>
      <c r="AA446" s="111"/>
      <c r="AB446" s="111"/>
      <c r="AC446" s="111"/>
    </row>
    <row r="447" spans="2:29"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0"/>
      <c r="P447" s="177"/>
      <c r="Q447" s="110"/>
      <c r="R447" s="110"/>
      <c r="S447" s="110"/>
      <c r="T447" s="117"/>
      <c r="U447" s="111"/>
      <c r="V447" s="111"/>
      <c r="W447" s="177"/>
      <c r="X447" s="189"/>
      <c r="Y447" s="189"/>
      <c r="Z447" s="111"/>
      <c r="AA447" s="111"/>
      <c r="AB447" s="111"/>
      <c r="AC447" s="111"/>
    </row>
    <row r="448" spans="2:29"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0"/>
      <c r="P448" s="177"/>
      <c r="Q448" s="110"/>
      <c r="R448" s="110"/>
      <c r="S448" s="110"/>
      <c r="T448" s="117"/>
      <c r="U448" s="111"/>
      <c r="V448" s="111"/>
      <c r="W448" s="177"/>
      <c r="X448" s="189"/>
      <c r="Y448" s="189"/>
      <c r="Z448" s="111"/>
      <c r="AA448" s="111"/>
      <c r="AB448" s="111"/>
      <c r="AC448" s="111"/>
    </row>
    <row r="449" spans="2:29"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0"/>
      <c r="P449" s="177"/>
      <c r="Q449" s="110"/>
      <c r="R449" s="110"/>
      <c r="S449" s="110"/>
      <c r="T449" s="117"/>
      <c r="U449" s="111"/>
      <c r="V449" s="111"/>
      <c r="W449" s="177"/>
      <c r="X449" s="189"/>
      <c r="Y449" s="189"/>
      <c r="Z449" s="111"/>
      <c r="AA449" s="111"/>
      <c r="AB449" s="111"/>
      <c r="AC449" s="111"/>
    </row>
    <row r="450" spans="2:29"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0"/>
      <c r="P450" s="177"/>
      <c r="Q450" s="110"/>
      <c r="R450" s="110"/>
      <c r="S450" s="110"/>
      <c r="T450" s="117"/>
      <c r="U450" s="111"/>
      <c r="V450" s="111"/>
      <c r="W450" s="177"/>
      <c r="X450" s="189"/>
      <c r="Y450" s="189"/>
      <c r="Z450" s="111"/>
      <c r="AA450" s="111"/>
      <c r="AB450" s="111"/>
      <c r="AC450" s="111"/>
    </row>
    <row r="451" spans="2:29"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0"/>
      <c r="P451" s="177"/>
      <c r="Q451" s="110"/>
      <c r="R451" s="110"/>
      <c r="S451" s="110"/>
      <c r="T451" s="117"/>
      <c r="U451" s="111"/>
      <c r="V451" s="111"/>
      <c r="W451" s="177"/>
      <c r="X451" s="189"/>
      <c r="Y451" s="189"/>
      <c r="Z451" s="111"/>
      <c r="AA451" s="111"/>
      <c r="AB451" s="111"/>
      <c r="AC451" s="111"/>
    </row>
    <row r="452" spans="2:29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0"/>
      <c r="P452" s="177"/>
      <c r="Q452" s="110"/>
      <c r="R452" s="110"/>
      <c r="S452" s="110"/>
      <c r="T452" s="117"/>
      <c r="U452" s="111"/>
      <c r="V452" s="111"/>
      <c r="W452" s="177"/>
      <c r="X452" s="189"/>
      <c r="Y452" s="189"/>
      <c r="Z452" s="111"/>
      <c r="AA452" s="111"/>
      <c r="AB452" s="111"/>
      <c r="AC452" s="111"/>
    </row>
    <row r="453" spans="2:29"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0"/>
      <c r="P453" s="177"/>
      <c r="Q453" s="110"/>
      <c r="R453" s="110"/>
      <c r="S453" s="110"/>
      <c r="T453" s="117"/>
      <c r="U453" s="111"/>
      <c r="V453" s="111"/>
      <c r="W453" s="177"/>
      <c r="X453" s="189"/>
      <c r="Y453" s="189"/>
      <c r="Z453" s="111"/>
      <c r="AA453" s="111"/>
      <c r="AB453" s="111"/>
      <c r="AC453" s="111"/>
    </row>
    <row r="454" spans="2:29"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0"/>
      <c r="P454" s="177"/>
      <c r="Q454" s="110"/>
      <c r="R454" s="110"/>
      <c r="S454" s="110"/>
      <c r="T454" s="117"/>
      <c r="U454" s="111"/>
      <c r="V454" s="111"/>
      <c r="W454" s="177"/>
      <c r="X454" s="189"/>
      <c r="Y454" s="189"/>
      <c r="Z454" s="111"/>
      <c r="AA454" s="111"/>
      <c r="AB454" s="111"/>
      <c r="AC454" s="111"/>
    </row>
    <row r="455" spans="2:29"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0"/>
      <c r="P455" s="177"/>
      <c r="Q455" s="110"/>
      <c r="R455" s="110"/>
      <c r="S455" s="110"/>
      <c r="T455" s="117"/>
      <c r="U455" s="111"/>
      <c r="V455" s="111"/>
      <c r="W455" s="177"/>
      <c r="X455" s="189"/>
      <c r="Y455" s="189"/>
      <c r="Z455" s="111"/>
      <c r="AA455" s="111"/>
      <c r="AB455" s="111"/>
      <c r="AC455" s="111"/>
    </row>
    <row r="456" spans="2:29"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0"/>
      <c r="P456" s="177"/>
      <c r="Q456" s="110"/>
      <c r="R456" s="110"/>
      <c r="S456" s="110"/>
      <c r="T456" s="117"/>
      <c r="U456" s="111"/>
      <c r="V456" s="111"/>
      <c r="W456" s="177"/>
      <c r="X456" s="189"/>
      <c r="Y456" s="189"/>
      <c r="Z456" s="111"/>
      <c r="AA456" s="111"/>
      <c r="AB456" s="111"/>
      <c r="AC456" s="111"/>
    </row>
    <row r="457" spans="2:29"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0"/>
      <c r="P457" s="177"/>
      <c r="Q457" s="110"/>
      <c r="R457" s="110"/>
      <c r="S457" s="110"/>
      <c r="T457" s="117"/>
      <c r="U457" s="111"/>
      <c r="V457" s="111"/>
      <c r="W457" s="177"/>
      <c r="X457" s="189"/>
      <c r="Y457" s="189"/>
      <c r="Z457" s="111"/>
      <c r="AA457" s="111"/>
      <c r="AB457" s="111"/>
      <c r="AC457" s="111"/>
    </row>
    <row r="458" spans="2:29"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0"/>
      <c r="P458" s="177"/>
      <c r="Q458" s="110"/>
      <c r="R458" s="110"/>
      <c r="S458" s="110"/>
      <c r="T458" s="117"/>
      <c r="U458" s="111"/>
      <c r="V458" s="111"/>
      <c r="W458" s="177"/>
      <c r="X458" s="189"/>
      <c r="Y458" s="189"/>
      <c r="Z458" s="111"/>
      <c r="AA458" s="111"/>
      <c r="AB458" s="111"/>
      <c r="AC458" s="111"/>
    </row>
    <row r="459" spans="2:29"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0"/>
      <c r="P459" s="177"/>
      <c r="Q459" s="110"/>
      <c r="R459" s="110"/>
      <c r="S459" s="110"/>
      <c r="T459" s="117"/>
      <c r="U459" s="111"/>
      <c r="V459" s="111"/>
      <c r="W459" s="177"/>
      <c r="X459" s="189"/>
      <c r="Y459" s="189"/>
      <c r="Z459" s="111"/>
      <c r="AA459" s="111"/>
      <c r="AB459" s="111"/>
      <c r="AC459" s="111"/>
    </row>
    <row r="460" spans="2:29"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0"/>
      <c r="P460" s="177"/>
      <c r="Q460" s="110"/>
      <c r="R460" s="110"/>
      <c r="S460" s="110"/>
      <c r="T460" s="117"/>
      <c r="U460" s="111"/>
      <c r="V460" s="111"/>
      <c r="W460" s="177"/>
      <c r="X460" s="189"/>
      <c r="Y460" s="189"/>
      <c r="Z460" s="111"/>
      <c r="AA460" s="111"/>
      <c r="AB460" s="111"/>
      <c r="AC460" s="111"/>
    </row>
    <row r="461" spans="2:29"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0"/>
      <c r="P461" s="177"/>
      <c r="Q461" s="110"/>
      <c r="R461" s="110"/>
      <c r="S461" s="110"/>
      <c r="T461" s="117"/>
      <c r="U461" s="111"/>
      <c r="V461" s="111"/>
      <c r="W461" s="177"/>
      <c r="X461" s="189"/>
      <c r="Y461" s="189"/>
      <c r="Z461" s="111"/>
      <c r="AA461" s="111"/>
      <c r="AB461" s="111"/>
      <c r="AC461" s="111"/>
    </row>
    <row r="462" spans="2:29"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0"/>
      <c r="P462" s="177"/>
      <c r="Q462" s="110"/>
      <c r="R462" s="110"/>
      <c r="S462" s="110"/>
      <c r="T462" s="117"/>
      <c r="U462" s="111"/>
      <c r="V462" s="111"/>
      <c r="W462" s="177"/>
      <c r="X462" s="189"/>
      <c r="Y462" s="189"/>
      <c r="Z462" s="111"/>
      <c r="AA462" s="111"/>
      <c r="AB462" s="111"/>
      <c r="AC462" s="111"/>
    </row>
    <row r="463" spans="2:29"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0"/>
      <c r="P463" s="177"/>
      <c r="Q463" s="110"/>
      <c r="R463" s="110"/>
      <c r="S463" s="110"/>
      <c r="T463" s="117"/>
      <c r="U463" s="111"/>
      <c r="V463" s="111"/>
      <c r="W463" s="177"/>
      <c r="X463" s="189"/>
      <c r="Y463" s="189"/>
      <c r="Z463" s="111"/>
      <c r="AA463" s="111"/>
      <c r="AB463" s="111"/>
      <c r="AC463" s="111"/>
    </row>
    <row r="464" spans="2:29"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0"/>
      <c r="P464" s="177"/>
      <c r="Q464" s="110"/>
      <c r="R464" s="110"/>
      <c r="S464" s="110"/>
      <c r="T464" s="117"/>
      <c r="U464" s="111"/>
      <c r="V464" s="111"/>
      <c r="W464" s="177"/>
      <c r="X464" s="189"/>
      <c r="Y464" s="189"/>
      <c r="Z464" s="111"/>
      <c r="AA464" s="111"/>
      <c r="AB464" s="111"/>
      <c r="AC464" s="111"/>
    </row>
    <row r="465" spans="2:29"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0"/>
      <c r="P465" s="177"/>
      <c r="Q465" s="110"/>
      <c r="R465" s="110"/>
      <c r="S465" s="110"/>
      <c r="T465" s="117"/>
      <c r="U465" s="111"/>
      <c r="V465" s="111"/>
      <c r="W465" s="177"/>
      <c r="X465" s="189"/>
      <c r="Y465" s="189"/>
      <c r="Z465" s="111"/>
      <c r="AA465" s="111"/>
      <c r="AB465" s="111"/>
      <c r="AC465" s="111"/>
    </row>
    <row r="466" spans="2:29"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0"/>
      <c r="P466" s="177"/>
      <c r="Q466" s="110"/>
      <c r="R466" s="110"/>
      <c r="S466" s="110"/>
      <c r="T466" s="117"/>
      <c r="U466" s="111"/>
      <c r="V466" s="111"/>
      <c r="W466" s="177"/>
      <c r="X466" s="189"/>
      <c r="Y466" s="189"/>
      <c r="Z466" s="111"/>
      <c r="AA466" s="111"/>
      <c r="AB466" s="111"/>
      <c r="AC466" s="111"/>
    </row>
    <row r="467" spans="2:29"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0"/>
      <c r="P467" s="177"/>
      <c r="Q467" s="110"/>
      <c r="R467" s="110"/>
      <c r="S467" s="110"/>
      <c r="T467" s="117"/>
      <c r="U467" s="111"/>
      <c r="V467" s="111"/>
      <c r="W467" s="177"/>
      <c r="X467" s="189"/>
      <c r="Y467" s="189"/>
      <c r="Z467" s="111"/>
      <c r="AA467" s="111"/>
      <c r="AB467" s="111"/>
      <c r="AC467" s="111"/>
    </row>
    <row r="468" spans="2:29"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0"/>
      <c r="P468" s="177"/>
      <c r="Q468" s="110"/>
      <c r="R468" s="110"/>
      <c r="S468" s="110"/>
      <c r="T468" s="117"/>
      <c r="U468" s="111"/>
      <c r="V468" s="111"/>
      <c r="W468" s="177"/>
      <c r="X468" s="189"/>
      <c r="Y468" s="189"/>
      <c r="Z468" s="111"/>
      <c r="AA468" s="111"/>
      <c r="AB468" s="111"/>
      <c r="AC468" s="111"/>
    </row>
    <row r="469" spans="2:29">
      <c r="T469" s="19"/>
    </row>
    <row r="470" spans="2:29">
      <c r="T470" s="19"/>
    </row>
    <row r="471" spans="2:29">
      <c r="T471" s="19"/>
    </row>
    <row r="472" spans="2:29">
      <c r="T472" s="19"/>
    </row>
    <row r="473" spans="2:29">
      <c r="T473" s="19"/>
    </row>
    <row r="474" spans="2:29">
      <c r="T474" s="19"/>
    </row>
    <row r="475" spans="2:29">
      <c r="T475" s="19"/>
    </row>
    <row r="476" spans="2:29">
      <c r="T476" s="19"/>
    </row>
    <row r="477" spans="2:29">
      <c r="T477" s="19"/>
    </row>
    <row r="478" spans="2:29">
      <c r="T478" s="19"/>
    </row>
    <row r="479" spans="2:29">
      <c r="T479" s="19"/>
    </row>
    <row r="480" spans="2:29">
      <c r="T480" s="19"/>
    </row>
    <row r="481" spans="20:20">
      <c r="T481" s="19"/>
    </row>
    <row r="482" spans="20:20">
      <c r="T482" s="19"/>
    </row>
    <row r="483" spans="20:20">
      <c r="T483" s="19"/>
    </row>
    <row r="484" spans="20:20">
      <c r="T484" s="19"/>
    </row>
    <row r="485" spans="20:20">
      <c r="T485" s="19"/>
    </row>
    <row r="486" spans="20:20">
      <c r="T486" s="19"/>
    </row>
    <row r="487" spans="20:20">
      <c r="T487" s="19"/>
    </row>
    <row r="488" spans="20:20">
      <c r="T488" s="19"/>
    </row>
    <row r="489" spans="20:20">
      <c r="T489" s="19"/>
    </row>
    <row r="490" spans="20:20">
      <c r="T490" s="19"/>
    </row>
    <row r="491" spans="20:20">
      <c r="T491" s="19"/>
    </row>
    <row r="492" spans="20:20">
      <c r="T492" s="19"/>
    </row>
    <row r="493" spans="20:20">
      <c r="T493" s="19"/>
    </row>
    <row r="494" spans="20:20">
      <c r="T494" s="19"/>
    </row>
    <row r="495" spans="20:20">
      <c r="T495" s="19"/>
    </row>
    <row r="496" spans="20:20">
      <c r="T496" s="19"/>
    </row>
    <row r="497" spans="20:20">
      <c r="T497" s="19"/>
    </row>
    <row r="498" spans="20:20">
      <c r="T498" s="19"/>
    </row>
    <row r="499" spans="20:20">
      <c r="T499" s="19"/>
    </row>
    <row r="500" spans="20:20">
      <c r="T500" s="19"/>
    </row>
    <row r="501" spans="20:20">
      <c r="T501" s="19"/>
    </row>
    <row r="502" spans="20:20">
      <c r="T502" s="19"/>
    </row>
    <row r="503" spans="20:20">
      <c r="T503" s="19"/>
    </row>
    <row r="504" spans="20:20">
      <c r="T504" s="19"/>
    </row>
    <row r="505" spans="20:20">
      <c r="T505" s="19"/>
    </row>
    <row r="506" spans="20:20">
      <c r="T506" s="19"/>
    </row>
    <row r="507" spans="20:20">
      <c r="T507" s="19"/>
    </row>
    <row r="508" spans="20:20">
      <c r="T508" s="19"/>
    </row>
    <row r="509" spans="20:20">
      <c r="T509" s="19"/>
    </row>
    <row r="510" spans="20:20">
      <c r="T510" s="19"/>
    </row>
    <row r="511" spans="20:20">
      <c r="T511" s="19"/>
    </row>
    <row r="512" spans="20:20">
      <c r="T512" s="19"/>
    </row>
    <row r="513" spans="20:20">
      <c r="T513" s="19"/>
    </row>
    <row r="514" spans="20:20">
      <c r="T514" s="19"/>
    </row>
    <row r="515" spans="20:20">
      <c r="T515" s="19"/>
    </row>
    <row r="516" spans="20:20">
      <c r="T516" s="19"/>
    </row>
    <row r="517" spans="20:20">
      <c r="T517" s="19"/>
    </row>
    <row r="518" spans="20:20">
      <c r="T518" s="19"/>
    </row>
    <row r="519" spans="20:20">
      <c r="T519" s="19"/>
    </row>
    <row r="520" spans="20:20">
      <c r="T520" s="19"/>
    </row>
    <row r="521" spans="20:20">
      <c r="T521" s="19"/>
    </row>
    <row r="522" spans="20:20">
      <c r="T522" s="19"/>
    </row>
    <row r="523" spans="20:20">
      <c r="T523" s="19"/>
    </row>
    <row r="524" spans="20:20">
      <c r="T524" s="19"/>
    </row>
    <row r="525" spans="20:20">
      <c r="T525" s="19"/>
    </row>
    <row r="526" spans="20:20">
      <c r="T526" s="19"/>
    </row>
    <row r="527" spans="20:20">
      <c r="T527" s="19"/>
    </row>
    <row r="528" spans="20:20">
      <c r="T528" s="19"/>
    </row>
    <row r="529" spans="20:20">
      <c r="T529" s="19"/>
    </row>
    <row r="530" spans="20:20">
      <c r="T530" s="19"/>
    </row>
    <row r="531" spans="20:20">
      <c r="T531" s="19"/>
    </row>
    <row r="532" spans="20:20">
      <c r="T532" s="19"/>
    </row>
    <row r="533" spans="20:20">
      <c r="T533" s="19"/>
    </row>
    <row r="534" spans="20:20">
      <c r="T534" s="19"/>
    </row>
    <row r="535" spans="20:20">
      <c r="T535" s="19"/>
    </row>
    <row r="536" spans="20:20">
      <c r="T536" s="19"/>
    </row>
    <row r="537" spans="20:20">
      <c r="T537" s="19"/>
    </row>
    <row r="538" spans="20:20">
      <c r="T538" s="19"/>
    </row>
    <row r="539" spans="20:20">
      <c r="T539" s="19"/>
    </row>
    <row r="540" spans="20:20">
      <c r="T540" s="19"/>
    </row>
    <row r="541" spans="20:20">
      <c r="T541" s="19"/>
    </row>
    <row r="542" spans="20:20">
      <c r="T542" s="19"/>
    </row>
    <row r="543" spans="20:20">
      <c r="T543" s="19"/>
    </row>
    <row r="544" spans="20:20">
      <c r="T544" s="19"/>
    </row>
    <row r="545" spans="20:20">
      <c r="T545" s="19"/>
    </row>
    <row r="546" spans="20:20">
      <c r="T546" s="19"/>
    </row>
    <row r="547" spans="20:20">
      <c r="T547" s="19"/>
    </row>
    <row r="548" spans="20:20">
      <c r="T548" s="19"/>
    </row>
    <row r="549" spans="20:20">
      <c r="T549" s="19"/>
    </row>
    <row r="550" spans="20:20">
      <c r="T550" s="19"/>
    </row>
    <row r="551" spans="20:20">
      <c r="T551" s="19"/>
    </row>
    <row r="552" spans="20:20">
      <c r="T552" s="19"/>
    </row>
    <row r="553" spans="20:20">
      <c r="T553" s="19"/>
    </row>
    <row r="554" spans="20:20">
      <c r="T554" s="19"/>
    </row>
    <row r="555" spans="20:20">
      <c r="T555" s="19"/>
    </row>
    <row r="556" spans="20:20">
      <c r="T556" s="19"/>
    </row>
    <row r="557" spans="20:20">
      <c r="T557" s="19"/>
    </row>
    <row r="558" spans="20:20">
      <c r="T558" s="19"/>
    </row>
    <row r="559" spans="20:20">
      <c r="T559" s="19"/>
    </row>
    <row r="560" spans="20:20">
      <c r="T560" s="19"/>
    </row>
  </sheetData>
  <sheetProtection insertHyperlinks="0" sort="0" autoFilter="0" pivotTables="0"/>
  <protectedRanges>
    <protectedRange algorithmName="SHA-512" hashValue="YgsrWPz98Xg+y/TguNs8ffp/6EUQ5nQRaSpZ8XSksTum/7tiHbLQO+ogKlm/0SnJq7tXZzsZEEKmmmjiZNVJ5w==" saltValue="3w7bbPCQnIyaWpluDIjX9g==" spinCount="100000" sqref="Z1:AG4" name="Hesoluong"/>
  </protectedRanges>
  <autoFilter ref="B12:O406" xr:uid="{00000000-0009-0000-0000-000000000000}"/>
  <sortState xmlns:xlrd2="http://schemas.microsoft.com/office/spreadsheetml/2017/richdata2" ref="A2:J71">
    <sortCondition ref="A2:A71"/>
    <sortCondition ref="B2:B71"/>
  </sortState>
  <mergeCells count="33">
    <mergeCell ref="R9:V9"/>
    <mergeCell ref="T12:U12"/>
    <mergeCell ref="D9:E9"/>
    <mergeCell ref="G9:H9"/>
    <mergeCell ref="I9:J9"/>
    <mergeCell ref="D4:E4"/>
    <mergeCell ref="G4:H4"/>
    <mergeCell ref="D5:E5"/>
    <mergeCell ref="G5:H5"/>
    <mergeCell ref="J1:K1"/>
    <mergeCell ref="J2:K2"/>
    <mergeCell ref="H1:I1"/>
    <mergeCell ref="H2:I2"/>
    <mergeCell ref="D3:E3"/>
    <mergeCell ref="G3:H3"/>
    <mergeCell ref="I3:J3"/>
    <mergeCell ref="B1:G2"/>
    <mergeCell ref="L413:O413"/>
    <mergeCell ref="D7:E7"/>
    <mergeCell ref="G7:H7"/>
    <mergeCell ref="I7:J7"/>
    <mergeCell ref="D8:E8"/>
    <mergeCell ref="G8:H8"/>
    <mergeCell ref="I8:J8"/>
    <mergeCell ref="H410:J410"/>
    <mergeCell ref="H413:J413"/>
    <mergeCell ref="D410:E410"/>
    <mergeCell ref="D413:E413"/>
    <mergeCell ref="L409:O409"/>
    <mergeCell ref="L410:O410"/>
    <mergeCell ref="M2:O8"/>
    <mergeCell ref="D6:E6"/>
    <mergeCell ref="G6:H6"/>
  </mergeCells>
  <conditionalFormatting sqref="A409:A413">
    <cfRule type="duplicateValues" dxfId="29" priority="1604"/>
  </conditionalFormatting>
  <conditionalFormatting sqref="A13:P406">
    <cfRule type="expression" dxfId="28" priority="6">
      <formula>IF(ISBLANK($C13),FALSE,TRUE)</formula>
    </cfRule>
  </conditionalFormatting>
  <conditionalFormatting sqref="B13:B51">
    <cfRule type="expression" dxfId="27" priority="23038">
      <formula>IF(B1048209="","",IF(COUNTIF($B$13:B1048209,B1048209)&gt;1,TRUE,FALSE))</formula>
    </cfRule>
  </conditionalFormatting>
  <conditionalFormatting sqref="B13:B406">
    <cfRule type="expression" dxfId="26" priority="22969">
      <formula>IF(ISBLANK(G13),TRUE,FALSE)</formula>
    </cfRule>
  </conditionalFormatting>
  <conditionalFormatting sqref="B30:B31">
    <cfRule type="expression" dxfId="25" priority="23022">
      <formula>IF(B1048225="","",IF(COUNTIF($B$13:B1048225,B1048225)&gt;1,TRUE,FALSE))</formula>
    </cfRule>
  </conditionalFormatting>
  <conditionalFormatting sqref="B32:B33">
    <cfRule type="expression" dxfId="24" priority="23008">
      <formula>IF(B1048226="","",IF(COUNTIF($B$13:B1048226,B1048226)&gt;1,TRUE,FALSE))</formula>
    </cfRule>
  </conditionalFormatting>
  <conditionalFormatting sqref="B34:B36">
    <cfRule type="expression" dxfId="23" priority="22996">
      <formula>IF(B1048227="","",IF(COUNTIF($B$13:B1048227,B1048227)&gt;1,TRUE,FALSE))</formula>
    </cfRule>
  </conditionalFormatting>
  <conditionalFormatting sqref="B37:B39">
    <cfRule type="expression" dxfId="22" priority="22986">
      <formula>IF(B1048229="","",IF(COUNTIF($B$13:B1048229,B1048229)&gt;1,TRUE,FALSE))</formula>
    </cfRule>
  </conditionalFormatting>
  <conditionalFormatting sqref="B40:B41">
    <cfRule type="expression" dxfId="21" priority="22978">
      <formula>IF(B1048231="","",IF(COUNTIF($B$13:B1048231,B1048231)&gt;1,TRUE,FALSE))</formula>
    </cfRule>
  </conditionalFormatting>
  <conditionalFormatting sqref="B42:B46">
    <cfRule type="expression" dxfId="20" priority="22972">
      <formula>IF(B1048232="","",IF(COUNTIF($B$13:B1048232,B1048232)&gt;1,TRUE,FALSE))</formula>
    </cfRule>
  </conditionalFormatting>
  <conditionalFormatting sqref="B47:B406">
    <cfRule type="expression" dxfId="19" priority="22970">
      <formula>IF(B1048236="","",IF(COUNTIF($B$13:B1048236,B1048236)&gt;1,TRUE,FALSE))</formula>
    </cfRule>
  </conditionalFormatting>
  <conditionalFormatting sqref="C413">
    <cfRule type="duplicateValues" dxfId="18" priority="211"/>
  </conditionalFormatting>
  <conditionalFormatting sqref="D410:D412">
    <cfRule type="duplicateValues" dxfId="17" priority="1596"/>
  </conditionalFormatting>
  <conditionalFormatting sqref="D413">
    <cfRule type="duplicateValues" dxfId="16" priority="212"/>
  </conditionalFormatting>
  <conditionalFormatting sqref="P10">
    <cfRule type="expression" dxfId="15" priority="10">
      <formula>IF(ISBLANK($C10),FALSE,TRUE)</formula>
    </cfRule>
  </conditionalFormatting>
  <conditionalFormatting sqref="R13:X53">
    <cfRule type="expression" dxfId="14" priority="2">
      <formula>IF($R13="",FALSE,TRUE)</formula>
    </cfRule>
  </conditionalFormatting>
  <conditionalFormatting sqref="Y13:Y53">
    <cfRule type="expression" dxfId="0" priority="1">
      <formula>IF($R13="",FALSE,TRUE)</formula>
    </cfRule>
  </conditionalFormatting>
  <dataValidations disablePrompts="1" count="3">
    <dataValidation type="list" allowBlank="1" showInputMessage="1" showErrorMessage="1" sqref="F13:F406" xr:uid="{2706A0D0-5417-48DE-8E02-788D3EFE61B8}">
      <formula1>CodeMMTB</formula1>
    </dataValidation>
    <dataValidation type="list" allowBlank="1" showInputMessage="1" showErrorMessage="1" sqref="J11" xr:uid="{D153389B-515A-4100-91CE-4D746221C63A}">
      <formula1>"Đơn giá chuẩn,Đơn Giá CBC"</formula1>
    </dataValidation>
    <dataValidation type="list" allowBlank="1" showInputMessage="1" showErrorMessage="1" sqref="T11" xr:uid="{18F19951-8D92-4B3E-A552-A703614119F4}">
      <formula1>$E$11:$F$11</formula1>
    </dataValidation>
  </dataValidations>
  <hyperlinks>
    <hyperlink ref="B10" location="Xóa" display="Xóa" xr:uid="{00000000-0004-0000-0000-000000000000}"/>
    <hyperlink ref="M11" location="Xoaten" display="Nhân Sự May CĐ" xr:uid="{CC646000-DF56-45B1-A812-1EAF282323ED}"/>
  </hyperlinks>
  <pageMargins left="0" right="0" top="0.511811023622047" bottom="0" header="0.196850393700787" footer="0.23622047244094499"/>
  <pageSetup scale="65" orientation="landscape" r:id="rId1"/>
  <headerFooter>
    <oddHeader>&amp;LBẢNG QUY TRÌNH ĐƠN GIÁ&amp;CSố hiệu: KT.HD/17.02&amp;R&amp;P/&amp;N</oddHeader>
  </headerFooter>
  <rowBreaks count="1" manualBreakCount="1">
    <brk id="54" max="15" man="1"/>
  </rowBreaks>
  <colBreaks count="1" manualBreakCount="1">
    <brk id="14" max="1048575" man="1"/>
  </colBreaks>
  <ignoredErrors>
    <ignoredError sqref="K13 B171:B406 K171:K264" unlocked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E9517-89CD-4350-A6BA-0D0F7D90AB14}">
  <dimension ref="A2:D67"/>
  <sheetViews>
    <sheetView workbookViewId="0">
      <selection activeCell="B59" sqref="B59"/>
    </sheetView>
  </sheetViews>
  <sheetFormatPr defaultColWidth="8.8984375" defaultRowHeight="13.8"/>
  <cols>
    <col min="1" max="1" width="4.69921875" style="33" customWidth="1"/>
    <col min="2" max="2" width="11.3984375" style="122" bestFit="1" customWidth="1"/>
    <col min="3" max="3" width="30.69921875" style="122" customWidth="1"/>
    <col min="4" max="16384" width="8.8984375" style="122"/>
  </cols>
  <sheetData>
    <row r="2" spans="1:4">
      <c r="C2" s="122" t="s">
        <v>1881</v>
      </c>
    </row>
    <row r="4" spans="1:4">
      <c r="A4" s="36" t="s">
        <v>34</v>
      </c>
      <c r="B4" s="121" t="s">
        <v>1867</v>
      </c>
      <c r="C4" s="121" t="s">
        <v>1868</v>
      </c>
      <c r="D4" s="121" t="s">
        <v>1869</v>
      </c>
    </row>
    <row r="5" spans="1:4">
      <c r="A5" s="36">
        <f>IF(ISBLANK(B5),"",SUBTOTAL(3,$B$5:B5))</f>
        <v>1</v>
      </c>
      <c r="B5" s="121" t="s">
        <v>32</v>
      </c>
      <c r="C5" s="121" t="s">
        <v>1781</v>
      </c>
      <c r="D5" s="121">
        <v>2041</v>
      </c>
    </row>
    <row r="6" spans="1:4">
      <c r="A6" s="36">
        <f>IF(ISBLANK(B6),"",SUBTOTAL(3,$B$5:B6))</f>
        <v>2</v>
      </c>
      <c r="B6" s="121" t="s">
        <v>1782</v>
      </c>
      <c r="C6" s="121" t="s">
        <v>1783</v>
      </c>
      <c r="D6" s="121">
        <v>12</v>
      </c>
    </row>
    <row r="7" spans="1:4">
      <c r="A7" s="36">
        <f>IF(ISBLANK(B7),"",SUBTOTAL(3,$B$5:B7))</f>
        <v>3</v>
      </c>
      <c r="B7" s="121" t="s">
        <v>1784</v>
      </c>
      <c r="C7" s="121" t="s">
        <v>1785</v>
      </c>
      <c r="D7" s="121">
        <v>52</v>
      </c>
    </row>
    <row r="8" spans="1:4">
      <c r="A8" s="36">
        <f>IF(ISBLANK(B8),"",SUBTOTAL(3,$B$5:B8))</f>
        <v>4</v>
      </c>
      <c r="B8" s="121" t="s">
        <v>1786</v>
      </c>
      <c r="C8" s="121" t="s">
        <v>1787</v>
      </c>
      <c r="D8" s="121">
        <v>2</v>
      </c>
    </row>
    <row r="9" spans="1:4">
      <c r="A9" s="36">
        <f>IF(ISBLANK(B9),"",SUBTOTAL(3,$B$5:B9))</f>
        <v>5</v>
      </c>
      <c r="B9" s="121" t="s">
        <v>1788</v>
      </c>
      <c r="C9" s="121" t="s">
        <v>1789</v>
      </c>
      <c r="D9" s="121">
        <v>7</v>
      </c>
    </row>
    <row r="10" spans="1:4">
      <c r="A10" s="36">
        <f>IF(ISBLANK(B10),"",SUBTOTAL(3,$B$5:B10))</f>
        <v>6</v>
      </c>
      <c r="B10" s="121" t="s">
        <v>1790</v>
      </c>
      <c r="C10" s="121" t="s">
        <v>1791</v>
      </c>
      <c r="D10" s="121">
        <v>13</v>
      </c>
    </row>
    <row r="11" spans="1:4">
      <c r="A11" s="36">
        <f>IF(ISBLANK(B11),"",SUBTOTAL(3,$B$5:B11))</f>
        <v>7</v>
      </c>
      <c r="B11" s="121" t="s">
        <v>1792</v>
      </c>
      <c r="C11" s="121" t="s">
        <v>1793</v>
      </c>
      <c r="D11" s="121">
        <v>22</v>
      </c>
    </row>
    <row r="12" spans="1:4">
      <c r="A12" s="36">
        <f>IF(ISBLANK(B12),"",SUBTOTAL(3,$B$5:B12))</f>
        <v>8</v>
      </c>
      <c r="B12" s="121" t="s">
        <v>1794</v>
      </c>
      <c r="C12" s="121" t="s">
        <v>1795</v>
      </c>
      <c r="D12" s="121">
        <v>265</v>
      </c>
    </row>
    <row r="13" spans="1:4">
      <c r="A13" s="36">
        <f>IF(ISBLANK(B13),"",SUBTOTAL(3,$B$5:B13))</f>
        <v>9</v>
      </c>
      <c r="B13" s="121" t="s">
        <v>1796</v>
      </c>
      <c r="C13" s="121" t="s">
        <v>1797</v>
      </c>
      <c r="D13" s="121">
        <v>176</v>
      </c>
    </row>
    <row r="14" spans="1:4">
      <c r="A14" s="36">
        <f>IF(ISBLANK(B14),"",SUBTOTAL(3,$B$5:B14))</f>
        <v>10</v>
      </c>
      <c r="B14" s="121" t="s">
        <v>1798</v>
      </c>
      <c r="C14" s="121" t="s">
        <v>1799</v>
      </c>
      <c r="D14" s="121">
        <v>13</v>
      </c>
    </row>
    <row r="15" spans="1:4">
      <c r="A15" s="36">
        <f>IF(ISBLANK(B15),"",SUBTOTAL(3,$B$5:B15))</f>
        <v>11</v>
      </c>
      <c r="B15" s="121" t="s">
        <v>1800</v>
      </c>
      <c r="C15" s="121" t="s">
        <v>1801</v>
      </c>
      <c r="D15" s="121">
        <v>36</v>
      </c>
    </row>
    <row r="16" spans="1:4">
      <c r="A16" s="36">
        <f>IF(ISBLANK(B16),"",SUBTOTAL(3,$B$5:B16))</f>
        <v>12</v>
      </c>
      <c r="B16" s="121" t="s">
        <v>1779</v>
      </c>
      <c r="C16" s="121" t="s">
        <v>1802</v>
      </c>
      <c r="D16" s="121">
        <v>21</v>
      </c>
    </row>
    <row r="17" spans="1:4">
      <c r="A17" s="36">
        <f>IF(ISBLANK(B17),"",SUBTOTAL(3,$B$5:B17))</f>
        <v>13</v>
      </c>
      <c r="B17" s="121" t="s">
        <v>1803</v>
      </c>
      <c r="C17" s="121" t="s">
        <v>1804</v>
      </c>
      <c r="D17" s="121">
        <v>195</v>
      </c>
    </row>
    <row r="18" spans="1:4">
      <c r="A18" s="36">
        <f>IF(ISBLANK(B18),"",SUBTOTAL(3,$B$5:B18))</f>
        <v>14</v>
      </c>
      <c r="B18" s="121" t="s">
        <v>1805</v>
      </c>
      <c r="C18" s="121" t="s">
        <v>1806</v>
      </c>
      <c r="D18" s="121">
        <v>98</v>
      </c>
    </row>
    <row r="19" spans="1:4">
      <c r="A19" s="36">
        <f>IF(ISBLANK(B19),"",SUBTOTAL(3,$B$5:B19))</f>
        <v>15</v>
      </c>
      <c r="B19" s="121" t="s">
        <v>1888</v>
      </c>
      <c r="C19" s="121" t="s">
        <v>1808</v>
      </c>
      <c r="D19" s="121">
        <v>45</v>
      </c>
    </row>
    <row r="20" spans="1:4">
      <c r="A20" s="36">
        <f>IF(ISBLANK(B20),"",SUBTOTAL(3,$B$5:B20))</f>
        <v>16</v>
      </c>
      <c r="B20" s="121" t="s">
        <v>1807</v>
      </c>
      <c r="C20" s="121" t="s">
        <v>1887</v>
      </c>
      <c r="D20" s="121">
        <v>45</v>
      </c>
    </row>
    <row r="21" spans="1:4">
      <c r="A21" s="36">
        <f>IF(ISBLANK(B21),"",SUBTOTAL(3,$B$5:B21))</f>
        <v>17</v>
      </c>
      <c r="B21" s="121" t="s">
        <v>1809</v>
      </c>
      <c r="C21" s="121" t="s">
        <v>1810</v>
      </c>
      <c r="D21" s="121">
        <v>5</v>
      </c>
    </row>
    <row r="22" spans="1:4">
      <c r="A22" s="36">
        <f>IF(ISBLANK(B22),"",SUBTOTAL(3,$B$5:B22))</f>
        <v>18</v>
      </c>
      <c r="B22" s="121" t="s">
        <v>1811</v>
      </c>
      <c r="C22" s="121" t="s">
        <v>1812</v>
      </c>
      <c r="D22" s="121">
        <v>23</v>
      </c>
    </row>
    <row r="23" spans="1:4">
      <c r="A23" s="36">
        <f>IF(ISBLANK(B23),"",SUBTOTAL(3,$B$5:B23))</f>
        <v>19</v>
      </c>
      <c r="B23" s="121" t="s">
        <v>1813</v>
      </c>
      <c r="C23" s="121" t="s">
        <v>1814</v>
      </c>
      <c r="D23" s="121">
        <v>144</v>
      </c>
    </row>
    <row r="24" spans="1:4">
      <c r="A24" s="36">
        <f>IF(ISBLANK(B24),"",SUBTOTAL(3,$B$5:B24))</f>
        <v>20</v>
      </c>
      <c r="B24" s="121" t="s">
        <v>1815</v>
      </c>
      <c r="C24" s="121" t="s">
        <v>1816</v>
      </c>
      <c r="D24" s="121">
        <v>34</v>
      </c>
    </row>
    <row r="25" spans="1:4">
      <c r="A25" s="36">
        <f>IF(ISBLANK(B25),"",SUBTOTAL(3,$B$5:B25))</f>
        <v>21</v>
      </c>
      <c r="B25" s="121" t="s">
        <v>1817</v>
      </c>
      <c r="C25" s="121" t="s">
        <v>1818</v>
      </c>
      <c r="D25" s="121">
        <v>35</v>
      </c>
    </row>
    <row r="26" spans="1:4">
      <c r="A26" s="36">
        <f>IF(ISBLANK(B26),"",SUBTOTAL(3,$B$5:B26))</f>
        <v>22</v>
      </c>
      <c r="B26" s="121" t="s">
        <v>1819</v>
      </c>
      <c r="C26" s="121" t="s">
        <v>1820</v>
      </c>
      <c r="D26" s="121">
        <v>9</v>
      </c>
    </row>
    <row r="27" spans="1:4">
      <c r="A27" s="36">
        <f>IF(ISBLANK(B27),"",SUBTOTAL(3,$B$5:B27))</f>
        <v>23</v>
      </c>
      <c r="B27" s="121" t="s">
        <v>1821</v>
      </c>
      <c r="C27" s="121" t="s">
        <v>1889</v>
      </c>
      <c r="D27" s="121">
        <v>1</v>
      </c>
    </row>
    <row r="28" spans="1:4">
      <c r="A28" s="36">
        <f>IF(ISBLANK(B28),"",SUBTOTAL(3,$B$5:B28))</f>
        <v>24</v>
      </c>
      <c r="B28" s="121" t="s">
        <v>1822</v>
      </c>
      <c r="C28" s="121" t="s">
        <v>1823</v>
      </c>
      <c r="D28" s="121">
        <v>12</v>
      </c>
    </row>
    <row r="29" spans="1:4">
      <c r="A29" s="36">
        <f>IF(ISBLANK(B29),"",SUBTOTAL(3,$B$5:B29))</f>
        <v>25</v>
      </c>
      <c r="B29" s="121" t="s">
        <v>1824</v>
      </c>
      <c r="C29" s="121" t="s">
        <v>1825</v>
      </c>
      <c r="D29" s="121">
        <v>2</v>
      </c>
    </row>
    <row r="30" spans="1:4">
      <c r="A30" s="36">
        <f>IF(ISBLANK(B30),"",SUBTOTAL(3,$B$5:B30))</f>
        <v>26</v>
      </c>
      <c r="B30" s="121" t="s">
        <v>1826</v>
      </c>
      <c r="C30" s="121" t="s">
        <v>1827</v>
      </c>
      <c r="D30" s="121">
        <v>35</v>
      </c>
    </row>
    <row r="31" spans="1:4">
      <c r="A31" s="36">
        <f>IF(ISBLANK(B31),"",SUBTOTAL(3,$B$5:B31))</f>
        <v>27</v>
      </c>
      <c r="B31" s="121" t="s">
        <v>1778</v>
      </c>
      <c r="C31" s="121" t="s">
        <v>1828</v>
      </c>
      <c r="D31" s="121">
        <v>190</v>
      </c>
    </row>
    <row r="32" spans="1:4">
      <c r="A32" s="36">
        <f>IF(ISBLANK(B32),"",SUBTOTAL(3,$B$5:B32))</f>
        <v>28</v>
      </c>
      <c r="B32" s="121" t="s">
        <v>1829</v>
      </c>
      <c r="C32" s="121" t="s">
        <v>1830</v>
      </c>
      <c r="D32" s="121">
        <v>63</v>
      </c>
    </row>
    <row r="33" spans="1:4">
      <c r="A33" s="36">
        <f>IF(ISBLANK(B33),"",SUBTOTAL(3,$B$5:B33))</f>
        <v>29</v>
      </c>
      <c r="B33" s="121" t="s">
        <v>1831</v>
      </c>
      <c r="C33" s="121" t="s">
        <v>1832</v>
      </c>
      <c r="D33" s="121">
        <v>23</v>
      </c>
    </row>
    <row r="34" spans="1:4">
      <c r="A34" s="36">
        <f>IF(ISBLANK(B34),"",SUBTOTAL(3,$B$5:B34))</f>
        <v>30</v>
      </c>
      <c r="B34" s="121" t="s">
        <v>1833</v>
      </c>
      <c r="C34" s="121" t="s">
        <v>1834</v>
      </c>
      <c r="D34" s="121">
        <v>8</v>
      </c>
    </row>
    <row r="35" spans="1:4">
      <c r="A35" s="36">
        <f>IF(ISBLANK(B35),"",SUBTOTAL(3,$B$5:B35))</f>
        <v>31</v>
      </c>
      <c r="B35" s="121" t="s">
        <v>1835</v>
      </c>
      <c r="C35" s="121" t="s">
        <v>1836</v>
      </c>
      <c r="D35" s="121">
        <v>3</v>
      </c>
    </row>
    <row r="36" spans="1:4">
      <c r="A36" s="36">
        <f>IF(ISBLANK(B36),"",SUBTOTAL(3,$B$5:B36))</f>
        <v>32</v>
      </c>
      <c r="B36" s="121" t="s">
        <v>1837</v>
      </c>
      <c r="C36" s="121" t="s">
        <v>1885</v>
      </c>
      <c r="D36" s="121">
        <v>66</v>
      </c>
    </row>
    <row r="37" spans="1:4">
      <c r="A37" s="36">
        <f>IF(ISBLANK(B37),"",SUBTOTAL(3,$B$5:B37))</f>
        <v>33</v>
      </c>
      <c r="B37" s="121" t="s">
        <v>1884</v>
      </c>
      <c r="C37" s="121" t="s">
        <v>1886</v>
      </c>
      <c r="D37" s="121">
        <v>5</v>
      </c>
    </row>
    <row r="38" spans="1:4">
      <c r="A38" s="36">
        <f>IF(ISBLANK(B38),"",SUBTOTAL(3,$B$5:B38))</f>
        <v>34</v>
      </c>
      <c r="B38" s="121" t="s">
        <v>1838</v>
      </c>
      <c r="C38" s="121" t="s">
        <v>1839</v>
      </c>
      <c r="D38" s="121">
        <v>104</v>
      </c>
    </row>
    <row r="39" spans="1:4">
      <c r="A39" s="36">
        <f>IF(ISBLANK(B39),"",SUBTOTAL(3,$B$5:B39))</f>
        <v>35</v>
      </c>
      <c r="B39" s="121" t="s">
        <v>1878</v>
      </c>
      <c r="C39" s="121" t="s">
        <v>1877</v>
      </c>
      <c r="D39" s="121">
        <v>2</v>
      </c>
    </row>
    <row r="40" spans="1:4">
      <c r="A40" s="36">
        <f>IF(ISBLANK(B40),"",SUBTOTAL(3,$B$5:B40))</f>
        <v>36</v>
      </c>
      <c r="B40" s="121" t="s">
        <v>1840</v>
      </c>
      <c r="C40" s="121" t="s">
        <v>1841</v>
      </c>
      <c r="D40" s="121">
        <v>2</v>
      </c>
    </row>
    <row r="41" spans="1:4">
      <c r="A41" s="36">
        <f>IF(ISBLANK(B41),"",SUBTOTAL(3,$B$5:B41))</f>
        <v>37</v>
      </c>
      <c r="B41" s="121" t="s">
        <v>1842</v>
      </c>
      <c r="C41" s="121" t="s">
        <v>1843</v>
      </c>
      <c r="D41" s="121">
        <v>30</v>
      </c>
    </row>
    <row r="42" spans="1:4">
      <c r="A42" s="36">
        <f>IF(ISBLANK(B42),"",SUBTOTAL(3,$B$5:B42))</f>
        <v>38</v>
      </c>
      <c r="B42" s="121" t="s">
        <v>1844</v>
      </c>
      <c r="C42" s="121" t="s">
        <v>1845</v>
      </c>
      <c r="D42" s="121">
        <v>1</v>
      </c>
    </row>
    <row r="43" spans="1:4">
      <c r="A43" s="36">
        <f>IF(ISBLANK(B43),"",SUBTOTAL(3,$B$5:B43))</f>
        <v>39</v>
      </c>
      <c r="B43" s="121" t="s">
        <v>1846</v>
      </c>
      <c r="C43" s="121" t="s">
        <v>1847</v>
      </c>
      <c r="D43" s="121">
        <v>7</v>
      </c>
    </row>
    <row r="44" spans="1:4">
      <c r="A44" s="36">
        <f>IF(ISBLANK(B44),"",SUBTOTAL(3,$B$5:B44))</f>
        <v>40</v>
      </c>
      <c r="B44" s="121" t="s">
        <v>76</v>
      </c>
      <c r="C44" s="121" t="s">
        <v>1848</v>
      </c>
      <c r="D44" s="121">
        <v>50</v>
      </c>
    </row>
    <row r="45" spans="1:4">
      <c r="A45" s="36">
        <f>IF(ISBLANK(B45),"",SUBTOTAL(3,$B$5:B45))</f>
        <v>41</v>
      </c>
      <c r="B45" s="121" t="s">
        <v>1849</v>
      </c>
      <c r="C45" s="121" t="s">
        <v>1850</v>
      </c>
      <c r="D45" s="121">
        <v>2</v>
      </c>
    </row>
    <row r="46" spans="1:4">
      <c r="A46" s="36">
        <f>IF(ISBLANK(B46),"",SUBTOTAL(3,$B$5:B46))</f>
        <v>42</v>
      </c>
      <c r="B46" s="121" t="s">
        <v>1882</v>
      </c>
      <c r="C46" s="121" t="s">
        <v>1883</v>
      </c>
      <c r="D46" s="121">
        <v>2</v>
      </c>
    </row>
    <row r="47" spans="1:4">
      <c r="A47" s="36">
        <f>IF(ISBLANK(B47),"",SUBTOTAL(3,$B$5:B47))</f>
        <v>43</v>
      </c>
      <c r="B47" s="121" t="s">
        <v>1851</v>
      </c>
      <c r="C47" s="121" t="s">
        <v>1852</v>
      </c>
      <c r="D47" s="121">
        <v>3</v>
      </c>
    </row>
    <row r="48" spans="1:4">
      <c r="A48" s="36">
        <f>IF(ISBLANK(B48),"",SUBTOTAL(3,$B$5:B48))</f>
        <v>44</v>
      </c>
      <c r="B48" s="121" t="s">
        <v>1853</v>
      </c>
      <c r="C48" s="121" t="s">
        <v>1854</v>
      </c>
      <c r="D48" s="121">
        <v>14</v>
      </c>
    </row>
    <row r="49" spans="1:4">
      <c r="A49" s="36">
        <f>IF(ISBLANK(B49),"",SUBTOTAL(3,$B$5:B49))</f>
        <v>45</v>
      </c>
      <c r="B49" s="121" t="s">
        <v>1855</v>
      </c>
      <c r="C49" s="121" t="s">
        <v>1856</v>
      </c>
      <c r="D49" s="121">
        <v>61</v>
      </c>
    </row>
    <row r="50" spans="1:4">
      <c r="A50" s="36">
        <f>IF(ISBLANK(B50),"",SUBTOTAL(3,$B$5:B50))</f>
        <v>46</v>
      </c>
      <c r="B50" s="121" t="s">
        <v>1857</v>
      </c>
      <c r="C50" s="121" t="s">
        <v>1858</v>
      </c>
      <c r="D50" s="121">
        <v>4</v>
      </c>
    </row>
    <row r="51" spans="1:4">
      <c r="A51" s="36">
        <f>IF(ISBLANK(B51),"",SUBTOTAL(3,$B$5:B51))</f>
        <v>47</v>
      </c>
      <c r="B51" s="121" t="s">
        <v>37</v>
      </c>
      <c r="C51" s="121" t="s">
        <v>1880</v>
      </c>
      <c r="D51" s="121">
        <v>148</v>
      </c>
    </row>
    <row r="52" spans="1:4">
      <c r="A52" s="36">
        <f>IF(ISBLANK(B52),"",SUBTOTAL(3,$B$5:B52))</f>
        <v>48</v>
      </c>
      <c r="B52" s="121" t="s">
        <v>1776</v>
      </c>
      <c r="C52" s="121" t="s">
        <v>1859</v>
      </c>
      <c r="D52" s="121">
        <v>148</v>
      </c>
    </row>
    <row r="53" spans="1:4">
      <c r="A53" s="36">
        <f>IF(ISBLANK(B53),"",SUBTOTAL(3,$B$5:B53))</f>
        <v>49</v>
      </c>
      <c r="B53" s="121" t="s">
        <v>1860</v>
      </c>
      <c r="C53" s="121" t="s">
        <v>1861</v>
      </c>
      <c r="D53" s="121">
        <v>8</v>
      </c>
    </row>
    <row r="54" spans="1:4">
      <c r="A54" s="36">
        <f>IF(ISBLANK(B54),"",SUBTOTAL(3,$B$5:B54))</f>
        <v>50</v>
      </c>
      <c r="B54" s="121" t="s">
        <v>33</v>
      </c>
      <c r="C54" s="121" t="s">
        <v>1862</v>
      </c>
      <c r="D54" s="121">
        <v>152</v>
      </c>
    </row>
    <row r="55" spans="1:4">
      <c r="A55" s="36">
        <f>IF(ISBLANK(B55),"",SUBTOTAL(3,$B$5:B55))</f>
        <v>51</v>
      </c>
      <c r="B55" s="121" t="s">
        <v>1863</v>
      </c>
      <c r="C55" s="121" t="s">
        <v>1864</v>
      </c>
      <c r="D55" s="121">
        <v>259</v>
      </c>
    </row>
    <row r="56" spans="1:4">
      <c r="A56" s="36">
        <f>IF(ISBLANK(B56),"",SUBTOTAL(3,$B$5:B56))</f>
        <v>52</v>
      </c>
      <c r="B56" s="121" t="s">
        <v>1865</v>
      </c>
      <c r="C56" s="121" t="s">
        <v>1866</v>
      </c>
      <c r="D56" s="121">
        <v>5</v>
      </c>
    </row>
    <row r="57" spans="1:4">
      <c r="A57" s="36">
        <f>IF(ISBLANK(B57),"",SUBTOTAL(3,$B$5:B57))</f>
        <v>53</v>
      </c>
      <c r="B57" s="121" t="s">
        <v>1876</v>
      </c>
      <c r="C57" s="121" t="s">
        <v>1879</v>
      </c>
      <c r="D57" s="121"/>
    </row>
    <row r="58" spans="1:4">
      <c r="A58" s="36">
        <f>IF(ISBLANK(B58),"",SUBTOTAL(3,$B$5:B58))</f>
        <v>54</v>
      </c>
      <c r="B58" s="121" t="s">
        <v>1777</v>
      </c>
      <c r="C58" s="121" t="s">
        <v>1873</v>
      </c>
      <c r="D58" s="121"/>
    </row>
    <row r="59" spans="1:4">
      <c r="A59" s="36" t="str">
        <f>IF(ISBLANK(B59),"",SUBTOTAL(3,$B$5:B59))</f>
        <v/>
      </c>
      <c r="B59" s="121"/>
      <c r="C59" s="121"/>
      <c r="D59" s="121"/>
    </row>
    <row r="60" spans="1:4">
      <c r="A60" s="36" t="str">
        <f>IF(ISBLANK(B60),"",SUBTOTAL(3,$B$5:B60))</f>
        <v/>
      </c>
      <c r="B60" s="121"/>
      <c r="C60" s="121"/>
      <c r="D60" s="121"/>
    </row>
    <row r="61" spans="1:4">
      <c r="A61" s="36" t="str">
        <f>IF(ISBLANK(B61),"",SUBTOTAL(3,$B$5:B61))</f>
        <v/>
      </c>
      <c r="B61" s="121"/>
      <c r="C61" s="121"/>
      <c r="D61" s="121"/>
    </row>
    <row r="62" spans="1:4">
      <c r="A62" s="36" t="str">
        <f>IF(ISBLANK(B62),"",SUBTOTAL(3,$B$5:B62))</f>
        <v/>
      </c>
      <c r="B62" s="121"/>
      <c r="C62" s="121"/>
      <c r="D62" s="121"/>
    </row>
    <row r="63" spans="1:4">
      <c r="A63" s="36" t="str">
        <f>IF(ISBLANK(B63),"",SUBTOTAL(3,$B$5:B63))</f>
        <v/>
      </c>
      <c r="B63" s="121"/>
      <c r="C63" s="121"/>
      <c r="D63" s="121"/>
    </row>
    <row r="64" spans="1:4">
      <c r="A64" s="36" t="str">
        <f>IF(ISBLANK(B64),"",SUBTOTAL(3,$B$5:B64))</f>
        <v/>
      </c>
      <c r="B64" s="121"/>
      <c r="C64" s="121"/>
      <c r="D64" s="121"/>
    </row>
    <row r="65" spans="1:4">
      <c r="A65" s="36" t="str">
        <f>IF(ISBLANK(B65),"",SUBTOTAL(3,$B$5:B65))</f>
        <v/>
      </c>
      <c r="B65" s="121"/>
      <c r="C65" s="121"/>
      <c r="D65" s="121"/>
    </row>
    <row r="66" spans="1:4">
      <c r="A66" s="36" t="str">
        <f>IF(ISBLANK(B66),"",SUBTOTAL(3,$B$5:B66))</f>
        <v/>
      </c>
      <c r="B66" s="121"/>
      <c r="C66" s="121"/>
      <c r="D66" s="121"/>
    </row>
    <row r="67" spans="1:4">
      <c r="A67" s="36" t="str">
        <f>IF(ISBLANK(B67),"",SUBTOTAL(3,$B$5:B67))</f>
        <v/>
      </c>
      <c r="B67" s="121"/>
      <c r="C67" s="121"/>
      <c r="D67" s="1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CL2326"/>
  <sheetViews>
    <sheetView topLeftCell="B46" workbookViewId="0">
      <selection activeCell="I9" sqref="I9"/>
    </sheetView>
  </sheetViews>
  <sheetFormatPr defaultColWidth="8.8984375" defaultRowHeight="13.8" outlineLevelCol="1"/>
  <cols>
    <col min="1" max="1" width="4.69921875" style="47" hidden="1" customWidth="1" outlineLevel="1"/>
    <col min="2" max="2" width="6" style="47" customWidth="1" collapsed="1"/>
    <col min="3" max="3" width="7.69921875" style="47" customWidth="1"/>
    <col min="4" max="4" width="21.296875" style="47" customWidth="1"/>
    <col min="5" max="5" width="7.09765625" style="47" bestFit="1" customWidth="1"/>
    <col min="6" max="6" width="8.59765625" style="47" customWidth="1" outlineLevel="1"/>
    <col min="7" max="10" width="4.69921875" style="47" customWidth="1" outlineLevel="1"/>
    <col min="11" max="13" width="4.69921875" style="47" customWidth="1"/>
    <col min="14" max="37" width="4.69921875" style="47" hidden="1" customWidth="1" outlineLevel="1"/>
    <col min="38" max="38" width="4.69921875" style="47" customWidth="1" collapsed="1"/>
    <col min="39" max="57" width="5.69921875" style="27" customWidth="1" outlineLevel="1"/>
    <col min="58" max="90" width="5.69921875" style="27" customWidth="1"/>
    <col min="91" max="16384" width="8.8984375" style="47"/>
  </cols>
  <sheetData>
    <row r="1" spans="1:90">
      <c r="BF1" s="28"/>
    </row>
    <row r="3" spans="1:90" ht="25.2">
      <c r="D3" s="235" t="str">
        <f>IFERROR(IF(MAX($B$8:$B$1049)&gt;50,"BẢNG THỐNG KÊ TAY NGHỀ NHÀ MÁY NINH THUẬN",("BẢNG THỐNG KÊ TAY NGHỀ "&amp;UPPER(INDEX($E$8:$E$1049,MATCH(2,$B$8:$B$1049,0))&amp;" NHÀ MÁY NINH THUẬN "))),"")</f>
        <v xml:space="preserve">BẢNG THỐNG KÊ TAY NGHỀ LINE1 NHÀ MÁY NINH THUẬN </v>
      </c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  <c r="AB3" s="235"/>
      <c r="AC3" s="235"/>
      <c r="AD3" s="235"/>
      <c r="AE3" s="235"/>
      <c r="AF3" s="235"/>
      <c r="AG3" s="235"/>
    </row>
    <row r="5" spans="1:90" s="48" customFormat="1">
      <c r="K5" s="49">
        <f t="shared" ref="K5:AK5" si="0">COUNTIFS(K$8:K$1043,"X")</f>
        <v>347</v>
      </c>
      <c r="L5" s="49">
        <f t="shared" si="0"/>
        <v>286</v>
      </c>
      <c r="M5" s="49">
        <f t="shared" si="0"/>
        <v>53</v>
      </c>
      <c r="N5" s="49">
        <f t="shared" si="0"/>
        <v>111</v>
      </c>
      <c r="O5" s="49">
        <f t="shared" si="0"/>
        <v>173</v>
      </c>
      <c r="P5" s="49">
        <f t="shared" si="0"/>
        <v>79</v>
      </c>
      <c r="Q5" s="49">
        <f t="shared" si="0"/>
        <v>178</v>
      </c>
      <c r="R5" s="49">
        <f t="shared" si="0"/>
        <v>242</v>
      </c>
      <c r="S5" s="49">
        <f t="shared" si="0"/>
        <v>83</v>
      </c>
      <c r="T5" s="49">
        <f t="shared" si="0"/>
        <v>51</v>
      </c>
      <c r="U5" s="49">
        <f t="shared" si="0"/>
        <v>118</v>
      </c>
      <c r="V5" s="49">
        <f t="shared" si="0"/>
        <v>79</v>
      </c>
      <c r="W5" s="49">
        <f t="shared" si="0"/>
        <v>19</v>
      </c>
      <c r="X5" s="49">
        <f t="shared" si="0"/>
        <v>77</v>
      </c>
      <c r="Y5" s="49">
        <f t="shared" si="0"/>
        <v>100</v>
      </c>
      <c r="Z5" s="49">
        <f t="shared" si="0"/>
        <v>44</v>
      </c>
      <c r="AA5" s="49">
        <f t="shared" si="0"/>
        <v>57</v>
      </c>
      <c r="AB5" s="49">
        <f t="shared" si="0"/>
        <v>115</v>
      </c>
      <c r="AC5" s="49">
        <f t="shared" si="0"/>
        <v>23</v>
      </c>
      <c r="AD5" s="49">
        <f t="shared" si="0"/>
        <v>32</v>
      </c>
      <c r="AE5" s="49">
        <f t="shared" si="0"/>
        <v>86</v>
      </c>
      <c r="AF5" s="49">
        <f t="shared" si="0"/>
        <v>40</v>
      </c>
      <c r="AG5" s="49">
        <f t="shared" si="0"/>
        <v>78</v>
      </c>
      <c r="AH5" s="49">
        <f t="shared" si="0"/>
        <v>18</v>
      </c>
      <c r="AI5" s="49">
        <f t="shared" si="0"/>
        <v>0</v>
      </c>
      <c r="AJ5" s="49">
        <f t="shared" si="0"/>
        <v>0</v>
      </c>
      <c r="AK5" s="49">
        <f t="shared" si="0"/>
        <v>0</v>
      </c>
      <c r="AM5" s="71">
        <f>SUBTOTAL(3,AM8:AM1047)</f>
        <v>2</v>
      </c>
      <c r="AN5" s="71">
        <f t="shared" ref="AN5:BD5" si="1">SUBTOTAL(3,AN8:AN1047)</f>
        <v>2</v>
      </c>
      <c r="AO5" s="71">
        <f t="shared" si="1"/>
        <v>3</v>
      </c>
      <c r="AP5" s="71">
        <f t="shared" si="1"/>
        <v>4</v>
      </c>
      <c r="AQ5" s="71">
        <f t="shared" si="1"/>
        <v>4</v>
      </c>
      <c r="AR5" s="71">
        <f t="shared" si="1"/>
        <v>3</v>
      </c>
      <c r="AS5" s="71">
        <f t="shared" si="1"/>
        <v>4</v>
      </c>
      <c r="AT5" s="71">
        <f t="shared" si="1"/>
        <v>1</v>
      </c>
      <c r="AU5" s="71">
        <f t="shared" si="1"/>
        <v>2</v>
      </c>
      <c r="AV5" s="71">
        <f t="shared" si="1"/>
        <v>2</v>
      </c>
      <c r="AW5" s="71">
        <f t="shared" si="1"/>
        <v>3</v>
      </c>
      <c r="AX5" s="71">
        <f t="shared" si="1"/>
        <v>1</v>
      </c>
      <c r="AY5" s="71">
        <f t="shared" si="1"/>
        <v>2</v>
      </c>
      <c r="AZ5" s="71">
        <f t="shared" si="1"/>
        <v>1</v>
      </c>
      <c r="BA5" s="71">
        <f t="shared" si="1"/>
        <v>2</v>
      </c>
      <c r="BB5" s="71">
        <f t="shared" si="1"/>
        <v>4</v>
      </c>
      <c r="BC5" s="71">
        <f t="shared" si="1"/>
        <v>3</v>
      </c>
      <c r="BD5" s="71">
        <f t="shared" si="1"/>
        <v>0</v>
      </c>
      <c r="BE5" s="71">
        <f>SUBTOTAL(9,BE8:BE1047)</f>
        <v>43</v>
      </c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</row>
    <row r="6" spans="1:90" s="33" customFormat="1">
      <c r="B6" s="29" t="s">
        <v>15</v>
      </c>
      <c r="C6" s="29" t="s">
        <v>52</v>
      </c>
      <c r="D6" s="29" t="s">
        <v>53</v>
      </c>
      <c r="E6" s="29" t="s">
        <v>54</v>
      </c>
      <c r="F6" s="30" t="s">
        <v>55</v>
      </c>
      <c r="G6" s="36" t="s">
        <v>56</v>
      </c>
      <c r="H6" s="236" t="s">
        <v>57</v>
      </c>
      <c r="I6" s="236"/>
      <c r="J6" s="236"/>
      <c r="K6" s="232" t="s">
        <v>58</v>
      </c>
      <c r="L6" s="232"/>
      <c r="M6" s="232"/>
      <c r="N6" s="237" t="s">
        <v>59</v>
      </c>
      <c r="O6" s="237"/>
      <c r="P6" s="237"/>
      <c r="Q6" s="237" t="s">
        <v>60</v>
      </c>
      <c r="R6" s="237"/>
      <c r="S6" s="237"/>
      <c r="T6" s="237" t="s">
        <v>61</v>
      </c>
      <c r="U6" s="237"/>
      <c r="V6" s="237"/>
      <c r="W6" s="237" t="s">
        <v>62</v>
      </c>
      <c r="X6" s="237"/>
      <c r="Y6" s="237"/>
      <c r="Z6" s="238" t="s">
        <v>63</v>
      </c>
      <c r="AA6" s="238"/>
      <c r="AB6" s="238"/>
      <c r="AC6" s="237" t="s">
        <v>64</v>
      </c>
      <c r="AD6" s="237"/>
      <c r="AE6" s="237"/>
      <c r="AF6" s="239" t="s">
        <v>65</v>
      </c>
      <c r="AG6" s="240"/>
      <c r="AH6" s="241"/>
      <c r="AI6" s="232"/>
      <c r="AJ6" s="232"/>
      <c r="AK6" s="232"/>
      <c r="AM6" s="31">
        <v>1</v>
      </c>
      <c r="AN6" s="31">
        <v>2</v>
      </c>
      <c r="AO6" s="31">
        <v>3</v>
      </c>
      <c r="AP6" s="31">
        <v>4</v>
      </c>
      <c r="AQ6" s="31">
        <v>5</v>
      </c>
      <c r="AR6" s="31">
        <v>6</v>
      </c>
      <c r="AS6" s="31">
        <v>7</v>
      </c>
      <c r="AT6" s="31">
        <v>8</v>
      </c>
      <c r="AU6" s="31">
        <v>9</v>
      </c>
      <c r="AV6" s="31">
        <v>10</v>
      </c>
      <c r="AW6" s="31">
        <v>11</v>
      </c>
      <c r="AX6" s="31">
        <v>12</v>
      </c>
      <c r="AY6" s="31">
        <v>13</v>
      </c>
      <c r="AZ6" s="31">
        <v>14</v>
      </c>
      <c r="BA6" s="31">
        <v>15</v>
      </c>
      <c r="BB6" s="31">
        <v>16</v>
      </c>
      <c r="BC6" s="31">
        <v>17</v>
      </c>
      <c r="BD6" s="31">
        <v>18</v>
      </c>
      <c r="BE6" s="31"/>
      <c r="BF6" s="31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</row>
    <row r="7" spans="1:90" s="94" customFormat="1" ht="40.799999999999997">
      <c r="A7" s="89" t="s">
        <v>66</v>
      </c>
      <c r="B7" s="90" t="s">
        <v>24</v>
      </c>
      <c r="C7" s="91" t="s">
        <v>36</v>
      </c>
      <c r="D7" s="92" t="s">
        <v>35</v>
      </c>
      <c r="E7" s="91" t="s">
        <v>67</v>
      </c>
      <c r="F7" s="93" t="s">
        <v>68</v>
      </c>
      <c r="G7" s="72" t="s">
        <v>26</v>
      </c>
      <c r="H7" s="73" t="s">
        <v>69</v>
      </c>
      <c r="I7" s="74" t="s">
        <v>70</v>
      </c>
      <c r="J7" s="75" t="s">
        <v>71</v>
      </c>
      <c r="K7" s="76" t="s">
        <v>69</v>
      </c>
      <c r="L7" s="76" t="s">
        <v>70</v>
      </c>
      <c r="M7" s="76" t="s">
        <v>71</v>
      </c>
      <c r="N7" s="76" t="s">
        <v>69</v>
      </c>
      <c r="O7" s="76" t="s">
        <v>70</v>
      </c>
      <c r="P7" s="76" t="s">
        <v>71</v>
      </c>
      <c r="Q7" s="76" t="s">
        <v>69</v>
      </c>
      <c r="R7" s="76" t="s">
        <v>70</v>
      </c>
      <c r="S7" s="76" t="s">
        <v>71</v>
      </c>
      <c r="T7" s="76" t="s">
        <v>69</v>
      </c>
      <c r="U7" s="76" t="s">
        <v>70</v>
      </c>
      <c r="V7" s="76" t="s">
        <v>71</v>
      </c>
      <c r="W7" s="76" t="s">
        <v>69</v>
      </c>
      <c r="X7" s="76" t="s">
        <v>70</v>
      </c>
      <c r="Y7" s="76" t="s">
        <v>71</v>
      </c>
      <c r="Z7" s="76" t="s">
        <v>69</v>
      </c>
      <c r="AA7" s="76" t="s">
        <v>70</v>
      </c>
      <c r="AB7" s="76" t="s">
        <v>71</v>
      </c>
      <c r="AC7" s="76" t="s">
        <v>69</v>
      </c>
      <c r="AD7" s="76" t="s">
        <v>70</v>
      </c>
      <c r="AE7" s="76" t="s">
        <v>71</v>
      </c>
      <c r="AF7" s="76" t="s">
        <v>69</v>
      </c>
      <c r="AG7" s="76" t="s">
        <v>70</v>
      </c>
      <c r="AH7" s="76" t="s">
        <v>71</v>
      </c>
      <c r="AI7" s="76"/>
      <c r="AJ7" s="76"/>
      <c r="AK7" s="76"/>
      <c r="AM7" s="95" t="s">
        <v>72</v>
      </c>
      <c r="AN7" s="95" t="s">
        <v>73</v>
      </c>
      <c r="AO7" s="95" t="s">
        <v>74</v>
      </c>
      <c r="AP7" s="95" t="s">
        <v>75</v>
      </c>
      <c r="AQ7" s="95" t="s">
        <v>76</v>
      </c>
      <c r="AR7" s="95" t="s">
        <v>77</v>
      </c>
      <c r="AS7" s="95" t="s">
        <v>78</v>
      </c>
      <c r="AT7" s="95" t="s">
        <v>79</v>
      </c>
      <c r="AU7" s="95" t="s">
        <v>80</v>
      </c>
      <c r="AV7" s="95" t="s">
        <v>81</v>
      </c>
      <c r="AW7" s="95" t="s">
        <v>82</v>
      </c>
      <c r="AX7" s="95" t="s">
        <v>83</v>
      </c>
      <c r="AY7" s="95" t="s">
        <v>84</v>
      </c>
      <c r="AZ7" s="95" t="s">
        <v>85</v>
      </c>
      <c r="BA7" s="95" t="s">
        <v>86</v>
      </c>
      <c r="BB7" s="95" t="s">
        <v>87</v>
      </c>
      <c r="BC7" s="95" t="s">
        <v>88</v>
      </c>
      <c r="BD7" s="95" t="s">
        <v>89</v>
      </c>
      <c r="BE7" s="95" t="s">
        <v>1774</v>
      </c>
      <c r="BF7" s="95"/>
      <c r="BG7" s="96"/>
      <c r="BH7" s="96"/>
      <c r="BI7" s="96"/>
      <c r="BJ7" s="96"/>
      <c r="BK7" s="96"/>
      <c r="BL7" s="96"/>
      <c r="BM7" s="96"/>
      <c r="BN7" s="96"/>
      <c r="BO7" s="96"/>
      <c r="BP7" s="96"/>
      <c r="BQ7" s="96"/>
      <c r="BR7" s="96"/>
      <c r="BS7" s="96"/>
      <c r="BT7" s="96"/>
      <c r="BU7" s="96"/>
      <c r="BV7" s="96"/>
      <c r="BW7" s="96"/>
      <c r="BX7" s="96"/>
      <c r="BY7" s="96"/>
      <c r="BZ7" s="96"/>
      <c r="CA7" s="96"/>
      <c r="CB7" s="96"/>
      <c r="CC7" s="96"/>
      <c r="CD7" s="96"/>
      <c r="CE7" s="96"/>
      <c r="CF7" s="96"/>
      <c r="CG7" s="96"/>
      <c r="CH7" s="96"/>
      <c r="CI7" s="96"/>
      <c r="CJ7" s="96"/>
      <c r="CK7" s="96"/>
      <c r="CL7" s="96"/>
    </row>
    <row r="8" spans="1:90" ht="22.5" customHeight="1">
      <c r="A8" s="33">
        <f>IF(OR(ISBLANK(E8),ISBLANK(C8)),"",IF(COUNTIF($E$8:E8,E8)&gt;1,"",(MAX($A$7:A7)+1)))</f>
        <v>1</v>
      </c>
      <c r="B8" s="34">
        <f>IF(ISBLANK(C8),"",SUBTOTAL(3,$C$8:C8))</f>
        <v>1</v>
      </c>
      <c r="C8" s="78" t="s">
        <v>90</v>
      </c>
      <c r="D8" s="50" t="s">
        <v>91</v>
      </c>
      <c r="E8" s="50" t="s">
        <v>92</v>
      </c>
      <c r="F8" s="35" t="str">
        <f t="shared" ref="F8:F71" si="2">IFERROR(IF(OR(ISBLANK($C8),B8=""),"",INDEX(Luonggio,MATCH($C8,MaNVLuong,0))),"")</f>
        <v/>
      </c>
      <c r="G8" s="36" t="str">
        <f t="shared" ref="G8" si="3">IF(COUNTIF(H8:J8,"&gt;0")=0,"",IF(AND(OR(OR(SUM(H8)&gt;=2)),SUM(H8:J8)&gt;=4,OR(OR(SUM(I8)&gt;=1))),"A",IF(OR(OR(SUM(H8)&gt;=3)),"A",IF(AND(SUM(I8)&gt;=2,SUM(H8)=1),"B",IF(AND(SUM(I8)&gt;=1,SUM(H8)=2),"B",IF(H8=2,"B",IF(SUM(I8)&gt;=2,"C",IF(H8=1,"C",IF(AND(H8=1,I8=1),"C",IF(AND(SUM(H8:I8)=0,SUM(J8)&lt;=1),"D","D"))))))))))</f>
        <v/>
      </c>
      <c r="H8" s="51" t="str">
        <f t="shared" ref="H8:J23" si="4">IF(OR(ISBLANK($C8),COUNTIFS($K8:$AH8,"X",$K$7:$AH$7,H$7)=0,),"",COUNTIFS($K8:$AH8,"X",$K$7:$AH$7,H$7))</f>
        <v/>
      </c>
      <c r="I8" s="51" t="str">
        <f t="shared" si="4"/>
        <v/>
      </c>
      <c r="J8" s="51" t="str">
        <f t="shared" si="4"/>
        <v/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77">
        <f>COUNTIF(AM8:BD8,"X")</f>
        <v>0</v>
      </c>
      <c r="BF8" s="38"/>
    </row>
    <row r="9" spans="1:90" ht="22.5" customHeight="1">
      <c r="A9" s="33" t="str">
        <f>IF(OR(ISBLANK(E9),ISBLANK(C9)),"",IF(COUNTIF($E$8:E9,E9)&gt;1,"",(MAX($A$7:A8)+1)))</f>
        <v/>
      </c>
      <c r="B9" s="34">
        <f>IF(ISBLANK(C9),"",SUBTOTAL(3,$C$8:C9))</f>
        <v>2</v>
      </c>
      <c r="C9" s="78" t="s">
        <v>93</v>
      </c>
      <c r="D9" s="50" t="s">
        <v>94</v>
      </c>
      <c r="E9" s="50" t="s">
        <v>92</v>
      </c>
      <c r="F9" s="35" t="str">
        <f t="shared" si="2"/>
        <v/>
      </c>
      <c r="G9" s="36" t="str">
        <f t="shared" ref="G9:G72" si="5">IF(COUNTIF(H9:J9,"&gt;0")=0,"",IF(AND(OR(OR(SUM(H9)&gt;=2)),SUM(H9:J9)&gt;=4,OR(OR(SUM(I9)&gt;=1))),"A",IF(OR(OR(SUM(H9)&gt;=3)),"A",IF(AND(SUM(I9)&gt;=2,SUM(H9)=1),"B",IF(AND(SUM(I9)&gt;=1,SUM(H9)=2),"B",IF(H9=2,"B",IF(SUM(I9)&gt;=2,"C",IF(H9=1,"C",IF(AND(H9=1,I9=1),"C",IF(AND(SUM(H9:I9)=0,SUM(J9)&lt;=1),"D","D"))))))))))</f>
        <v/>
      </c>
      <c r="H9" s="51" t="str">
        <f t="shared" si="4"/>
        <v/>
      </c>
      <c r="I9" s="51" t="str">
        <f t="shared" si="4"/>
        <v/>
      </c>
      <c r="J9" s="51" t="str">
        <f t="shared" si="4"/>
        <v/>
      </c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77">
        <f t="shared" ref="BE9:BE72" si="6">COUNTIF(AM9:BD9,"X")</f>
        <v>0</v>
      </c>
      <c r="BF9" s="38"/>
    </row>
    <row r="10" spans="1:90" ht="22.5" customHeight="1">
      <c r="A10" s="33" t="str">
        <f>IF(OR(ISBLANK(E10),ISBLANK(C10)),"",IF(COUNTIF($E$8:E10,E10)&gt;1,"",(MAX($A$7:A9)+1)))</f>
        <v/>
      </c>
      <c r="B10" s="34">
        <f>IF(ISBLANK(C10),"",SUBTOTAL(3,$C$8:C10))</f>
        <v>3</v>
      </c>
      <c r="C10" s="78" t="s">
        <v>95</v>
      </c>
      <c r="D10" s="50" t="s">
        <v>96</v>
      </c>
      <c r="E10" s="50" t="s">
        <v>92</v>
      </c>
      <c r="F10" s="35" t="str">
        <f t="shared" si="2"/>
        <v/>
      </c>
      <c r="G10" s="36" t="str">
        <f t="shared" si="5"/>
        <v>A</v>
      </c>
      <c r="H10" s="51">
        <f t="shared" si="4"/>
        <v>2</v>
      </c>
      <c r="I10" s="51">
        <f t="shared" si="4"/>
        <v>3</v>
      </c>
      <c r="J10" s="51" t="str">
        <f t="shared" si="4"/>
        <v/>
      </c>
      <c r="K10" s="37" t="s">
        <v>47</v>
      </c>
      <c r="L10" s="37"/>
      <c r="M10" s="37"/>
      <c r="N10" s="37"/>
      <c r="O10" s="37" t="s">
        <v>47</v>
      </c>
      <c r="P10" s="37"/>
      <c r="Q10" s="37" t="s">
        <v>47</v>
      </c>
      <c r="R10" s="37"/>
      <c r="S10" s="37"/>
      <c r="T10" s="37"/>
      <c r="U10" s="37" t="s">
        <v>47</v>
      </c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 t="s">
        <v>47</v>
      </c>
      <c r="AH10" s="37"/>
      <c r="AI10" s="37"/>
      <c r="AJ10" s="37"/>
      <c r="AK10" s="37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 t="s">
        <v>47</v>
      </c>
      <c r="BA10" s="38"/>
      <c r="BB10" s="38"/>
      <c r="BC10" s="38"/>
      <c r="BD10" s="38"/>
      <c r="BE10" s="77">
        <f t="shared" si="6"/>
        <v>1</v>
      </c>
      <c r="BF10" s="38"/>
    </row>
    <row r="11" spans="1:90" ht="22.5" customHeight="1">
      <c r="A11" s="33" t="str">
        <f>IF(OR(ISBLANK(E11),ISBLANK(C11)),"",IF(COUNTIF($E$8:E11,E11)&gt;1,"",(MAX($A$7:A10)+1)))</f>
        <v/>
      </c>
      <c r="B11" s="34">
        <f>IF(ISBLANK(C11),"",SUBTOTAL(3,$C$8:C11))</f>
        <v>4</v>
      </c>
      <c r="C11" s="78" t="s">
        <v>97</v>
      </c>
      <c r="D11" s="50" t="s">
        <v>98</v>
      </c>
      <c r="E11" s="50" t="s">
        <v>92</v>
      </c>
      <c r="F11" s="35" t="str">
        <f t="shared" si="2"/>
        <v/>
      </c>
      <c r="G11" s="36" t="str">
        <f t="shared" si="5"/>
        <v>A</v>
      </c>
      <c r="H11" s="51">
        <f t="shared" si="4"/>
        <v>2</v>
      </c>
      <c r="I11" s="51">
        <f t="shared" si="4"/>
        <v>3</v>
      </c>
      <c r="J11" s="51" t="str">
        <f t="shared" si="4"/>
        <v/>
      </c>
      <c r="K11" s="37" t="s">
        <v>47</v>
      </c>
      <c r="L11" s="37"/>
      <c r="M11" s="37"/>
      <c r="N11" s="37"/>
      <c r="O11" s="37" t="s">
        <v>47</v>
      </c>
      <c r="P11" s="37"/>
      <c r="Q11" s="37" t="s">
        <v>47</v>
      </c>
      <c r="R11" s="37"/>
      <c r="S11" s="37"/>
      <c r="T11" s="37"/>
      <c r="U11" s="37" t="s">
        <v>47</v>
      </c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 t="s">
        <v>47</v>
      </c>
      <c r="AH11" s="37"/>
      <c r="AI11" s="37"/>
      <c r="AJ11" s="37"/>
      <c r="AK11" s="37"/>
      <c r="AM11" s="38"/>
      <c r="AN11" s="38"/>
      <c r="AO11" s="38"/>
      <c r="AP11" s="38"/>
      <c r="AQ11" s="38"/>
      <c r="AR11" s="38"/>
      <c r="AS11" s="38"/>
      <c r="AT11" s="38"/>
      <c r="AU11" s="38"/>
      <c r="AV11" s="38" t="s">
        <v>47</v>
      </c>
      <c r="AW11" s="38"/>
      <c r="AX11" s="38"/>
      <c r="AY11" s="38"/>
      <c r="AZ11" s="38"/>
      <c r="BA11" s="38"/>
      <c r="BB11" s="38"/>
      <c r="BC11" s="38"/>
      <c r="BD11" s="38"/>
      <c r="BE11" s="77">
        <f t="shared" si="6"/>
        <v>1</v>
      </c>
      <c r="BF11" s="38"/>
    </row>
    <row r="12" spans="1:90" ht="22.5" customHeight="1">
      <c r="A12" s="33" t="str">
        <f>IF(OR(ISBLANK(E12),ISBLANK(C12)),"",IF(COUNTIF($E$8:E12,E12)&gt;1,"",(MAX($A$7:A11)+1)))</f>
        <v/>
      </c>
      <c r="B12" s="34">
        <f>IF(ISBLANK(C12),"",SUBTOTAL(3,$C$8:C12))</f>
        <v>5</v>
      </c>
      <c r="C12" s="78" t="s">
        <v>99</v>
      </c>
      <c r="D12" s="50" t="s">
        <v>100</v>
      </c>
      <c r="E12" s="50" t="s">
        <v>92</v>
      </c>
      <c r="F12" s="35" t="str">
        <f t="shared" si="2"/>
        <v/>
      </c>
      <c r="G12" s="36" t="str">
        <f t="shared" si="5"/>
        <v>B</v>
      </c>
      <c r="H12" s="51">
        <f t="shared" si="4"/>
        <v>1</v>
      </c>
      <c r="I12" s="51">
        <f t="shared" si="4"/>
        <v>2</v>
      </c>
      <c r="J12" s="51" t="str">
        <f t="shared" si="4"/>
        <v/>
      </c>
      <c r="K12" s="37" t="s">
        <v>47</v>
      </c>
      <c r="L12" s="37"/>
      <c r="M12" s="37"/>
      <c r="N12" s="37"/>
      <c r="O12" s="37" t="s">
        <v>47</v>
      </c>
      <c r="P12" s="37"/>
      <c r="Q12" s="37"/>
      <c r="R12" s="37" t="s">
        <v>47</v>
      </c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M12" s="38"/>
      <c r="AN12" s="38"/>
      <c r="AO12" s="38"/>
      <c r="AP12" s="38"/>
      <c r="AQ12" s="38"/>
      <c r="AR12" s="38"/>
      <c r="AS12" s="38" t="s">
        <v>47</v>
      </c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77">
        <f t="shared" si="6"/>
        <v>1</v>
      </c>
      <c r="BF12" s="38"/>
    </row>
    <row r="13" spans="1:90" ht="22.5" customHeight="1">
      <c r="A13" s="33" t="str">
        <f>IF(OR(ISBLANK(E13),ISBLANK(C13)),"",IF(COUNTIF($E$8:E13,E13)&gt;1,"",(MAX($A$7:A12)+1)))</f>
        <v/>
      </c>
      <c r="B13" s="34">
        <f>IF(ISBLANK(C13),"",SUBTOTAL(3,$C$8:C13))</f>
        <v>6</v>
      </c>
      <c r="C13" s="78" t="s">
        <v>101</v>
      </c>
      <c r="D13" s="50" t="s">
        <v>102</v>
      </c>
      <c r="E13" s="50" t="s">
        <v>92</v>
      </c>
      <c r="F13" s="35" t="str">
        <f t="shared" si="2"/>
        <v/>
      </c>
      <c r="G13" s="36" t="str">
        <f t="shared" si="5"/>
        <v/>
      </c>
      <c r="H13" s="51" t="str">
        <f t="shared" si="4"/>
        <v/>
      </c>
      <c r="I13" s="51" t="str">
        <f t="shared" si="4"/>
        <v/>
      </c>
      <c r="J13" s="51" t="str">
        <f t="shared" si="4"/>
        <v/>
      </c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77">
        <f t="shared" si="6"/>
        <v>0</v>
      </c>
      <c r="BF13" s="38"/>
    </row>
    <row r="14" spans="1:90" ht="22.5" customHeight="1">
      <c r="A14" s="33" t="str">
        <f>IF(OR(ISBLANK(E14),ISBLANK(C14)),"",IF(COUNTIF($E$8:E14,E14)&gt;1,"",(MAX($A$7:A13)+1)))</f>
        <v/>
      </c>
      <c r="B14" s="34">
        <f>IF(ISBLANK(C14),"",SUBTOTAL(3,$C$8:C14))</f>
        <v>7</v>
      </c>
      <c r="C14" s="78" t="s">
        <v>103</v>
      </c>
      <c r="D14" s="50" t="s">
        <v>104</v>
      </c>
      <c r="E14" s="50" t="s">
        <v>92</v>
      </c>
      <c r="F14" s="35" t="str">
        <f t="shared" si="2"/>
        <v/>
      </c>
      <c r="G14" s="36" t="str">
        <f t="shared" si="5"/>
        <v>B</v>
      </c>
      <c r="H14" s="51">
        <f t="shared" si="4"/>
        <v>1</v>
      </c>
      <c r="I14" s="51">
        <f t="shared" si="4"/>
        <v>2</v>
      </c>
      <c r="J14" s="51" t="str">
        <f t="shared" si="4"/>
        <v/>
      </c>
      <c r="K14" s="37" t="s">
        <v>47</v>
      </c>
      <c r="L14" s="37"/>
      <c r="M14" s="37"/>
      <c r="N14" s="37"/>
      <c r="O14" s="37" t="s">
        <v>47</v>
      </c>
      <c r="P14" s="37"/>
      <c r="Q14" s="37"/>
      <c r="R14" s="37" t="s">
        <v>47</v>
      </c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M14" s="38"/>
      <c r="AN14" s="38"/>
      <c r="AO14" s="38"/>
      <c r="AP14" s="38"/>
      <c r="AQ14" s="38"/>
      <c r="AR14" s="38"/>
      <c r="AS14" s="38"/>
      <c r="AT14" s="38"/>
      <c r="AU14" s="38"/>
      <c r="AV14" s="38" t="s">
        <v>47</v>
      </c>
      <c r="AW14" s="38"/>
      <c r="AX14" s="38"/>
      <c r="AY14" s="38"/>
      <c r="AZ14" s="38"/>
      <c r="BA14" s="38"/>
      <c r="BB14" s="38"/>
      <c r="BC14" s="38"/>
      <c r="BD14" s="38"/>
      <c r="BE14" s="77">
        <f t="shared" si="6"/>
        <v>1</v>
      </c>
      <c r="BF14" s="38"/>
    </row>
    <row r="15" spans="1:90" ht="22.5" customHeight="1">
      <c r="A15" s="33" t="str">
        <f>IF(OR(ISBLANK(E15),ISBLANK(C15)),"",IF(COUNTIF($E$8:E15,E15)&gt;1,"",(MAX($A$7:A14)+1)))</f>
        <v/>
      </c>
      <c r="B15" s="34">
        <f>IF(ISBLANK(C15),"",SUBTOTAL(3,$C$8:C15))</f>
        <v>8</v>
      </c>
      <c r="C15" s="78" t="s">
        <v>105</v>
      </c>
      <c r="D15" s="50" t="s">
        <v>106</v>
      </c>
      <c r="E15" s="50" t="s">
        <v>92</v>
      </c>
      <c r="F15" s="35" t="str">
        <f t="shared" si="2"/>
        <v/>
      </c>
      <c r="G15" s="36" t="str">
        <f t="shared" si="5"/>
        <v>A</v>
      </c>
      <c r="H15" s="51">
        <f t="shared" si="4"/>
        <v>4</v>
      </c>
      <c r="I15" s="51">
        <f t="shared" si="4"/>
        <v>1</v>
      </c>
      <c r="J15" s="51" t="str">
        <f t="shared" si="4"/>
        <v/>
      </c>
      <c r="K15" s="37" t="s">
        <v>47</v>
      </c>
      <c r="L15" s="37"/>
      <c r="M15" s="37"/>
      <c r="N15" s="37" t="s">
        <v>47</v>
      </c>
      <c r="O15" s="37"/>
      <c r="P15" s="37"/>
      <c r="Q15" s="37" t="s">
        <v>47</v>
      </c>
      <c r="R15" s="37"/>
      <c r="S15" s="37"/>
      <c r="T15" s="37" t="s">
        <v>47</v>
      </c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 t="s">
        <v>47</v>
      </c>
      <c r="AH15" s="37"/>
      <c r="AI15" s="37"/>
      <c r="AJ15" s="37"/>
      <c r="AK15" s="37"/>
      <c r="AM15" s="38"/>
      <c r="AN15" s="38"/>
      <c r="AO15" s="38"/>
      <c r="AP15" s="38"/>
      <c r="AQ15" s="38"/>
      <c r="AR15" s="38"/>
      <c r="AS15" s="38"/>
      <c r="AT15" s="38"/>
      <c r="AU15" s="38" t="s">
        <v>47</v>
      </c>
      <c r="AV15" s="38"/>
      <c r="AW15" s="38" t="s">
        <v>47</v>
      </c>
      <c r="AX15" s="38"/>
      <c r="AY15" s="38"/>
      <c r="AZ15" s="38"/>
      <c r="BA15" s="38"/>
      <c r="BB15" s="38"/>
      <c r="BC15" s="38"/>
      <c r="BD15" s="38"/>
      <c r="BE15" s="77">
        <f t="shared" si="6"/>
        <v>2</v>
      </c>
      <c r="BF15" s="38"/>
    </row>
    <row r="16" spans="1:90" ht="22.5" customHeight="1">
      <c r="A16" s="33" t="str">
        <f>IF(OR(ISBLANK(E16),ISBLANK(C16)),"",IF(COUNTIF($E$8:E16,E16)&gt;1,"",(MAX($A$7:A15)+1)))</f>
        <v/>
      </c>
      <c r="B16" s="34">
        <f>IF(ISBLANK(C16),"",SUBTOTAL(3,$C$8:C16))</f>
        <v>9</v>
      </c>
      <c r="C16" s="78" t="s">
        <v>107</v>
      </c>
      <c r="D16" s="50" t="s">
        <v>108</v>
      </c>
      <c r="E16" s="50" t="s">
        <v>92</v>
      </c>
      <c r="F16" s="35" t="str">
        <f t="shared" si="2"/>
        <v/>
      </c>
      <c r="G16" s="36" t="str">
        <f t="shared" si="5"/>
        <v>B</v>
      </c>
      <c r="H16" s="51">
        <f t="shared" si="4"/>
        <v>2</v>
      </c>
      <c r="I16" s="51">
        <f t="shared" si="4"/>
        <v>1</v>
      </c>
      <c r="J16" s="51" t="str">
        <f t="shared" si="4"/>
        <v/>
      </c>
      <c r="K16" s="37" t="s">
        <v>47</v>
      </c>
      <c r="L16" s="37"/>
      <c r="M16" s="37"/>
      <c r="N16" s="37"/>
      <c r="O16" s="37" t="s">
        <v>47</v>
      </c>
      <c r="P16" s="37"/>
      <c r="Q16" s="37" t="s">
        <v>47</v>
      </c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77">
        <f t="shared" si="6"/>
        <v>0</v>
      </c>
      <c r="BF16" s="38"/>
    </row>
    <row r="17" spans="1:58" ht="22.5" customHeight="1">
      <c r="A17" s="33" t="str">
        <f>IF(OR(ISBLANK(E17),ISBLANK(C17)),"",IF(COUNTIF($E$8:E17,E17)&gt;1,"",(MAX($A$7:A16)+1)))</f>
        <v/>
      </c>
      <c r="B17" s="34">
        <f>IF(ISBLANK(C17),"",SUBTOTAL(3,$C$8:C17))</f>
        <v>10</v>
      </c>
      <c r="C17" s="78" t="s">
        <v>109</v>
      </c>
      <c r="D17" s="50" t="s">
        <v>110</v>
      </c>
      <c r="E17" s="50" t="s">
        <v>92</v>
      </c>
      <c r="F17" s="35" t="str">
        <f t="shared" si="2"/>
        <v/>
      </c>
      <c r="G17" s="36" t="str">
        <f t="shared" si="5"/>
        <v/>
      </c>
      <c r="H17" s="51" t="str">
        <f t="shared" si="4"/>
        <v/>
      </c>
      <c r="I17" s="51" t="str">
        <f t="shared" si="4"/>
        <v/>
      </c>
      <c r="J17" s="51" t="str">
        <f t="shared" si="4"/>
        <v/>
      </c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M17" s="38"/>
      <c r="AN17" s="38" t="s">
        <v>47</v>
      </c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77">
        <f t="shared" si="6"/>
        <v>1</v>
      </c>
      <c r="BF17" s="38"/>
    </row>
    <row r="18" spans="1:58" ht="22.5" customHeight="1">
      <c r="A18" s="33" t="str">
        <f>IF(OR(ISBLANK(E18),ISBLANK(C18)),"",IF(COUNTIF($E$8:E18,E18)&gt;1,"",(MAX($A$7:A17)+1)))</f>
        <v/>
      </c>
      <c r="B18" s="34">
        <f>IF(ISBLANK(C18),"",SUBTOTAL(3,$C$8:C18))</f>
        <v>11</v>
      </c>
      <c r="C18" s="78" t="s">
        <v>111</v>
      </c>
      <c r="D18" s="50" t="s">
        <v>112</v>
      </c>
      <c r="E18" s="50" t="s">
        <v>92</v>
      </c>
      <c r="F18" s="35" t="str">
        <f t="shared" si="2"/>
        <v/>
      </c>
      <c r="G18" s="36" t="str">
        <f t="shared" si="5"/>
        <v>A</v>
      </c>
      <c r="H18" s="51">
        <f t="shared" si="4"/>
        <v>4</v>
      </c>
      <c r="I18" s="51">
        <f t="shared" si="4"/>
        <v>2</v>
      </c>
      <c r="J18" s="51" t="str">
        <f t="shared" si="4"/>
        <v/>
      </c>
      <c r="K18" s="37" t="s">
        <v>47</v>
      </c>
      <c r="L18" s="37"/>
      <c r="M18" s="37"/>
      <c r="N18" s="37" t="s">
        <v>47</v>
      </c>
      <c r="O18" s="37"/>
      <c r="P18" s="37"/>
      <c r="Q18" s="37" t="s">
        <v>47</v>
      </c>
      <c r="R18" s="37"/>
      <c r="S18" s="37"/>
      <c r="T18" s="37" t="s">
        <v>47</v>
      </c>
      <c r="U18" s="37"/>
      <c r="V18" s="37"/>
      <c r="W18" s="37"/>
      <c r="X18" s="37" t="s">
        <v>47</v>
      </c>
      <c r="Y18" s="37"/>
      <c r="Z18" s="37"/>
      <c r="AA18" s="37"/>
      <c r="AB18" s="37"/>
      <c r="AC18" s="37"/>
      <c r="AD18" s="37"/>
      <c r="AE18" s="37"/>
      <c r="AF18" s="37"/>
      <c r="AG18" s="37" t="s">
        <v>47</v>
      </c>
      <c r="AH18" s="37"/>
      <c r="AI18" s="37"/>
      <c r="AJ18" s="37"/>
      <c r="AK18" s="37"/>
      <c r="AM18" s="38"/>
      <c r="AN18" s="38"/>
      <c r="AO18" s="38"/>
      <c r="AP18" s="38"/>
      <c r="AQ18" s="38" t="s">
        <v>47</v>
      </c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 t="s">
        <v>47</v>
      </c>
      <c r="BD18" s="38"/>
      <c r="BE18" s="77">
        <f t="shared" si="6"/>
        <v>2</v>
      </c>
      <c r="BF18" s="38"/>
    </row>
    <row r="19" spans="1:58" ht="22.5" customHeight="1">
      <c r="A19" s="33" t="str">
        <f>IF(OR(ISBLANK(E19),ISBLANK(C19)),"",IF(COUNTIF($E$8:E19,E19)&gt;1,"",(MAX($A$7:A18)+1)))</f>
        <v/>
      </c>
      <c r="B19" s="34">
        <f>IF(ISBLANK(C19),"",SUBTOTAL(3,$C$8:C19))</f>
        <v>12</v>
      </c>
      <c r="C19" s="78" t="s">
        <v>113</v>
      </c>
      <c r="D19" s="50" t="s">
        <v>114</v>
      </c>
      <c r="E19" s="50" t="s">
        <v>92</v>
      </c>
      <c r="F19" s="35" t="str">
        <f t="shared" si="2"/>
        <v/>
      </c>
      <c r="G19" s="36" t="str">
        <f t="shared" si="5"/>
        <v>A</v>
      </c>
      <c r="H19" s="51">
        <f t="shared" si="4"/>
        <v>4</v>
      </c>
      <c r="I19" s="51">
        <f t="shared" si="4"/>
        <v>2</v>
      </c>
      <c r="J19" s="51" t="str">
        <f t="shared" si="4"/>
        <v/>
      </c>
      <c r="K19" s="37" t="s">
        <v>47</v>
      </c>
      <c r="L19" s="37"/>
      <c r="M19" s="37"/>
      <c r="N19" s="37" t="s">
        <v>47</v>
      </c>
      <c r="O19" s="37"/>
      <c r="P19" s="37"/>
      <c r="Q19" s="37" t="s">
        <v>47</v>
      </c>
      <c r="R19" s="37"/>
      <c r="S19" s="37"/>
      <c r="T19" s="37" t="s">
        <v>47</v>
      </c>
      <c r="U19" s="37"/>
      <c r="V19" s="37"/>
      <c r="W19" s="37"/>
      <c r="X19" s="37" t="s">
        <v>47</v>
      </c>
      <c r="Y19" s="37"/>
      <c r="Z19" s="37"/>
      <c r="AA19" s="37"/>
      <c r="AB19" s="37"/>
      <c r="AC19" s="37"/>
      <c r="AD19" s="37"/>
      <c r="AE19" s="37"/>
      <c r="AF19" s="37"/>
      <c r="AG19" s="37" t="s">
        <v>47</v>
      </c>
      <c r="AH19" s="37"/>
      <c r="AI19" s="37"/>
      <c r="AJ19" s="37"/>
      <c r="AK19" s="37"/>
      <c r="AM19" s="38"/>
      <c r="AN19" s="38"/>
      <c r="AO19" s="38"/>
      <c r="AP19" s="38"/>
      <c r="AQ19" s="38"/>
      <c r="AR19" s="38" t="s">
        <v>47</v>
      </c>
      <c r="AS19" s="38" t="s">
        <v>47</v>
      </c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77">
        <f t="shared" si="6"/>
        <v>2</v>
      </c>
      <c r="BF19" s="38"/>
    </row>
    <row r="20" spans="1:58" ht="22.5" customHeight="1">
      <c r="A20" s="33" t="str">
        <f>IF(OR(ISBLANK(E20),ISBLANK(C20)),"",IF(COUNTIF($E$8:E20,E20)&gt;1,"",(MAX($A$7:A19)+1)))</f>
        <v/>
      </c>
      <c r="B20" s="34">
        <f>IF(ISBLANK(C20),"",SUBTOTAL(3,$C$8:C20))</f>
        <v>13</v>
      </c>
      <c r="C20" s="78" t="s">
        <v>115</v>
      </c>
      <c r="D20" s="50" t="s">
        <v>116</v>
      </c>
      <c r="E20" s="50" t="s">
        <v>92</v>
      </c>
      <c r="F20" s="35" t="str">
        <f t="shared" si="2"/>
        <v/>
      </c>
      <c r="G20" s="36" t="str">
        <f t="shared" si="5"/>
        <v>B</v>
      </c>
      <c r="H20" s="51">
        <f t="shared" si="4"/>
        <v>2</v>
      </c>
      <c r="I20" s="51">
        <f t="shared" si="4"/>
        <v>1</v>
      </c>
      <c r="J20" s="51" t="str">
        <f t="shared" si="4"/>
        <v/>
      </c>
      <c r="K20" s="37" t="s">
        <v>47</v>
      </c>
      <c r="L20" s="37"/>
      <c r="M20" s="37"/>
      <c r="N20" s="37" t="s">
        <v>47</v>
      </c>
      <c r="O20" s="37"/>
      <c r="P20" s="37"/>
      <c r="Q20" s="37"/>
      <c r="R20" s="37" t="s">
        <v>47</v>
      </c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 t="s">
        <v>47</v>
      </c>
      <c r="BC20" s="38"/>
      <c r="BD20" s="38"/>
      <c r="BE20" s="77">
        <f t="shared" si="6"/>
        <v>1</v>
      </c>
      <c r="BF20" s="38"/>
    </row>
    <row r="21" spans="1:58" ht="22.5" customHeight="1">
      <c r="A21" s="33" t="str">
        <f>IF(OR(ISBLANK(E21),ISBLANK(C21)),"",IF(COUNTIF($E$8:E21,E21)&gt;1,"",(MAX($A$7:A20)+1)))</f>
        <v/>
      </c>
      <c r="B21" s="34">
        <f>IF(ISBLANK(C21),"",SUBTOTAL(3,$C$8:C21))</f>
        <v>14</v>
      </c>
      <c r="C21" s="78" t="s">
        <v>117</v>
      </c>
      <c r="D21" s="50" t="s">
        <v>118</v>
      </c>
      <c r="E21" s="50" t="s">
        <v>92</v>
      </c>
      <c r="F21" s="35" t="str">
        <f t="shared" si="2"/>
        <v/>
      </c>
      <c r="G21" s="36" t="str">
        <f t="shared" si="5"/>
        <v>A</v>
      </c>
      <c r="H21" s="51">
        <f t="shared" si="4"/>
        <v>3</v>
      </c>
      <c r="I21" s="51" t="str">
        <f t="shared" si="4"/>
        <v/>
      </c>
      <c r="J21" s="51" t="str">
        <f t="shared" si="4"/>
        <v/>
      </c>
      <c r="K21" s="37" t="s">
        <v>47</v>
      </c>
      <c r="L21" s="37"/>
      <c r="M21" s="37"/>
      <c r="N21" s="37" t="s">
        <v>47</v>
      </c>
      <c r="O21" s="37"/>
      <c r="P21" s="37"/>
      <c r="Q21" s="37" t="s">
        <v>47</v>
      </c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77">
        <f t="shared" si="6"/>
        <v>0</v>
      </c>
      <c r="BF21" s="38"/>
    </row>
    <row r="22" spans="1:58" ht="22.5" customHeight="1">
      <c r="A22" s="33" t="str">
        <f>IF(OR(ISBLANK(E22),ISBLANK(C22)),"",IF(COUNTIF($E$8:E22,E22)&gt;1,"",(MAX($A$7:A21)+1)))</f>
        <v/>
      </c>
      <c r="B22" s="34">
        <f>IF(ISBLANK(C22),"",SUBTOTAL(3,$C$8:C22))</f>
        <v>15</v>
      </c>
      <c r="C22" s="78" t="s">
        <v>119</v>
      </c>
      <c r="D22" s="50" t="s">
        <v>120</v>
      </c>
      <c r="E22" s="50" t="s">
        <v>92</v>
      </c>
      <c r="F22" s="35" t="str">
        <f t="shared" si="2"/>
        <v/>
      </c>
      <c r="G22" s="36" t="str">
        <f t="shared" si="5"/>
        <v>D</v>
      </c>
      <c r="H22" s="51" t="str">
        <f t="shared" si="4"/>
        <v/>
      </c>
      <c r="I22" s="51">
        <f t="shared" si="4"/>
        <v>1</v>
      </c>
      <c r="J22" s="51">
        <f t="shared" si="4"/>
        <v>1</v>
      </c>
      <c r="K22" s="37"/>
      <c r="L22" s="37" t="s">
        <v>47</v>
      </c>
      <c r="M22" s="37"/>
      <c r="N22" s="37"/>
      <c r="O22" s="37"/>
      <c r="P22" s="37"/>
      <c r="Q22" s="37"/>
      <c r="R22" s="37"/>
      <c r="S22" s="37" t="s">
        <v>47</v>
      </c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M22" s="38" t="s">
        <v>47</v>
      </c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77">
        <f t="shared" si="6"/>
        <v>1</v>
      </c>
      <c r="BF22" s="38"/>
    </row>
    <row r="23" spans="1:58" ht="22.5" customHeight="1">
      <c r="A23" s="33" t="str">
        <f>IF(OR(ISBLANK(E23),ISBLANK(C23)),"",IF(COUNTIF($E$8:E23,E23)&gt;1,"",(MAX($A$7:A22)+1)))</f>
        <v/>
      </c>
      <c r="B23" s="34">
        <f>IF(ISBLANK(C23),"",SUBTOTAL(3,$C$8:C23))</f>
        <v>16</v>
      </c>
      <c r="C23" s="78" t="s">
        <v>121</v>
      </c>
      <c r="D23" s="50" t="s">
        <v>122</v>
      </c>
      <c r="E23" s="50" t="s">
        <v>92</v>
      </c>
      <c r="F23" s="35" t="str">
        <f t="shared" si="2"/>
        <v/>
      </c>
      <c r="G23" s="36" t="str">
        <f t="shared" si="5"/>
        <v>D</v>
      </c>
      <c r="H23" s="51" t="str">
        <f t="shared" si="4"/>
        <v/>
      </c>
      <c r="I23" s="51">
        <f t="shared" si="4"/>
        <v>1</v>
      </c>
      <c r="J23" s="51" t="str">
        <f t="shared" si="4"/>
        <v/>
      </c>
      <c r="K23" s="37"/>
      <c r="L23" s="37" t="s">
        <v>47</v>
      </c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M23" s="38"/>
      <c r="AN23" s="38"/>
      <c r="AO23" s="38"/>
      <c r="AP23" s="38"/>
      <c r="AQ23" s="38"/>
      <c r="AR23" s="38" t="s">
        <v>47</v>
      </c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77">
        <f t="shared" si="6"/>
        <v>1</v>
      </c>
      <c r="BF23" s="38"/>
    </row>
    <row r="24" spans="1:58" ht="22.5" customHeight="1">
      <c r="A24" s="33" t="str">
        <f>IF(OR(ISBLANK(E24),ISBLANK(C24)),"",IF(COUNTIF($E$8:E24,E24)&gt;1,"",(MAX($A$7:A23)+1)))</f>
        <v/>
      </c>
      <c r="B24" s="34">
        <f>IF(ISBLANK(C24),"",SUBTOTAL(3,$C$8:C24))</f>
        <v>17</v>
      </c>
      <c r="C24" s="78" t="s">
        <v>123</v>
      </c>
      <c r="D24" s="50" t="s">
        <v>124</v>
      </c>
      <c r="E24" s="50" t="s">
        <v>92</v>
      </c>
      <c r="F24" s="35" t="str">
        <f t="shared" si="2"/>
        <v/>
      </c>
      <c r="G24" s="36" t="str">
        <f t="shared" si="5"/>
        <v>A</v>
      </c>
      <c r="H24" s="51">
        <f t="shared" ref="H24:J87" si="7">IF(OR(ISBLANK($C24),COUNTIFS($K24:$AH24,"X",$K$7:$AH$7,H$7)=0,),"",COUNTIFS($K24:$AH24,"X",$K$7:$AH$7,H$7))</f>
        <v>4</v>
      </c>
      <c r="I24" s="51">
        <f t="shared" si="7"/>
        <v>2</v>
      </c>
      <c r="J24" s="51" t="str">
        <f t="shared" si="7"/>
        <v/>
      </c>
      <c r="K24" s="37" t="s">
        <v>47</v>
      </c>
      <c r="L24" s="37"/>
      <c r="M24" s="37"/>
      <c r="N24" s="37" t="s">
        <v>47</v>
      </c>
      <c r="O24" s="37"/>
      <c r="P24" s="37"/>
      <c r="Q24" s="37" t="s">
        <v>47</v>
      </c>
      <c r="R24" s="37"/>
      <c r="S24" s="37"/>
      <c r="T24" s="37" t="s">
        <v>47</v>
      </c>
      <c r="U24" s="37"/>
      <c r="V24" s="37"/>
      <c r="W24" s="37"/>
      <c r="X24" s="37" t="s">
        <v>47</v>
      </c>
      <c r="Y24" s="37"/>
      <c r="Z24" s="37"/>
      <c r="AA24" s="37"/>
      <c r="AB24" s="37"/>
      <c r="AC24" s="37"/>
      <c r="AD24" s="37"/>
      <c r="AE24" s="37"/>
      <c r="AF24" s="37"/>
      <c r="AG24" s="37" t="s">
        <v>47</v>
      </c>
      <c r="AH24" s="37"/>
      <c r="AI24" s="37"/>
      <c r="AJ24" s="37"/>
      <c r="AK24" s="37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 t="s">
        <v>47</v>
      </c>
      <c r="BB24" s="38"/>
      <c r="BC24" s="38"/>
      <c r="BD24" s="38"/>
      <c r="BE24" s="77">
        <f t="shared" si="6"/>
        <v>1</v>
      </c>
      <c r="BF24" s="38"/>
    </row>
    <row r="25" spans="1:58" ht="22.5" customHeight="1">
      <c r="A25" s="33" t="str">
        <f>IF(OR(ISBLANK(E25),ISBLANK(C25)),"",IF(COUNTIF($E$8:E25,E25)&gt;1,"",(MAX($A$7:A24)+1)))</f>
        <v/>
      </c>
      <c r="B25" s="34">
        <f>IF(ISBLANK(C25),"",SUBTOTAL(3,$C$8:C25))</f>
        <v>18</v>
      </c>
      <c r="C25" s="78" t="s">
        <v>125</v>
      </c>
      <c r="D25" s="50" t="s">
        <v>126</v>
      </c>
      <c r="E25" s="50" t="s">
        <v>92</v>
      </c>
      <c r="F25" s="35" t="str">
        <f t="shared" si="2"/>
        <v/>
      </c>
      <c r="G25" s="36" t="str">
        <f t="shared" si="5"/>
        <v>A</v>
      </c>
      <c r="H25" s="51">
        <f t="shared" si="7"/>
        <v>3</v>
      </c>
      <c r="I25" s="51">
        <f t="shared" si="7"/>
        <v>1</v>
      </c>
      <c r="J25" s="51" t="str">
        <f t="shared" si="7"/>
        <v/>
      </c>
      <c r="K25" s="37" t="s">
        <v>47</v>
      </c>
      <c r="L25" s="37"/>
      <c r="M25" s="37"/>
      <c r="N25" s="37" t="s">
        <v>47</v>
      </c>
      <c r="O25" s="37"/>
      <c r="P25" s="37"/>
      <c r="Q25" s="37" t="s">
        <v>47</v>
      </c>
      <c r="R25" s="37"/>
      <c r="S25" s="37"/>
      <c r="T25" s="37"/>
      <c r="U25" s="37"/>
      <c r="V25" s="37"/>
      <c r="W25" s="37"/>
      <c r="X25" s="37"/>
      <c r="Y25" s="37"/>
      <c r="Z25" s="37"/>
      <c r="AA25" s="37" t="s">
        <v>47</v>
      </c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M25" s="38"/>
      <c r="AN25" s="38"/>
      <c r="AO25" s="38"/>
      <c r="AP25" s="38"/>
      <c r="AQ25" s="38"/>
      <c r="AR25" s="38"/>
      <c r="AS25" s="38"/>
      <c r="AT25" s="38"/>
      <c r="AU25" s="38" t="s">
        <v>47</v>
      </c>
      <c r="AV25" s="38"/>
      <c r="AW25" s="38"/>
      <c r="AX25" s="38"/>
      <c r="AY25" s="38"/>
      <c r="AZ25" s="38"/>
      <c r="BA25" s="38"/>
      <c r="BB25" s="38"/>
      <c r="BC25" s="38"/>
      <c r="BD25" s="38"/>
      <c r="BE25" s="77">
        <f t="shared" si="6"/>
        <v>1</v>
      </c>
      <c r="BF25" s="38"/>
    </row>
    <row r="26" spans="1:58" ht="22.5" customHeight="1">
      <c r="A26" s="33" t="str">
        <f>IF(OR(ISBLANK(E26),ISBLANK(C26)),"",IF(COUNTIF($E$8:E26,E26)&gt;1,"",(MAX($A$7:A25)+1)))</f>
        <v/>
      </c>
      <c r="B26" s="34">
        <f>IF(ISBLANK(C26),"",SUBTOTAL(3,$C$8:C26))</f>
        <v>19</v>
      </c>
      <c r="C26" s="78" t="s">
        <v>127</v>
      </c>
      <c r="D26" s="50" t="s">
        <v>128</v>
      </c>
      <c r="E26" s="50" t="s">
        <v>92</v>
      </c>
      <c r="F26" s="35" t="str">
        <f t="shared" si="2"/>
        <v/>
      </c>
      <c r="G26" s="36" t="str">
        <f t="shared" si="5"/>
        <v>B</v>
      </c>
      <c r="H26" s="51">
        <f t="shared" si="7"/>
        <v>2</v>
      </c>
      <c r="I26" s="51" t="str">
        <f t="shared" si="7"/>
        <v/>
      </c>
      <c r="J26" s="51">
        <f t="shared" si="7"/>
        <v>1</v>
      </c>
      <c r="K26" s="37" t="s">
        <v>47</v>
      </c>
      <c r="L26" s="37"/>
      <c r="M26" s="37"/>
      <c r="N26" s="37" t="s">
        <v>47</v>
      </c>
      <c r="O26" s="37"/>
      <c r="P26" s="37" t="s">
        <v>47</v>
      </c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 t="s">
        <v>47</v>
      </c>
      <c r="AZ26" s="38"/>
      <c r="BA26" s="38"/>
      <c r="BB26" s="38"/>
      <c r="BC26" s="38"/>
      <c r="BD26" s="38"/>
      <c r="BE26" s="77">
        <f t="shared" si="6"/>
        <v>1</v>
      </c>
      <c r="BF26" s="38"/>
    </row>
    <row r="27" spans="1:58" ht="22.5" customHeight="1">
      <c r="A27" s="33" t="str">
        <f>IF(OR(ISBLANK(E27),ISBLANK(C27)),"",IF(COUNTIF($E$8:E27,E27)&gt;1,"",(MAX($A$7:A26)+1)))</f>
        <v/>
      </c>
      <c r="B27" s="34">
        <f>IF(ISBLANK(C27),"",SUBTOTAL(3,$C$8:C27))</f>
        <v>20</v>
      </c>
      <c r="C27" s="78" t="s">
        <v>129</v>
      </c>
      <c r="D27" s="50" t="s">
        <v>130</v>
      </c>
      <c r="E27" s="50" t="s">
        <v>92</v>
      </c>
      <c r="F27" s="35" t="str">
        <f t="shared" si="2"/>
        <v/>
      </c>
      <c r="G27" s="36" t="str">
        <f t="shared" si="5"/>
        <v>A</v>
      </c>
      <c r="H27" s="51">
        <f t="shared" si="7"/>
        <v>4</v>
      </c>
      <c r="I27" s="51">
        <f t="shared" si="7"/>
        <v>1</v>
      </c>
      <c r="J27" s="51" t="str">
        <f t="shared" si="7"/>
        <v/>
      </c>
      <c r="K27" s="37" t="s">
        <v>47</v>
      </c>
      <c r="L27" s="37"/>
      <c r="M27" s="37"/>
      <c r="N27" s="37" t="s">
        <v>47</v>
      </c>
      <c r="O27" s="37"/>
      <c r="P27" s="37"/>
      <c r="Q27" s="37" t="s">
        <v>47</v>
      </c>
      <c r="R27" s="37"/>
      <c r="S27" s="37"/>
      <c r="T27" s="37" t="s">
        <v>47</v>
      </c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 t="s">
        <v>47</v>
      </c>
      <c r="AH27" s="37"/>
      <c r="AI27" s="37"/>
      <c r="AJ27" s="37"/>
      <c r="AK27" s="37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 t="s">
        <v>47</v>
      </c>
      <c r="BC27" s="38"/>
      <c r="BD27" s="38"/>
      <c r="BE27" s="77">
        <f t="shared" si="6"/>
        <v>1</v>
      </c>
      <c r="BF27" s="38"/>
    </row>
    <row r="28" spans="1:58" ht="22.5" customHeight="1">
      <c r="A28" s="33" t="str">
        <f>IF(OR(ISBLANK(E28),ISBLANK(C28)),"",IF(COUNTIF($E$8:E28,E28)&gt;1,"",(MAX($A$7:A27)+1)))</f>
        <v/>
      </c>
      <c r="B28" s="34">
        <f>IF(ISBLANK(C28),"",SUBTOTAL(3,$C$8:C28))</f>
        <v>21</v>
      </c>
      <c r="C28" s="78" t="s">
        <v>131</v>
      </c>
      <c r="D28" s="50" t="s">
        <v>132</v>
      </c>
      <c r="E28" s="50" t="s">
        <v>92</v>
      </c>
      <c r="F28" s="35" t="str">
        <f t="shared" si="2"/>
        <v/>
      </c>
      <c r="G28" s="36" t="str">
        <f t="shared" si="5"/>
        <v>A</v>
      </c>
      <c r="H28" s="51">
        <f t="shared" si="7"/>
        <v>4</v>
      </c>
      <c r="I28" s="51">
        <f t="shared" si="7"/>
        <v>2</v>
      </c>
      <c r="J28" s="51" t="str">
        <f t="shared" si="7"/>
        <v/>
      </c>
      <c r="K28" s="37" t="s">
        <v>47</v>
      </c>
      <c r="L28" s="37"/>
      <c r="M28" s="37"/>
      <c r="N28" s="37"/>
      <c r="O28" s="37" t="s">
        <v>47</v>
      </c>
      <c r="P28" s="37"/>
      <c r="Q28" s="37"/>
      <c r="R28" s="37"/>
      <c r="S28" s="37"/>
      <c r="T28" s="37" t="s">
        <v>47</v>
      </c>
      <c r="U28" s="37"/>
      <c r="V28" s="37"/>
      <c r="W28" s="37" t="s">
        <v>47</v>
      </c>
      <c r="X28" s="37"/>
      <c r="Y28" s="37"/>
      <c r="Z28" s="37"/>
      <c r="AA28" s="37"/>
      <c r="AB28" s="37"/>
      <c r="AC28" s="37" t="s">
        <v>47</v>
      </c>
      <c r="AD28" s="37"/>
      <c r="AE28" s="37"/>
      <c r="AF28" s="37"/>
      <c r="AG28" s="37" t="s">
        <v>47</v>
      </c>
      <c r="AH28" s="37"/>
      <c r="AI28" s="37"/>
      <c r="AJ28" s="37"/>
      <c r="AK28" s="37"/>
      <c r="AM28" s="38"/>
      <c r="AN28" s="38"/>
      <c r="AO28" s="38"/>
      <c r="AP28" s="38"/>
      <c r="AQ28" s="38"/>
      <c r="AR28" s="38" t="s">
        <v>47</v>
      </c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77">
        <f t="shared" si="6"/>
        <v>1</v>
      </c>
      <c r="BF28" s="38"/>
    </row>
    <row r="29" spans="1:58" ht="22.5" customHeight="1">
      <c r="A29" s="33" t="str">
        <f>IF(OR(ISBLANK(E29),ISBLANK(C29)),"",IF(COUNTIF($E$8:E29,E29)&gt;1,"",(MAX($A$7:A28)+1)))</f>
        <v/>
      </c>
      <c r="B29" s="34">
        <f>IF(ISBLANK(C29),"",SUBTOTAL(3,$C$8:C29))</f>
        <v>22</v>
      </c>
      <c r="C29" s="78" t="s">
        <v>133</v>
      </c>
      <c r="D29" s="50" t="s">
        <v>134</v>
      </c>
      <c r="E29" s="50" t="s">
        <v>92</v>
      </c>
      <c r="F29" s="35" t="str">
        <f t="shared" si="2"/>
        <v/>
      </c>
      <c r="G29" s="36" t="str">
        <f t="shared" si="5"/>
        <v>B</v>
      </c>
      <c r="H29" s="51">
        <f t="shared" si="7"/>
        <v>1</v>
      </c>
      <c r="I29" s="51">
        <f t="shared" si="7"/>
        <v>3</v>
      </c>
      <c r="J29" s="51" t="str">
        <f t="shared" si="7"/>
        <v/>
      </c>
      <c r="K29" s="37"/>
      <c r="L29" s="37" t="s">
        <v>47</v>
      </c>
      <c r="M29" s="37"/>
      <c r="N29" s="37"/>
      <c r="O29" s="37" t="s">
        <v>47</v>
      </c>
      <c r="P29" s="37"/>
      <c r="Q29" s="37" t="s">
        <v>47</v>
      </c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 t="s">
        <v>47</v>
      </c>
      <c r="AH29" s="37"/>
      <c r="AI29" s="37"/>
      <c r="AJ29" s="37"/>
      <c r="AK29" s="37"/>
      <c r="AM29" s="38"/>
      <c r="AN29" s="38"/>
      <c r="AO29" s="38"/>
      <c r="AP29" s="38"/>
      <c r="AQ29" s="38" t="s">
        <v>47</v>
      </c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77">
        <f t="shared" si="6"/>
        <v>1</v>
      </c>
      <c r="BF29" s="38"/>
    </row>
    <row r="30" spans="1:58" ht="22.5" customHeight="1">
      <c r="A30" s="33" t="str">
        <f>IF(OR(ISBLANK(E30),ISBLANK(C30)),"",IF(COUNTIF($E$8:E30,E30)&gt;1,"",(MAX($A$7:A29)+1)))</f>
        <v/>
      </c>
      <c r="B30" s="34">
        <f>IF(ISBLANK(C30),"",SUBTOTAL(3,$C$8:C30))</f>
        <v>23</v>
      </c>
      <c r="C30" s="78" t="s">
        <v>135</v>
      </c>
      <c r="D30" s="50" t="s">
        <v>136</v>
      </c>
      <c r="E30" s="50" t="s">
        <v>92</v>
      </c>
      <c r="F30" s="35" t="str">
        <f t="shared" si="2"/>
        <v/>
      </c>
      <c r="G30" s="36" t="str">
        <f t="shared" si="5"/>
        <v>C</v>
      </c>
      <c r="H30" s="51">
        <f t="shared" si="7"/>
        <v>1</v>
      </c>
      <c r="I30" s="51">
        <f t="shared" si="7"/>
        <v>1</v>
      </c>
      <c r="J30" s="51" t="str">
        <f t="shared" si="7"/>
        <v/>
      </c>
      <c r="K30" s="37" t="s">
        <v>47</v>
      </c>
      <c r="L30" s="37"/>
      <c r="M30" s="37"/>
      <c r="N30" s="37"/>
      <c r="O30" s="37" t="s">
        <v>47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 t="s">
        <v>47</v>
      </c>
      <c r="BC30" s="38"/>
      <c r="BD30" s="38"/>
      <c r="BE30" s="77">
        <f t="shared" si="6"/>
        <v>1</v>
      </c>
      <c r="BF30" s="38"/>
    </row>
    <row r="31" spans="1:58" ht="22.5" customHeight="1">
      <c r="A31" s="33" t="str">
        <f>IF(OR(ISBLANK(E31),ISBLANK(C31)),"",IF(COUNTIF($E$8:E31,E31)&gt;1,"",(MAX($A$7:A30)+1)))</f>
        <v/>
      </c>
      <c r="B31" s="34">
        <f>IF(ISBLANK(C31),"",SUBTOTAL(3,$C$8:C31))</f>
        <v>24</v>
      </c>
      <c r="C31" s="78" t="s">
        <v>137</v>
      </c>
      <c r="D31" s="50" t="s">
        <v>138</v>
      </c>
      <c r="E31" s="50" t="s">
        <v>92</v>
      </c>
      <c r="F31" s="35" t="str">
        <f t="shared" si="2"/>
        <v/>
      </c>
      <c r="G31" s="36" t="str">
        <f t="shared" si="5"/>
        <v>A</v>
      </c>
      <c r="H31" s="51">
        <f t="shared" si="7"/>
        <v>3</v>
      </c>
      <c r="I31" s="51">
        <f t="shared" si="7"/>
        <v>2</v>
      </c>
      <c r="J31" s="51" t="str">
        <f t="shared" si="7"/>
        <v/>
      </c>
      <c r="K31" s="37" t="s">
        <v>47</v>
      </c>
      <c r="L31" s="37"/>
      <c r="M31" s="37"/>
      <c r="N31" s="37"/>
      <c r="O31" s="37" t="s">
        <v>47</v>
      </c>
      <c r="P31" s="37"/>
      <c r="Q31" s="37" t="s">
        <v>47</v>
      </c>
      <c r="R31" s="37"/>
      <c r="S31" s="37"/>
      <c r="T31" s="37" t="s">
        <v>47</v>
      </c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 t="s">
        <v>47</v>
      </c>
      <c r="AH31" s="37"/>
      <c r="AI31" s="37"/>
      <c r="AJ31" s="37"/>
      <c r="AK31" s="37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 t="s">
        <v>47</v>
      </c>
      <c r="AX31" s="38"/>
      <c r="AY31" s="38"/>
      <c r="AZ31" s="38"/>
      <c r="BA31" s="38"/>
      <c r="BB31" s="38"/>
      <c r="BC31" s="38"/>
      <c r="BD31" s="38"/>
      <c r="BE31" s="77">
        <f t="shared" si="6"/>
        <v>1</v>
      </c>
      <c r="BF31" s="38"/>
    </row>
    <row r="32" spans="1:58" ht="22.5" customHeight="1">
      <c r="A32" s="33" t="str">
        <f>IF(OR(ISBLANK(E32),ISBLANK(C32)),"",IF(COUNTIF($E$8:E32,E32)&gt;1,"",(MAX($A$7:A31)+1)))</f>
        <v/>
      </c>
      <c r="B32" s="34">
        <f>IF(ISBLANK(C32),"",SUBTOTAL(3,$C$8:C32))</f>
        <v>25</v>
      </c>
      <c r="C32" s="78" t="s">
        <v>139</v>
      </c>
      <c r="D32" s="50" t="s">
        <v>140</v>
      </c>
      <c r="E32" s="50" t="s">
        <v>92</v>
      </c>
      <c r="F32" s="35" t="str">
        <f t="shared" si="2"/>
        <v/>
      </c>
      <c r="G32" s="36" t="str">
        <f t="shared" si="5"/>
        <v/>
      </c>
      <c r="H32" s="51" t="str">
        <f t="shared" si="7"/>
        <v/>
      </c>
      <c r="I32" s="51" t="str">
        <f t="shared" si="7"/>
        <v/>
      </c>
      <c r="J32" s="51" t="str">
        <f t="shared" si="7"/>
        <v/>
      </c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77">
        <f t="shared" si="6"/>
        <v>0</v>
      </c>
      <c r="BF32" s="38"/>
    </row>
    <row r="33" spans="1:58" ht="22.5" customHeight="1">
      <c r="A33" s="33" t="str">
        <f>IF(OR(ISBLANK(E33),ISBLANK(C33)),"",IF(COUNTIF($E$8:E33,E33)&gt;1,"",(MAX($A$7:A32)+1)))</f>
        <v/>
      </c>
      <c r="B33" s="34">
        <f>IF(ISBLANK(C33),"",SUBTOTAL(3,$C$8:C33))</f>
        <v>26</v>
      </c>
      <c r="C33" s="78" t="s">
        <v>141</v>
      </c>
      <c r="D33" s="50" t="s">
        <v>142</v>
      </c>
      <c r="E33" s="50" t="s">
        <v>92</v>
      </c>
      <c r="F33" s="35" t="str">
        <f t="shared" si="2"/>
        <v/>
      </c>
      <c r="G33" s="36" t="str">
        <f t="shared" si="5"/>
        <v>C</v>
      </c>
      <c r="H33" s="51">
        <f t="shared" si="7"/>
        <v>1</v>
      </c>
      <c r="I33" s="51">
        <f t="shared" si="7"/>
        <v>1</v>
      </c>
      <c r="J33" s="51" t="str">
        <f t="shared" si="7"/>
        <v/>
      </c>
      <c r="K33" s="37" t="s">
        <v>47</v>
      </c>
      <c r="L33" s="37"/>
      <c r="M33" s="37"/>
      <c r="N33" s="37"/>
      <c r="O33" s="37"/>
      <c r="P33" s="37"/>
      <c r="Q33" s="37"/>
      <c r="R33" s="37" t="s">
        <v>47</v>
      </c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M33" s="38"/>
      <c r="AN33" s="38"/>
      <c r="AO33" s="38"/>
      <c r="AP33" s="38"/>
      <c r="AQ33" s="38" t="s">
        <v>47</v>
      </c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77">
        <f t="shared" si="6"/>
        <v>1</v>
      </c>
      <c r="BF33" s="38"/>
    </row>
    <row r="34" spans="1:58" ht="22.5" customHeight="1">
      <c r="A34" s="33" t="str">
        <f>IF(OR(ISBLANK(E34),ISBLANK(C34)),"",IF(COUNTIF($E$8:E34,E34)&gt;1,"",(MAX($A$7:A33)+1)))</f>
        <v/>
      </c>
      <c r="B34" s="34">
        <f>IF(ISBLANK(C34),"",SUBTOTAL(3,$C$8:C34))</f>
        <v>27</v>
      </c>
      <c r="C34" s="80" t="s">
        <v>143</v>
      </c>
      <c r="D34" s="52" t="s">
        <v>144</v>
      </c>
      <c r="E34" s="50" t="s">
        <v>92</v>
      </c>
      <c r="F34" s="35" t="str">
        <f t="shared" si="2"/>
        <v/>
      </c>
      <c r="G34" s="36" t="str">
        <f t="shared" si="5"/>
        <v/>
      </c>
      <c r="H34" s="51" t="str">
        <f t="shared" si="7"/>
        <v/>
      </c>
      <c r="I34" s="51" t="str">
        <f t="shared" si="7"/>
        <v/>
      </c>
      <c r="J34" s="51" t="str">
        <f t="shared" si="7"/>
        <v/>
      </c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M34" s="38"/>
      <c r="AN34" s="38" t="s">
        <v>47</v>
      </c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77">
        <f t="shared" si="6"/>
        <v>1</v>
      </c>
      <c r="BF34" s="38"/>
    </row>
    <row r="35" spans="1:58" ht="22.5" customHeight="1">
      <c r="A35" s="33" t="str">
        <f>IF(OR(ISBLANK(E35),ISBLANK(C35)),"",IF(COUNTIF($E$8:E35,E35)&gt;1,"",(MAX($A$7:A34)+1)))</f>
        <v/>
      </c>
      <c r="B35" s="34">
        <f>IF(ISBLANK(C35),"",SUBTOTAL(3,$C$8:C35))</f>
        <v>28</v>
      </c>
      <c r="C35" s="80" t="s">
        <v>145</v>
      </c>
      <c r="D35" s="50" t="s">
        <v>146</v>
      </c>
      <c r="E35" s="50" t="s">
        <v>92</v>
      </c>
      <c r="F35" s="35" t="str">
        <f t="shared" si="2"/>
        <v/>
      </c>
      <c r="G35" s="36" t="str">
        <f t="shared" si="5"/>
        <v>B</v>
      </c>
      <c r="H35" s="51">
        <f t="shared" si="7"/>
        <v>2</v>
      </c>
      <c r="I35" s="51">
        <f t="shared" si="7"/>
        <v>1</v>
      </c>
      <c r="J35" s="51" t="str">
        <f t="shared" si="7"/>
        <v/>
      </c>
      <c r="K35" s="37" t="s">
        <v>47</v>
      </c>
      <c r="L35" s="37"/>
      <c r="M35" s="37"/>
      <c r="N35" s="37"/>
      <c r="O35" s="37" t="s">
        <v>47</v>
      </c>
      <c r="P35" s="37"/>
      <c r="Q35" s="37" t="s">
        <v>47</v>
      </c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M35" s="38"/>
      <c r="AN35" s="38"/>
      <c r="AO35" s="38"/>
      <c r="AP35" s="38"/>
      <c r="AQ35" s="38"/>
      <c r="AR35" s="38"/>
      <c r="AS35" s="38" t="s">
        <v>47</v>
      </c>
      <c r="AT35" s="38" t="s">
        <v>47</v>
      </c>
      <c r="AU35" s="38"/>
      <c r="AV35" s="38"/>
      <c r="AW35" s="38" t="s">
        <v>47</v>
      </c>
      <c r="AX35" s="38"/>
      <c r="AY35" s="38"/>
      <c r="AZ35" s="38"/>
      <c r="BA35" s="38"/>
      <c r="BB35" s="38"/>
      <c r="BC35" s="38"/>
      <c r="BD35" s="38"/>
      <c r="BE35" s="77">
        <f t="shared" si="6"/>
        <v>3</v>
      </c>
      <c r="BF35" s="38"/>
    </row>
    <row r="36" spans="1:58" ht="22.5" customHeight="1">
      <c r="A36" s="33" t="str">
        <f>IF(OR(ISBLANK(E36),ISBLANK(C36)),"",IF(COUNTIF($E$8:E36,E36)&gt;1,"",(MAX($A$7:A35)+1)))</f>
        <v/>
      </c>
      <c r="B36" s="34">
        <f>IF(ISBLANK(C36),"",SUBTOTAL(3,$C$8:C36))</f>
        <v>29</v>
      </c>
      <c r="C36" s="80" t="s">
        <v>147</v>
      </c>
      <c r="D36" s="50" t="s">
        <v>148</v>
      </c>
      <c r="E36" s="50" t="s">
        <v>92</v>
      </c>
      <c r="F36" s="35" t="str">
        <f t="shared" si="2"/>
        <v/>
      </c>
      <c r="G36" s="36" t="str">
        <f t="shared" si="5"/>
        <v>A</v>
      </c>
      <c r="H36" s="51">
        <f t="shared" si="7"/>
        <v>3</v>
      </c>
      <c r="I36" s="51">
        <f t="shared" si="7"/>
        <v>3</v>
      </c>
      <c r="J36" s="51" t="str">
        <f t="shared" si="7"/>
        <v/>
      </c>
      <c r="K36" s="37" t="s">
        <v>47</v>
      </c>
      <c r="L36" s="37"/>
      <c r="M36" s="37"/>
      <c r="N36" s="37" t="s">
        <v>47</v>
      </c>
      <c r="O36" s="37"/>
      <c r="P36" s="37"/>
      <c r="Q36" s="37" t="s">
        <v>47</v>
      </c>
      <c r="R36" s="37"/>
      <c r="S36" s="37"/>
      <c r="T36" s="37"/>
      <c r="U36" s="37" t="s">
        <v>47</v>
      </c>
      <c r="V36" s="37"/>
      <c r="W36" s="37"/>
      <c r="X36" s="37"/>
      <c r="Y36" s="37"/>
      <c r="Z36" s="37"/>
      <c r="AA36" s="37" t="s">
        <v>47</v>
      </c>
      <c r="AB36" s="37"/>
      <c r="AC36" s="37"/>
      <c r="AD36" s="37"/>
      <c r="AE36" s="37"/>
      <c r="AF36" s="37"/>
      <c r="AG36" s="37" t="s">
        <v>47</v>
      </c>
      <c r="AH36" s="37"/>
      <c r="AI36" s="37"/>
      <c r="AJ36" s="37"/>
      <c r="AK36" s="37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77">
        <f t="shared" si="6"/>
        <v>0</v>
      </c>
      <c r="BF36" s="38"/>
    </row>
    <row r="37" spans="1:58" ht="22.5" customHeight="1">
      <c r="A37" s="33" t="str">
        <f>IF(OR(ISBLANK(E37),ISBLANK(C37)),"",IF(COUNTIF($E$8:E37,E37)&gt;1,"",(MAX($A$7:A36)+1)))</f>
        <v/>
      </c>
      <c r="B37" s="34">
        <f>IF(ISBLANK(C37),"",SUBTOTAL(3,$C$8:C37))</f>
        <v>30</v>
      </c>
      <c r="C37" s="80" t="s">
        <v>149</v>
      </c>
      <c r="D37" s="50" t="s">
        <v>150</v>
      </c>
      <c r="E37" s="50" t="s">
        <v>92</v>
      </c>
      <c r="F37" s="35" t="str">
        <f t="shared" si="2"/>
        <v/>
      </c>
      <c r="G37" s="36" t="str">
        <f t="shared" si="5"/>
        <v>C</v>
      </c>
      <c r="H37" s="51" t="str">
        <f t="shared" si="7"/>
        <v/>
      </c>
      <c r="I37" s="51">
        <f t="shared" si="7"/>
        <v>3</v>
      </c>
      <c r="J37" s="51" t="str">
        <f t="shared" si="7"/>
        <v/>
      </c>
      <c r="K37" s="37"/>
      <c r="L37" s="37" t="s">
        <v>47</v>
      </c>
      <c r="M37" s="37"/>
      <c r="N37" s="37"/>
      <c r="O37" s="37"/>
      <c r="P37" s="37"/>
      <c r="Q37" s="37"/>
      <c r="R37" s="37" t="s">
        <v>47</v>
      </c>
      <c r="S37" s="37"/>
      <c r="T37" s="37"/>
      <c r="U37" s="37" t="s">
        <v>47</v>
      </c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 t="s">
        <v>47</v>
      </c>
      <c r="AZ37" s="38"/>
      <c r="BA37" s="38"/>
      <c r="BB37" s="38"/>
      <c r="BC37" s="38" t="s">
        <v>47</v>
      </c>
      <c r="BD37" s="38"/>
      <c r="BE37" s="77">
        <f t="shared" si="6"/>
        <v>2</v>
      </c>
      <c r="BF37" s="38"/>
    </row>
    <row r="38" spans="1:58" ht="22.5" customHeight="1">
      <c r="A38" s="33" t="str">
        <f>IF(OR(ISBLANK(E38),ISBLANK(C38)),"",IF(COUNTIF($E$8:E38,E38)&gt;1,"",(MAX($A$7:A37)+1)))</f>
        <v/>
      </c>
      <c r="B38" s="34">
        <f>IF(ISBLANK(C38),"",SUBTOTAL(3,$C$8:C38))</f>
        <v>31</v>
      </c>
      <c r="C38" s="78" t="s">
        <v>151</v>
      </c>
      <c r="D38" s="50" t="s">
        <v>152</v>
      </c>
      <c r="E38" s="50" t="s">
        <v>92</v>
      </c>
      <c r="F38" s="35" t="str">
        <f t="shared" si="2"/>
        <v/>
      </c>
      <c r="G38" s="36" t="str">
        <f t="shared" si="5"/>
        <v>B</v>
      </c>
      <c r="H38" s="51">
        <f t="shared" si="7"/>
        <v>2</v>
      </c>
      <c r="I38" s="51" t="str">
        <f t="shared" si="7"/>
        <v/>
      </c>
      <c r="J38" s="51">
        <f t="shared" si="7"/>
        <v>1</v>
      </c>
      <c r="K38" s="37" t="s">
        <v>47</v>
      </c>
      <c r="L38" s="37"/>
      <c r="M38" s="37"/>
      <c r="N38" s="37"/>
      <c r="O38" s="37"/>
      <c r="P38" s="37"/>
      <c r="Q38" s="37" t="s">
        <v>47</v>
      </c>
      <c r="R38" s="37"/>
      <c r="S38" s="37"/>
      <c r="T38" s="37"/>
      <c r="U38" s="37"/>
      <c r="V38" s="37" t="s">
        <v>47</v>
      </c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 t="s">
        <v>47</v>
      </c>
      <c r="BC38" s="38"/>
      <c r="BD38" s="38"/>
      <c r="BE38" s="77">
        <f t="shared" si="6"/>
        <v>1</v>
      </c>
      <c r="BF38" s="38"/>
    </row>
    <row r="39" spans="1:58" ht="22.5" customHeight="1">
      <c r="A39" s="33" t="str">
        <f>IF(OR(ISBLANK(E39),ISBLANK(C39)),"",IF(COUNTIF($E$8:E39,E39)&gt;1,"",(MAX($A$7:A38)+1)))</f>
        <v/>
      </c>
      <c r="B39" s="34">
        <f>IF(ISBLANK(C39),"",SUBTOTAL(3,$C$8:C39))</f>
        <v>32</v>
      </c>
      <c r="C39" s="80" t="s">
        <v>153</v>
      </c>
      <c r="D39" s="50" t="s">
        <v>154</v>
      </c>
      <c r="E39" s="50" t="s">
        <v>92</v>
      </c>
      <c r="F39" s="35" t="str">
        <f t="shared" si="2"/>
        <v/>
      </c>
      <c r="G39" s="36" t="str">
        <f t="shared" si="5"/>
        <v>B</v>
      </c>
      <c r="H39" s="51">
        <f t="shared" si="7"/>
        <v>1</v>
      </c>
      <c r="I39" s="51">
        <f t="shared" si="7"/>
        <v>2</v>
      </c>
      <c r="J39" s="51" t="str">
        <f t="shared" si="7"/>
        <v/>
      </c>
      <c r="K39" s="37" t="s">
        <v>47</v>
      </c>
      <c r="L39" s="37"/>
      <c r="M39" s="37"/>
      <c r="N39" s="37"/>
      <c r="O39" s="37" t="s">
        <v>47</v>
      </c>
      <c r="P39" s="37"/>
      <c r="Q39" s="37"/>
      <c r="R39" s="37" t="s">
        <v>47</v>
      </c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77">
        <f t="shared" si="6"/>
        <v>0</v>
      </c>
      <c r="BF39" s="38"/>
    </row>
    <row r="40" spans="1:58" ht="22.5" customHeight="1">
      <c r="A40" s="33" t="str">
        <f>IF(OR(ISBLANK(E40),ISBLANK(C40)),"",IF(COUNTIF($E$8:E40,E40)&gt;1,"",(MAX($A$7:A39)+1)))</f>
        <v/>
      </c>
      <c r="B40" s="34">
        <f>IF(ISBLANK(C40),"",SUBTOTAL(3,$C$8:C40))</f>
        <v>33</v>
      </c>
      <c r="C40" s="79" t="s">
        <v>155</v>
      </c>
      <c r="D40" s="50" t="s">
        <v>156</v>
      </c>
      <c r="E40" s="50" t="s">
        <v>92</v>
      </c>
      <c r="F40" s="35" t="str">
        <f t="shared" si="2"/>
        <v/>
      </c>
      <c r="G40" s="36" t="str">
        <f t="shared" si="5"/>
        <v>D</v>
      </c>
      <c r="H40" s="51" t="str">
        <f t="shared" si="7"/>
        <v/>
      </c>
      <c r="I40" s="51">
        <f t="shared" si="7"/>
        <v>1</v>
      </c>
      <c r="J40" s="51" t="str">
        <f t="shared" si="7"/>
        <v/>
      </c>
      <c r="K40" s="37"/>
      <c r="L40" s="37" t="s">
        <v>47</v>
      </c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M40" s="38"/>
      <c r="AN40" s="38"/>
      <c r="AO40" s="38"/>
      <c r="AP40" s="38" t="s">
        <v>47</v>
      </c>
      <c r="AQ40" s="38" t="s">
        <v>47</v>
      </c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77">
        <f t="shared" si="6"/>
        <v>2</v>
      </c>
      <c r="BF40" s="38"/>
    </row>
    <row r="41" spans="1:58" ht="22.5" customHeight="1">
      <c r="A41" s="33" t="str">
        <f>IF(OR(ISBLANK(E41),ISBLANK(C41)),"",IF(COUNTIF($E$8:E41,E41)&gt;1,"",(MAX($A$7:A40)+1)))</f>
        <v/>
      </c>
      <c r="B41" s="34">
        <f>IF(ISBLANK(C41),"",SUBTOTAL(3,$C$8:C41))</f>
        <v>34</v>
      </c>
      <c r="C41" s="80" t="s">
        <v>157</v>
      </c>
      <c r="D41" s="50" t="s">
        <v>158</v>
      </c>
      <c r="E41" s="50" t="s">
        <v>92</v>
      </c>
      <c r="F41" s="35" t="str">
        <f t="shared" si="2"/>
        <v/>
      </c>
      <c r="G41" s="36" t="str">
        <f t="shared" si="5"/>
        <v>B</v>
      </c>
      <c r="H41" s="51">
        <f t="shared" si="7"/>
        <v>1</v>
      </c>
      <c r="I41" s="51">
        <f t="shared" si="7"/>
        <v>2</v>
      </c>
      <c r="J41" s="51" t="str">
        <f t="shared" si="7"/>
        <v/>
      </c>
      <c r="K41" s="37"/>
      <c r="L41" s="37" t="s">
        <v>47</v>
      </c>
      <c r="M41" s="37"/>
      <c r="N41" s="37"/>
      <c r="O41" s="37"/>
      <c r="P41" s="37"/>
      <c r="Q41" s="37"/>
      <c r="R41" s="37" t="s">
        <v>47</v>
      </c>
      <c r="S41" s="37"/>
      <c r="T41" s="37"/>
      <c r="U41" s="37"/>
      <c r="V41" s="37"/>
      <c r="W41" s="37"/>
      <c r="X41" s="37"/>
      <c r="Y41" s="37"/>
      <c r="Z41" s="37" t="s">
        <v>47</v>
      </c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M41" s="38" t="s">
        <v>47</v>
      </c>
      <c r="AN41" s="38"/>
      <c r="AO41" s="38" t="s">
        <v>47</v>
      </c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77">
        <f t="shared" si="6"/>
        <v>2</v>
      </c>
      <c r="BF41" s="38"/>
    </row>
    <row r="42" spans="1:58" ht="22.5" customHeight="1">
      <c r="A42" s="33" t="str">
        <f>IF(OR(ISBLANK(E42),ISBLANK(C42)),"",IF(COUNTIF($E$8:E42,E42)&gt;1,"",(MAX($A$7:A41)+1)))</f>
        <v/>
      </c>
      <c r="B42" s="34">
        <f>IF(ISBLANK(C42),"",SUBTOTAL(3,$C$8:C42))</f>
        <v>35</v>
      </c>
      <c r="C42" s="80" t="s">
        <v>159</v>
      </c>
      <c r="D42" s="50" t="s">
        <v>160</v>
      </c>
      <c r="E42" s="50" t="s">
        <v>92</v>
      </c>
      <c r="F42" s="35" t="str">
        <f t="shared" si="2"/>
        <v/>
      </c>
      <c r="G42" s="36" t="str">
        <f t="shared" si="5"/>
        <v>D</v>
      </c>
      <c r="H42" s="51" t="str">
        <f t="shared" si="7"/>
        <v/>
      </c>
      <c r="I42" s="51">
        <f t="shared" si="7"/>
        <v>1</v>
      </c>
      <c r="J42" s="51" t="str">
        <f t="shared" si="7"/>
        <v/>
      </c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 t="s">
        <v>47</v>
      </c>
      <c r="AH42" s="37"/>
      <c r="AI42" s="37"/>
      <c r="AJ42" s="37"/>
      <c r="AK42" s="37"/>
      <c r="AM42" s="38"/>
      <c r="AN42" s="38"/>
      <c r="AO42" s="38"/>
      <c r="AP42" s="38" t="s">
        <v>47</v>
      </c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77">
        <f t="shared" si="6"/>
        <v>1</v>
      </c>
      <c r="BF42" s="38"/>
    </row>
    <row r="43" spans="1:58" ht="22.5" customHeight="1">
      <c r="A43" s="33" t="str">
        <f>IF(OR(ISBLANK(E43),ISBLANK(C43)),"",IF(COUNTIF($E$8:E43,E43)&gt;1,"",(MAX($A$7:A42)+1)))</f>
        <v/>
      </c>
      <c r="B43" s="34">
        <f>IF(ISBLANK(C43),"",SUBTOTAL(3,$C$8:C43))</f>
        <v>36</v>
      </c>
      <c r="C43" s="80" t="s">
        <v>161</v>
      </c>
      <c r="D43" s="50" t="s">
        <v>162</v>
      </c>
      <c r="E43" s="50" t="s">
        <v>92</v>
      </c>
      <c r="F43" s="35" t="str">
        <f t="shared" si="2"/>
        <v/>
      </c>
      <c r="G43" s="36" t="str">
        <f t="shared" si="5"/>
        <v>A</v>
      </c>
      <c r="H43" s="51">
        <f t="shared" si="7"/>
        <v>2</v>
      </c>
      <c r="I43" s="51">
        <f t="shared" si="7"/>
        <v>3</v>
      </c>
      <c r="J43" s="51" t="str">
        <f t="shared" si="7"/>
        <v/>
      </c>
      <c r="K43" s="37"/>
      <c r="L43" s="37" t="s">
        <v>47</v>
      </c>
      <c r="M43" s="37"/>
      <c r="N43" s="37"/>
      <c r="O43" s="37" t="s">
        <v>47</v>
      </c>
      <c r="P43" s="37"/>
      <c r="Q43" s="37"/>
      <c r="R43" s="37" t="s">
        <v>47</v>
      </c>
      <c r="S43" s="37"/>
      <c r="T43" s="37"/>
      <c r="U43" s="37"/>
      <c r="V43" s="37"/>
      <c r="W43" s="37"/>
      <c r="X43" s="37"/>
      <c r="Y43" s="37"/>
      <c r="Z43" s="37" t="s">
        <v>47</v>
      </c>
      <c r="AA43" s="37"/>
      <c r="AB43" s="37"/>
      <c r="AC43" s="37"/>
      <c r="AD43" s="37"/>
      <c r="AE43" s="37"/>
      <c r="AF43" s="37" t="s">
        <v>47</v>
      </c>
      <c r="AG43" s="37"/>
      <c r="AH43" s="37"/>
      <c r="AI43" s="37"/>
      <c r="AJ43" s="37"/>
      <c r="AK43" s="37"/>
      <c r="AM43" s="38"/>
      <c r="AN43" s="38"/>
      <c r="AO43" s="38" t="s">
        <v>47</v>
      </c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77">
        <f t="shared" si="6"/>
        <v>1</v>
      </c>
      <c r="BF43" s="38"/>
    </row>
    <row r="44" spans="1:58" ht="22.5" customHeight="1">
      <c r="A44" s="33" t="str">
        <f>IF(OR(ISBLANK(E44),ISBLANK(C44)),"",IF(COUNTIF($E$8:E44,E44)&gt;1,"",(MAX($A$7:A43)+1)))</f>
        <v/>
      </c>
      <c r="B44" s="34">
        <f>IF(ISBLANK(C44),"",SUBTOTAL(3,$C$8:C44))</f>
        <v>37</v>
      </c>
      <c r="C44" s="80" t="s">
        <v>163</v>
      </c>
      <c r="D44" s="50" t="s">
        <v>164</v>
      </c>
      <c r="E44" s="50" t="s">
        <v>92</v>
      </c>
      <c r="F44" s="35" t="str">
        <f t="shared" si="2"/>
        <v/>
      </c>
      <c r="G44" s="36" t="str">
        <f t="shared" si="5"/>
        <v>C</v>
      </c>
      <c r="H44" s="51">
        <f t="shared" si="7"/>
        <v>1</v>
      </c>
      <c r="I44" s="51">
        <f t="shared" si="7"/>
        <v>1</v>
      </c>
      <c r="J44" s="51" t="str">
        <f t="shared" si="7"/>
        <v/>
      </c>
      <c r="K44" s="37" t="s">
        <v>47</v>
      </c>
      <c r="L44" s="37"/>
      <c r="M44" s="37"/>
      <c r="N44" s="37"/>
      <c r="O44" s="37"/>
      <c r="P44" s="37"/>
      <c r="Q44" s="37"/>
      <c r="R44" s="37" t="s">
        <v>47</v>
      </c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 t="s">
        <v>47</v>
      </c>
      <c r="BD44" s="38"/>
      <c r="BE44" s="77">
        <f t="shared" si="6"/>
        <v>1</v>
      </c>
      <c r="BF44" s="38"/>
    </row>
    <row r="45" spans="1:58" ht="22.5" customHeight="1">
      <c r="A45" s="33" t="str">
        <f>IF(OR(ISBLANK(E45),ISBLANK(C45)),"",IF(COUNTIF($E$8:E45,E45)&gt;1,"",(MAX($A$7:A44)+1)))</f>
        <v/>
      </c>
      <c r="B45" s="34">
        <f>IF(ISBLANK(C45),"",SUBTOTAL(3,$C$8:C45))</f>
        <v>38</v>
      </c>
      <c r="C45" s="80" t="s">
        <v>165</v>
      </c>
      <c r="D45" s="50" t="s">
        <v>166</v>
      </c>
      <c r="E45" s="50" t="s">
        <v>92</v>
      </c>
      <c r="F45" s="35" t="str">
        <f t="shared" si="2"/>
        <v/>
      </c>
      <c r="G45" s="36" t="str">
        <f t="shared" si="5"/>
        <v>B</v>
      </c>
      <c r="H45" s="51">
        <f t="shared" si="7"/>
        <v>1</v>
      </c>
      <c r="I45" s="51">
        <f t="shared" si="7"/>
        <v>2</v>
      </c>
      <c r="J45" s="51" t="str">
        <f t="shared" si="7"/>
        <v/>
      </c>
      <c r="K45" s="37"/>
      <c r="L45" s="37" t="s">
        <v>47</v>
      </c>
      <c r="M45" s="37"/>
      <c r="N45" s="37"/>
      <c r="O45" s="37"/>
      <c r="P45" s="37"/>
      <c r="Q45" s="37" t="s">
        <v>47</v>
      </c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 t="s">
        <v>47</v>
      </c>
      <c r="AH45" s="37"/>
      <c r="AI45" s="37"/>
      <c r="AJ45" s="37"/>
      <c r="AK45" s="37"/>
      <c r="AM45" s="38"/>
      <c r="AN45" s="38"/>
      <c r="AO45" s="38"/>
      <c r="AP45" s="38"/>
      <c r="AQ45" s="38"/>
      <c r="AR45" s="38"/>
      <c r="AS45" s="38" t="s">
        <v>47</v>
      </c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77">
        <f t="shared" si="6"/>
        <v>1</v>
      </c>
      <c r="BF45" s="38"/>
    </row>
    <row r="46" spans="1:58" ht="22.5" customHeight="1">
      <c r="A46" s="33" t="str">
        <f>IF(OR(ISBLANK(E46),ISBLANK(C46)),"",IF(COUNTIF($E$8:E46,E46)&gt;1,"",(MAX($A$7:A45)+1)))</f>
        <v/>
      </c>
      <c r="B46" s="34">
        <f>IF(ISBLANK(C46),"",SUBTOTAL(3,$C$8:C46))</f>
        <v>39</v>
      </c>
      <c r="C46" s="83" t="s">
        <v>167</v>
      </c>
      <c r="D46" s="50" t="s">
        <v>168</v>
      </c>
      <c r="E46" s="50" t="s">
        <v>92</v>
      </c>
      <c r="F46" s="35" t="str">
        <f t="shared" si="2"/>
        <v/>
      </c>
      <c r="G46" s="36" t="str">
        <f t="shared" si="5"/>
        <v>C</v>
      </c>
      <c r="H46" s="51">
        <f t="shared" si="7"/>
        <v>1</v>
      </c>
      <c r="I46" s="51" t="str">
        <f t="shared" si="7"/>
        <v/>
      </c>
      <c r="J46" s="51" t="str">
        <f t="shared" si="7"/>
        <v/>
      </c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 t="s">
        <v>47</v>
      </c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M46" s="38"/>
      <c r="AN46" s="38"/>
      <c r="AO46" s="38" t="s">
        <v>47</v>
      </c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77">
        <f t="shared" si="6"/>
        <v>1</v>
      </c>
      <c r="BF46" s="38"/>
    </row>
    <row r="47" spans="1:58" ht="22.5" customHeight="1">
      <c r="A47" s="33" t="str">
        <f>IF(OR(ISBLANK(E47),ISBLANK(C47)),"",IF(COUNTIF($E$8:E47,E47)&gt;1,"",(MAX($A$7:A46)+1)))</f>
        <v/>
      </c>
      <c r="B47" s="34">
        <f>IF(ISBLANK(C47),"",SUBTOTAL(3,$C$8:C47))</f>
        <v>40</v>
      </c>
      <c r="C47" s="79" t="s">
        <v>169</v>
      </c>
      <c r="D47" s="50" t="s">
        <v>170</v>
      </c>
      <c r="E47" s="50" t="s">
        <v>92</v>
      </c>
      <c r="F47" s="35" t="str">
        <f t="shared" si="2"/>
        <v/>
      </c>
      <c r="G47" s="36" t="str">
        <f t="shared" si="5"/>
        <v>A</v>
      </c>
      <c r="H47" s="51">
        <f t="shared" si="7"/>
        <v>3</v>
      </c>
      <c r="I47" s="51">
        <f t="shared" si="7"/>
        <v>2</v>
      </c>
      <c r="J47" s="51" t="str">
        <f t="shared" si="7"/>
        <v/>
      </c>
      <c r="K47" s="37" t="s">
        <v>47</v>
      </c>
      <c r="L47" s="37"/>
      <c r="M47" s="37"/>
      <c r="N47" s="37" t="s">
        <v>47</v>
      </c>
      <c r="O47" s="37"/>
      <c r="P47" s="37"/>
      <c r="Q47" s="37" t="s">
        <v>47</v>
      </c>
      <c r="R47" s="37"/>
      <c r="S47" s="37"/>
      <c r="T47" s="37"/>
      <c r="U47" s="37" t="s">
        <v>47</v>
      </c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 t="s">
        <v>47</v>
      </c>
      <c r="AH47" s="37"/>
      <c r="AI47" s="37"/>
      <c r="AJ47" s="37"/>
      <c r="AK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 t="s">
        <v>47</v>
      </c>
      <c r="AY47" s="38"/>
      <c r="AZ47" s="38"/>
      <c r="BA47" s="38"/>
      <c r="BB47" s="38"/>
      <c r="BC47" s="38"/>
      <c r="BD47" s="38"/>
      <c r="BE47" s="77">
        <f t="shared" si="6"/>
        <v>1</v>
      </c>
      <c r="BF47" s="38"/>
    </row>
    <row r="48" spans="1:58" ht="22.5" customHeight="1">
      <c r="A48" s="33" t="str">
        <f>IF(OR(ISBLANK(E48),ISBLANK(C48)),"",IF(COUNTIF($E$8:E48,E48)&gt;1,"",(MAX($A$7:A47)+1)))</f>
        <v/>
      </c>
      <c r="B48" s="34">
        <f>IF(ISBLANK(C48),"",SUBTOTAL(3,$C$8:C48))</f>
        <v>41</v>
      </c>
      <c r="C48" s="79" t="s">
        <v>171</v>
      </c>
      <c r="D48" s="50" t="s">
        <v>94</v>
      </c>
      <c r="E48" s="50" t="s">
        <v>92</v>
      </c>
      <c r="F48" s="35" t="str">
        <f t="shared" si="2"/>
        <v/>
      </c>
      <c r="G48" s="36" t="str">
        <f t="shared" si="5"/>
        <v>A</v>
      </c>
      <c r="H48" s="51">
        <f t="shared" si="7"/>
        <v>3</v>
      </c>
      <c r="I48" s="51">
        <f t="shared" si="7"/>
        <v>2</v>
      </c>
      <c r="J48" s="51" t="str">
        <f t="shared" si="7"/>
        <v/>
      </c>
      <c r="K48" s="37" t="s">
        <v>47</v>
      </c>
      <c r="L48" s="37"/>
      <c r="M48" s="37"/>
      <c r="N48" s="37" t="s">
        <v>47</v>
      </c>
      <c r="O48" s="37"/>
      <c r="P48" s="37"/>
      <c r="Q48" s="37" t="s">
        <v>47</v>
      </c>
      <c r="R48" s="37"/>
      <c r="S48" s="37"/>
      <c r="T48" s="37"/>
      <c r="U48" s="37" t="s">
        <v>47</v>
      </c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 t="s">
        <v>47</v>
      </c>
      <c r="AH48" s="37"/>
      <c r="AI48" s="37"/>
      <c r="AJ48" s="37"/>
      <c r="AK48" s="37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 t="s">
        <v>47</v>
      </c>
      <c r="BB48" s="38"/>
      <c r="BC48" s="38"/>
      <c r="BD48" s="38"/>
      <c r="BE48" s="77">
        <f t="shared" si="6"/>
        <v>1</v>
      </c>
      <c r="BF48" s="38"/>
    </row>
    <row r="49" spans="1:58" ht="22.5" customHeight="1">
      <c r="A49" s="33" t="str">
        <f>IF(OR(ISBLANK(E49),ISBLANK(C49)),"",IF(COUNTIF($E$8:E49,E49)&gt;1,"",(MAX($A$7:A48)+1)))</f>
        <v/>
      </c>
      <c r="B49" s="34">
        <f>IF(ISBLANK(C49),"",SUBTOTAL(3,$C$8:C49))</f>
        <v>42</v>
      </c>
      <c r="C49" s="78" t="s">
        <v>172</v>
      </c>
      <c r="D49" s="50" t="s">
        <v>173</v>
      </c>
      <c r="E49" s="50" t="s">
        <v>92</v>
      </c>
      <c r="F49" s="35" t="str">
        <f t="shared" si="2"/>
        <v/>
      </c>
      <c r="G49" s="36" t="str">
        <f t="shared" si="5"/>
        <v>D</v>
      </c>
      <c r="H49" s="51" t="str">
        <f t="shared" si="7"/>
        <v/>
      </c>
      <c r="I49" s="51">
        <f t="shared" si="7"/>
        <v>1</v>
      </c>
      <c r="J49" s="51" t="str">
        <f t="shared" si="7"/>
        <v/>
      </c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 t="s">
        <v>47</v>
      </c>
      <c r="AH49" s="37"/>
      <c r="AI49" s="37"/>
      <c r="AJ49" s="37"/>
      <c r="AK49" s="37"/>
      <c r="AM49" s="38"/>
      <c r="AN49" s="38"/>
      <c r="AO49" s="38"/>
      <c r="AP49" s="38" t="s">
        <v>47</v>
      </c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77">
        <f t="shared" si="6"/>
        <v>1</v>
      </c>
      <c r="BF49" s="38"/>
    </row>
    <row r="50" spans="1:58" ht="22.5" customHeight="1">
      <c r="A50" s="33" t="str">
        <f>IF(OR(ISBLANK(E50),ISBLANK(C50)),"",IF(COUNTIF($E$8:E50,E50)&gt;1,"",(MAX($A$7:A49)+1)))</f>
        <v/>
      </c>
      <c r="B50" s="34">
        <f>IF(ISBLANK(C50),"",SUBTOTAL(3,$C$8:C50))</f>
        <v>43</v>
      </c>
      <c r="C50" s="78" t="s">
        <v>174</v>
      </c>
      <c r="D50" s="50" t="s">
        <v>175</v>
      </c>
      <c r="E50" s="50" t="s">
        <v>92</v>
      </c>
      <c r="F50" s="35" t="str">
        <f t="shared" si="2"/>
        <v/>
      </c>
      <c r="G50" s="36" t="str">
        <f t="shared" si="5"/>
        <v>D</v>
      </c>
      <c r="H50" s="51" t="str">
        <f t="shared" si="7"/>
        <v/>
      </c>
      <c r="I50" s="51">
        <f t="shared" si="7"/>
        <v>1</v>
      </c>
      <c r="J50" s="51" t="str">
        <f t="shared" si="7"/>
        <v/>
      </c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 t="s">
        <v>47</v>
      </c>
      <c r="AH50" s="37"/>
      <c r="AI50" s="37"/>
      <c r="AJ50" s="37"/>
      <c r="AK50" s="37"/>
      <c r="AM50" s="38"/>
      <c r="AN50" s="38"/>
      <c r="AO50" s="38"/>
      <c r="AP50" s="38" t="s">
        <v>47</v>
      </c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77">
        <f t="shared" si="6"/>
        <v>1</v>
      </c>
      <c r="BF50" s="38"/>
    </row>
    <row r="51" spans="1:58" ht="22.5" customHeight="1">
      <c r="A51" s="33" t="str">
        <f>IF(OR(ISBLANK(E51),ISBLANK(C51)),"",IF(COUNTIF($E$8:E51,E51)&gt;1,"",(MAX($A$7:A50)+1)))</f>
        <v/>
      </c>
      <c r="B51" s="34">
        <f>IF(ISBLANK(C51),"",SUBTOTAL(3,$C$8:C51))</f>
        <v>44</v>
      </c>
      <c r="C51" s="78" t="s">
        <v>176</v>
      </c>
      <c r="D51" s="50" t="s">
        <v>177</v>
      </c>
      <c r="E51" s="50" t="s">
        <v>92</v>
      </c>
      <c r="F51" s="35" t="str">
        <f t="shared" si="2"/>
        <v/>
      </c>
      <c r="G51" s="36" t="str">
        <f t="shared" si="5"/>
        <v/>
      </c>
      <c r="H51" s="51" t="str">
        <f t="shared" si="7"/>
        <v/>
      </c>
      <c r="I51" s="51" t="str">
        <f t="shared" si="7"/>
        <v/>
      </c>
      <c r="J51" s="51" t="str">
        <f t="shared" si="7"/>
        <v/>
      </c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77">
        <f t="shared" si="6"/>
        <v>0</v>
      </c>
      <c r="BF51" s="38"/>
    </row>
    <row r="52" spans="1:58" ht="22.5" hidden="1" customHeight="1">
      <c r="A52" s="33">
        <f>IF(OR(ISBLANK(E52),ISBLANK(C52)),"",IF(COUNTIF($E$8:E52,E52)&gt;1,"",(MAX($A$7:A51)+1)))</f>
        <v>2</v>
      </c>
      <c r="B52" s="34">
        <f>IF(ISBLANK(C52),"",SUBTOTAL(3,$C$8:C52))</f>
        <v>44</v>
      </c>
      <c r="C52" s="78" t="s">
        <v>178</v>
      </c>
      <c r="D52" s="50" t="s">
        <v>179</v>
      </c>
      <c r="E52" s="50" t="s">
        <v>180</v>
      </c>
      <c r="F52" s="35" t="str">
        <f t="shared" si="2"/>
        <v/>
      </c>
      <c r="G52" s="36" t="str">
        <f t="shared" si="5"/>
        <v>B</v>
      </c>
      <c r="H52" s="51">
        <f t="shared" si="7"/>
        <v>1</v>
      </c>
      <c r="I52" s="51">
        <f t="shared" si="7"/>
        <v>3</v>
      </c>
      <c r="J52" s="51" t="str">
        <f t="shared" si="7"/>
        <v/>
      </c>
      <c r="K52" s="37"/>
      <c r="L52" s="37" t="s">
        <v>47</v>
      </c>
      <c r="M52" s="37"/>
      <c r="N52" s="37"/>
      <c r="O52" s="37"/>
      <c r="P52" s="37"/>
      <c r="Q52" s="37" t="s">
        <v>47</v>
      </c>
      <c r="R52" s="37"/>
      <c r="S52" s="37"/>
      <c r="T52" s="37"/>
      <c r="U52" s="37" t="s">
        <v>47</v>
      </c>
      <c r="V52" s="37"/>
      <c r="W52" s="37"/>
      <c r="X52" s="37"/>
      <c r="Y52" s="37"/>
      <c r="Z52" s="37"/>
      <c r="AA52" s="37" t="s">
        <v>47</v>
      </c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M52" s="38"/>
      <c r="AN52" s="38"/>
      <c r="AO52" s="38"/>
      <c r="AP52" s="38"/>
      <c r="AQ52" s="38"/>
      <c r="AR52" s="38"/>
      <c r="AS52" s="38" t="s">
        <v>47</v>
      </c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77">
        <f t="shared" si="6"/>
        <v>1</v>
      </c>
      <c r="BF52" s="38"/>
    </row>
    <row r="53" spans="1:58" ht="22.5" hidden="1" customHeight="1">
      <c r="A53" s="33" t="str">
        <f>IF(OR(ISBLANK(E53),ISBLANK(C53)),"",IF(COUNTIF($E$8:E53,E53)&gt;1,"",(MAX($A$7:A52)+1)))</f>
        <v/>
      </c>
      <c r="B53" s="34">
        <f>IF(ISBLANK(C53),"",SUBTOTAL(3,$C$8:C53))</f>
        <v>44</v>
      </c>
      <c r="C53" s="78" t="s">
        <v>181</v>
      </c>
      <c r="D53" s="50" t="s">
        <v>182</v>
      </c>
      <c r="E53" s="50" t="s">
        <v>180</v>
      </c>
      <c r="F53" s="35" t="str">
        <f t="shared" si="2"/>
        <v/>
      </c>
      <c r="G53" s="36" t="str">
        <f t="shared" si="5"/>
        <v>C</v>
      </c>
      <c r="H53" s="51">
        <f t="shared" si="7"/>
        <v>1</v>
      </c>
      <c r="I53" s="51" t="str">
        <f t="shared" si="7"/>
        <v/>
      </c>
      <c r="J53" s="51" t="str">
        <f t="shared" si="7"/>
        <v/>
      </c>
      <c r="K53" s="37" t="s">
        <v>47</v>
      </c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 t="s">
        <v>47</v>
      </c>
      <c r="AX53" s="38"/>
      <c r="AY53" s="38"/>
      <c r="AZ53" s="38"/>
      <c r="BA53" s="38"/>
      <c r="BB53" s="38"/>
      <c r="BC53" s="38"/>
      <c r="BD53" s="38"/>
      <c r="BE53" s="77">
        <f t="shared" si="6"/>
        <v>1</v>
      </c>
      <c r="BF53" s="38"/>
    </row>
    <row r="54" spans="1:58" ht="22.5" hidden="1" customHeight="1">
      <c r="A54" s="33" t="str">
        <f>IF(OR(ISBLANK(E54),ISBLANK(C54)),"",IF(COUNTIF($E$8:E54,E54)&gt;1,"",(MAX($A$7:A53)+1)))</f>
        <v/>
      </c>
      <c r="B54" s="34">
        <f>IF(ISBLANK(C54),"",SUBTOTAL(3,$C$8:C54))</f>
        <v>44</v>
      </c>
      <c r="C54" s="78" t="s">
        <v>183</v>
      </c>
      <c r="D54" s="50" t="s">
        <v>184</v>
      </c>
      <c r="E54" s="50" t="s">
        <v>180</v>
      </c>
      <c r="F54" s="35" t="str">
        <f t="shared" si="2"/>
        <v/>
      </c>
      <c r="G54" s="36" t="str">
        <f t="shared" si="5"/>
        <v/>
      </c>
      <c r="H54" s="51" t="str">
        <f t="shared" si="7"/>
        <v/>
      </c>
      <c r="I54" s="51" t="str">
        <f t="shared" si="7"/>
        <v/>
      </c>
      <c r="J54" s="51" t="str">
        <f t="shared" si="7"/>
        <v/>
      </c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77">
        <f t="shared" si="6"/>
        <v>0</v>
      </c>
      <c r="BF54" s="38"/>
    </row>
    <row r="55" spans="1:58" ht="22.5" hidden="1" customHeight="1">
      <c r="A55" s="33" t="str">
        <f>IF(OR(ISBLANK(E55),ISBLANK(C55)),"",IF(COUNTIF($E$8:E55,E55)&gt;1,"",(MAX($A$7:A54)+1)))</f>
        <v/>
      </c>
      <c r="B55" s="34">
        <f>IF(ISBLANK(C55),"",SUBTOTAL(3,$C$8:C55))</f>
        <v>44</v>
      </c>
      <c r="C55" s="78" t="s">
        <v>185</v>
      </c>
      <c r="D55" s="50" t="s">
        <v>186</v>
      </c>
      <c r="E55" s="50" t="s">
        <v>180</v>
      </c>
      <c r="F55" s="35" t="str">
        <f t="shared" si="2"/>
        <v/>
      </c>
      <c r="G55" s="36" t="str">
        <f t="shared" si="5"/>
        <v>B</v>
      </c>
      <c r="H55" s="51">
        <f t="shared" si="7"/>
        <v>1</v>
      </c>
      <c r="I55" s="51">
        <f t="shared" si="7"/>
        <v>2</v>
      </c>
      <c r="J55" s="51">
        <f t="shared" si="7"/>
        <v>1</v>
      </c>
      <c r="K55" s="37"/>
      <c r="L55" s="37" t="s">
        <v>47</v>
      </c>
      <c r="M55" s="37"/>
      <c r="N55" s="37"/>
      <c r="O55" s="37"/>
      <c r="P55" s="37"/>
      <c r="Q55" s="37" t="s">
        <v>47</v>
      </c>
      <c r="R55" s="37"/>
      <c r="S55" s="37"/>
      <c r="T55" s="37"/>
      <c r="U55" s="37" t="s">
        <v>47</v>
      </c>
      <c r="V55" s="37"/>
      <c r="W55" s="37"/>
      <c r="X55" s="37"/>
      <c r="Y55" s="37"/>
      <c r="Z55" s="37"/>
      <c r="AA55" s="37"/>
      <c r="AB55" s="37" t="s">
        <v>47</v>
      </c>
      <c r="AC55" s="37"/>
      <c r="AD55" s="37"/>
      <c r="AE55" s="37"/>
      <c r="AF55" s="37"/>
      <c r="AG55" s="37"/>
      <c r="AH55" s="37"/>
      <c r="AI55" s="37"/>
      <c r="AJ55" s="37"/>
      <c r="AK55" s="37"/>
      <c r="AM55" s="38"/>
      <c r="AN55" s="38"/>
      <c r="AO55" s="38"/>
      <c r="AP55" s="38"/>
      <c r="AQ55" s="38"/>
      <c r="AR55" s="38" t="s">
        <v>47</v>
      </c>
      <c r="AS55" s="38" t="s">
        <v>47</v>
      </c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77">
        <f t="shared" si="6"/>
        <v>2</v>
      </c>
      <c r="BF55" s="38"/>
    </row>
    <row r="56" spans="1:58" ht="22.5" hidden="1" customHeight="1">
      <c r="A56" s="33" t="str">
        <f>IF(OR(ISBLANK(E56),ISBLANK(C56)),"",IF(COUNTIF($E$8:E56,E56)&gt;1,"",(MAX($A$7:A55)+1)))</f>
        <v/>
      </c>
      <c r="B56" s="34">
        <f>IF(ISBLANK(C56),"",SUBTOTAL(3,$C$8:C56))</f>
        <v>44</v>
      </c>
      <c r="C56" s="78" t="s">
        <v>187</v>
      </c>
      <c r="D56" s="50" t="s">
        <v>188</v>
      </c>
      <c r="E56" s="50" t="s">
        <v>180</v>
      </c>
      <c r="F56" s="35" t="str">
        <f t="shared" si="2"/>
        <v/>
      </c>
      <c r="G56" s="36" t="str">
        <f t="shared" si="5"/>
        <v>C</v>
      </c>
      <c r="H56" s="51">
        <f t="shared" si="7"/>
        <v>1</v>
      </c>
      <c r="I56" s="51" t="str">
        <f t="shared" si="7"/>
        <v/>
      </c>
      <c r="J56" s="51" t="str">
        <f t="shared" si="7"/>
        <v/>
      </c>
      <c r="K56" s="37" t="s">
        <v>47</v>
      </c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 t="s">
        <v>47</v>
      </c>
      <c r="AX56" s="38"/>
      <c r="AY56" s="38"/>
      <c r="AZ56" s="38"/>
      <c r="BA56" s="38"/>
      <c r="BB56" s="38"/>
      <c r="BC56" s="38"/>
      <c r="BD56" s="38"/>
      <c r="BE56" s="77">
        <f t="shared" si="6"/>
        <v>1</v>
      </c>
      <c r="BF56" s="38"/>
    </row>
    <row r="57" spans="1:58" ht="22.5" hidden="1" customHeight="1">
      <c r="A57" s="33" t="str">
        <f>IF(OR(ISBLANK(E57),ISBLANK(C57)),"",IF(COUNTIF($E$8:E57,E57)&gt;1,"",(MAX($A$7:A56)+1)))</f>
        <v/>
      </c>
      <c r="B57" s="34">
        <f>IF(ISBLANK(C57),"",SUBTOTAL(3,$C$8:C57))</f>
        <v>44</v>
      </c>
      <c r="C57" s="78" t="s">
        <v>189</v>
      </c>
      <c r="D57" s="50" t="s">
        <v>190</v>
      </c>
      <c r="E57" s="50" t="s">
        <v>180</v>
      </c>
      <c r="F57" s="35" t="str">
        <f t="shared" si="2"/>
        <v/>
      </c>
      <c r="G57" s="36" t="str">
        <f t="shared" si="5"/>
        <v>A</v>
      </c>
      <c r="H57" s="51">
        <f t="shared" si="7"/>
        <v>2</v>
      </c>
      <c r="I57" s="51">
        <f t="shared" si="7"/>
        <v>4</v>
      </c>
      <c r="J57" s="51" t="str">
        <f t="shared" si="7"/>
        <v/>
      </c>
      <c r="K57" s="37" t="s">
        <v>47</v>
      </c>
      <c r="L57" s="37"/>
      <c r="M57" s="37"/>
      <c r="N57" s="37"/>
      <c r="O57" s="37" t="s">
        <v>47</v>
      </c>
      <c r="P57" s="37"/>
      <c r="Q57" s="37" t="s">
        <v>47</v>
      </c>
      <c r="R57" s="37"/>
      <c r="S57" s="37"/>
      <c r="T57" s="37"/>
      <c r="U57" s="37" t="s">
        <v>47</v>
      </c>
      <c r="V57" s="37"/>
      <c r="W57" s="37"/>
      <c r="X57" s="37"/>
      <c r="Y57" s="37"/>
      <c r="Z57" s="37"/>
      <c r="AA57" s="37" t="s">
        <v>47</v>
      </c>
      <c r="AB57" s="37"/>
      <c r="AC57" s="37"/>
      <c r="AD57" s="37"/>
      <c r="AE57" s="37"/>
      <c r="AF57" s="37"/>
      <c r="AG57" s="37" t="s">
        <v>47</v>
      </c>
      <c r="AH57" s="37"/>
      <c r="AI57" s="37"/>
      <c r="AJ57" s="37"/>
      <c r="AK57" s="37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 t="s">
        <v>47</v>
      </c>
      <c r="BA57" s="38"/>
      <c r="BB57" s="38"/>
      <c r="BC57" s="38"/>
      <c r="BD57" s="38"/>
      <c r="BE57" s="77">
        <f t="shared" si="6"/>
        <v>1</v>
      </c>
      <c r="BF57" s="38"/>
    </row>
    <row r="58" spans="1:58" ht="22.5" hidden="1" customHeight="1">
      <c r="A58" s="33" t="str">
        <f>IF(OR(ISBLANK(E58),ISBLANK(C58)),"",IF(COUNTIF($E$8:E58,E58)&gt;1,"",(MAX($A$7:A57)+1)))</f>
        <v/>
      </c>
      <c r="B58" s="34">
        <f>IF(ISBLANK(C58),"",SUBTOTAL(3,$C$8:C58))</f>
        <v>44</v>
      </c>
      <c r="C58" s="78" t="s">
        <v>191</v>
      </c>
      <c r="D58" s="50" t="s">
        <v>192</v>
      </c>
      <c r="E58" s="50" t="s">
        <v>180</v>
      </c>
      <c r="F58" s="35" t="str">
        <f t="shared" si="2"/>
        <v/>
      </c>
      <c r="G58" s="36" t="str">
        <f t="shared" si="5"/>
        <v>C</v>
      </c>
      <c r="H58" s="51" t="str">
        <f t="shared" si="7"/>
        <v/>
      </c>
      <c r="I58" s="51">
        <f t="shared" si="7"/>
        <v>2</v>
      </c>
      <c r="J58" s="51">
        <f t="shared" si="7"/>
        <v>2</v>
      </c>
      <c r="K58" s="37"/>
      <c r="L58" s="37" t="s">
        <v>47</v>
      </c>
      <c r="M58" s="37"/>
      <c r="N58" s="37"/>
      <c r="O58" s="37"/>
      <c r="P58" s="37" t="s">
        <v>47</v>
      </c>
      <c r="Q58" s="37"/>
      <c r="R58" s="37" t="s">
        <v>47</v>
      </c>
      <c r="S58" s="37"/>
      <c r="T58" s="37"/>
      <c r="U58" s="37"/>
      <c r="V58" s="37"/>
      <c r="W58" s="37"/>
      <c r="X58" s="37"/>
      <c r="Y58" s="37"/>
      <c r="Z58" s="37"/>
      <c r="AA58" s="37"/>
      <c r="AB58" s="37" t="s">
        <v>47</v>
      </c>
      <c r="AC58" s="37"/>
      <c r="AD58" s="37"/>
      <c r="AE58" s="37"/>
      <c r="AF58" s="37"/>
      <c r="AG58" s="37"/>
      <c r="AH58" s="37"/>
      <c r="AI58" s="37"/>
      <c r="AJ58" s="37"/>
      <c r="AK58" s="37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 t="s">
        <v>47</v>
      </c>
      <c r="BB58" s="38"/>
      <c r="BC58" s="38"/>
      <c r="BD58" s="38"/>
      <c r="BE58" s="77">
        <f t="shared" si="6"/>
        <v>1</v>
      </c>
      <c r="BF58" s="38"/>
    </row>
    <row r="59" spans="1:58" ht="22.5" hidden="1" customHeight="1">
      <c r="A59" s="33" t="str">
        <f>IF(OR(ISBLANK(E59),ISBLANK(C59)),"",IF(COUNTIF($E$8:E59,E59)&gt;1,"",(MAX($A$7:A58)+1)))</f>
        <v/>
      </c>
      <c r="B59" s="34">
        <f>IF(ISBLANK(C59),"",SUBTOTAL(3,$C$8:C59))</f>
        <v>44</v>
      </c>
      <c r="C59" s="78" t="s">
        <v>193</v>
      </c>
      <c r="D59" s="50" t="s">
        <v>194</v>
      </c>
      <c r="E59" s="50" t="s">
        <v>180</v>
      </c>
      <c r="F59" s="35" t="str">
        <f t="shared" si="2"/>
        <v/>
      </c>
      <c r="G59" s="36" t="str">
        <f t="shared" si="5"/>
        <v>A</v>
      </c>
      <c r="H59" s="51">
        <f t="shared" si="7"/>
        <v>2</v>
      </c>
      <c r="I59" s="51">
        <f t="shared" si="7"/>
        <v>3</v>
      </c>
      <c r="J59" s="51" t="str">
        <f t="shared" si="7"/>
        <v/>
      </c>
      <c r="K59" s="37" t="s">
        <v>47</v>
      </c>
      <c r="L59" s="37"/>
      <c r="M59" s="37"/>
      <c r="N59" s="37"/>
      <c r="O59" s="37" t="s">
        <v>47</v>
      </c>
      <c r="P59" s="37"/>
      <c r="Q59" s="37"/>
      <c r="R59" s="37" t="s">
        <v>47</v>
      </c>
      <c r="S59" s="37"/>
      <c r="T59" s="37"/>
      <c r="U59" s="37"/>
      <c r="V59" s="37"/>
      <c r="W59" s="37"/>
      <c r="X59" s="37"/>
      <c r="Y59" s="37"/>
      <c r="Z59" s="37"/>
      <c r="AA59" s="37" t="s">
        <v>47</v>
      </c>
      <c r="AB59" s="37"/>
      <c r="AC59" s="37"/>
      <c r="AD59" s="37"/>
      <c r="AE59" s="37"/>
      <c r="AF59" s="37" t="s">
        <v>47</v>
      </c>
      <c r="AG59" s="37"/>
      <c r="AH59" s="37"/>
      <c r="AI59" s="37"/>
      <c r="AJ59" s="37"/>
      <c r="AK59" s="37"/>
      <c r="AM59" s="38"/>
      <c r="AN59" s="38"/>
      <c r="AO59" s="38"/>
      <c r="AP59" s="38"/>
      <c r="AQ59" s="38" t="s">
        <v>47</v>
      </c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77">
        <f t="shared" si="6"/>
        <v>1</v>
      </c>
      <c r="BF59" s="38"/>
    </row>
    <row r="60" spans="1:58" ht="22.5" hidden="1" customHeight="1">
      <c r="A60" s="33" t="str">
        <f>IF(OR(ISBLANK(E60),ISBLANK(C60)),"",IF(COUNTIF($E$8:E60,E60)&gt;1,"",(MAX($A$7:A59)+1)))</f>
        <v/>
      </c>
      <c r="B60" s="34">
        <f>IF(ISBLANK(C60),"",SUBTOTAL(3,$C$8:C60))</f>
        <v>44</v>
      </c>
      <c r="C60" s="78" t="s">
        <v>195</v>
      </c>
      <c r="D60" s="50" t="s">
        <v>196</v>
      </c>
      <c r="E60" s="50" t="s">
        <v>180</v>
      </c>
      <c r="F60" s="35" t="str">
        <f t="shared" si="2"/>
        <v/>
      </c>
      <c r="G60" s="36" t="str">
        <f t="shared" si="5"/>
        <v>C</v>
      </c>
      <c r="H60" s="51">
        <f t="shared" si="7"/>
        <v>1</v>
      </c>
      <c r="I60" s="51" t="str">
        <f t="shared" si="7"/>
        <v/>
      </c>
      <c r="J60" s="51">
        <f t="shared" si="7"/>
        <v>1</v>
      </c>
      <c r="K60" s="37" t="s">
        <v>47</v>
      </c>
      <c r="L60" s="37"/>
      <c r="M60" s="37"/>
      <c r="N60" s="37"/>
      <c r="O60" s="37"/>
      <c r="P60" s="37" t="s">
        <v>47</v>
      </c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M60" s="38"/>
      <c r="AN60" s="38"/>
      <c r="AO60" s="38"/>
      <c r="AP60" s="38"/>
      <c r="AQ60" s="38"/>
      <c r="AR60" s="38"/>
      <c r="AS60" s="38" t="s">
        <v>47</v>
      </c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77">
        <f t="shared" si="6"/>
        <v>1</v>
      </c>
      <c r="BF60" s="38"/>
    </row>
    <row r="61" spans="1:58" ht="22.5" hidden="1" customHeight="1">
      <c r="A61" s="33" t="str">
        <f>IF(OR(ISBLANK(E61),ISBLANK(C61)),"",IF(COUNTIF($E$8:E61,E61)&gt;1,"",(MAX($A$7:A60)+1)))</f>
        <v/>
      </c>
      <c r="B61" s="34">
        <f>IF(ISBLANK(C61),"",SUBTOTAL(3,$C$8:C61))</f>
        <v>44</v>
      </c>
      <c r="C61" s="78" t="s">
        <v>197</v>
      </c>
      <c r="D61" s="50" t="s">
        <v>198</v>
      </c>
      <c r="E61" s="50" t="s">
        <v>180</v>
      </c>
      <c r="F61" s="35" t="str">
        <f t="shared" si="2"/>
        <v/>
      </c>
      <c r="G61" s="36" t="str">
        <f t="shared" si="5"/>
        <v>C</v>
      </c>
      <c r="H61" s="51">
        <f t="shared" si="7"/>
        <v>1</v>
      </c>
      <c r="I61" s="51" t="str">
        <f t="shared" si="7"/>
        <v/>
      </c>
      <c r="J61" s="51">
        <f t="shared" si="7"/>
        <v>1</v>
      </c>
      <c r="K61" s="37" t="s">
        <v>47</v>
      </c>
      <c r="L61" s="37"/>
      <c r="M61" s="37"/>
      <c r="N61" s="37"/>
      <c r="O61" s="37"/>
      <c r="P61" s="37"/>
      <c r="Q61" s="37"/>
      <c r="R61" s="37"/>
      <c r="S61" s="37" t="s">
        <v>47</v>
      </c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M61" s="38"/>
      <c r="AN61" s="38"/>
      <c r="AO61" s="38"/>
      <c r="AP61" s="38"/>
      <c r="AQ61" s="38"/>
      <c r="AR61" s="38"/>
      <c r="AS61" s="38" t="s">
        <v>47</v>
      </c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77">
        <f t="shared" si="6"/>
        <v>1</v>
      </c>
      <c r="BF61" s="38"/>
    </row>
    <row r="62" spans="1:58" ht="22.5" hidden="1" customHeight="1">
      <c r="A62" s="33" t="str">
        <f>IF(OR(ISBLANK(E62),ISBLANK(C62)),"",IF(COUNTIF($E$8:E62,E62)&gt;1,"",(MAX($A$7:A61)+1)))</f>
        <v/>
      </c>
      <c r="B62" s="34">
        <f>IF(ISBLANK(C62),"",SUBTOTAL(3,$C$8:C62))</f>
        <v>44</v>
      </c>
      <c r="C62" s="78" t="s">
        <v>199</v>
      </c>
      <c r="D62" s="50" t="s">
        <v>200</v>
      </c>
      <c r="E62" s="50" t="s">
        <v>180</v>
      </c>
      <c r="F62" s="35" t="str">
        <f t="shared" si="2"/>
        <v/>
      </c>
      <c r="G62" s="36" t="str">
        <f t="shared" si="5"/>
        <v>A</v>
      </c>
      <c r="H62" s="51">
        <f t="shared" si="7"/>
        <v>3</v>
      </c>
      <c r="I62" s="51" t="str">
        <f t="shared" si="7"/>
        <v/>
      </c>
      <c r="J62" s="51">
        <f t="shared" si="7"/>
        <v>2</v>
      </c>
      <c r="K62" s="37" t="s">
        <v>47</v>
      </c>
      <c r="L62" s="37"/>
      <c r="M62" s="37"/>
      <c r="N62" s="37" t="s">
        <v>47</v>
      </c>
      <c r="O62" s="37"/>
      <c r="P62" s="37"/>
      <c r="Q62" s="37"/>
      <c r="R62" s="37"/>
      <c r="S62" s="37" t="s">
        <v>47</v>
      </c>
      <c r="T62" s="37" t="s">
        <v>47</v>
      </c>
      <c r="U62" s="37"/>
      <c r="V62" s="37"/>
      <c r="W62" s="37"/>
      <c r="X62" s="37"/>
      <c r="Y62" s="37"/>
      <c r="Z62" s="37"/>
      <c r="AA62" s="37"/>
      <c r="AB62" s="37" t="s">
        <v>47</v>
      </c>
      <c r="AC62" s="37"/>
      <c r="AD62" s="37"/>
      <c r="AE62" s="37"/>
      <c r="AF62" s="37"/>
      <c r="AG62" s="37"/>
      <c r="AH62" s="37"/>
      <c r="AI62" s="37"/>
      <c r="AJ62" s="37"/>
      <c r="AK62" s="37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 t="s">
        <v>47</v>
      </c>
      <c r="AX62" s="38"/>
      <c r="AY62" s="38"/>
      <c r="AZ62" s="38"/>
      <c r="BA62" s="38"/>
      <c r="BB62" s="38"/>
      <c r="BC62" s="38"/>
      <c r="BD62" s="38"/>
      <c r="BE62" s="77">
        <f t="shared" si="6"/>
        <v>1</v>
      </c>
      <c r="BF62" s="38"/>
    </row>
    <row r="63" spans="1:58" ht="22.5" hidden="1" customHeight="1">
      <c r="A63" s="33" t="str">
        <f>IF(OR(ISBLANK(E63),ISBLANK(C63)),"",IF(COUNTIF($E$8:E63,E63)&gt;1,"",(MAX($A$7:A62)+1)))</f>
        <v/>
      </c>
      <c r="B63" s="34">
        <f>IF(ISBLANK(C63),"",SUBTOTAL(3,$C$8:C63))</f>
        <v>44</v>
      </c>
      <c r="C63" s="78" t="s">
        <v>201</v>
      </c>
      <c r="D63" s="50" t="s">
        <v>202</v>
      </c>
      <c r="E63" s="50" t="s">
        <v>180</v>
      </c>
      <c r="F63" s="35" t="str">
        <f t="shared" si="2"/>
        <v/>
      </c>
      <c r="G63" s="36" t="str">
        <f t="shared" si="5"/>
        <v>C</v>
      </c>
      <c r="H63" s="51">
        <f t="shared" si="7"/>
        <v>1</v>
      </c>
      <c r="I63" s="51" t="str">
        <f t="shared" si="7"/>
        <v/>
      </c>
      <c r="J63" s="51" t="str">
        <f t="shared" si="7"/>
        <v/>
      </c>
      <c r="K63" s="37" t="s">
        <v>47</v>
      </c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M63" s="38"/>
      <c r="AN63" s="38"/>
      <c r="AO63" s="38"/>
      <c r="AP63" s="38"/>
      <c r="AQ63" s="38"/>
      <c r="AR63" s="38"/>
      <c r="AS63" s="38" t="s">
        <v>47</v>
      </c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77">
        <f t="shared" si="6"/>
        <v>1</v>
      </c>
      <c r="BF63" s="38"/>
    </row>
    <row r="64" spans="1:58" ht="22.5" hidden="1" customHeight="1">
      <c r="A64" s="33" t="str">
        <f>IF(OR(ISBLANK(E64),ISBLANK(C64)),"",IF(COUNTIF($E$8:E64,E64)&gt;1,"",(MAX($A$7:A63)+1)))</f>
        <v/>
      </c>
      <c r="B64" s="34">
        <f>IF(ISBLANK(C64),"",SUBTOTAL(3,$C$8:C64))</f>
        <v>44</v>
      </c>
      <c r="C64" s="78" t="s">
        <v>203</v>
      </c>
      <c r="D64" s="50" t="s">
        <v>204</v>
      </c>
      <c r="E64" s="50" t="s">
        <v>180</v>
      </c>
      <c r="F64" s="35" t="str">
        <f t="shared" si="2"/>
        <v/>
      </c>
      <c r="G64" s="36" t="str">
        <f t="shared" si="5"/>
        <v>A</v>
      </c>
      <c r="H64" s="51">
        <f t="shared" si="7"/>
        <v>3</v>
      </c>
      <c r="I64" s="51">
        <f t="shared" si="7"/>
        <v>2</v>
      </c>
      <c r="J64" s="51">
        <f t="shared" si="7"/>
        <v>1</v>
      </c>
      <c r="K64" s="37" t="s">
        <v>47</v>
      </c>
      <c r="L64" s="37"/>
      <c r="M64" s="37"/>
      <c r="N64" s="37" t="s">
        <v>47</v>
      </c>
      <c r="O64" s="37"/>
      <c r="P64" s="37"/>
      <c r="Q64" s="37" t="s">
        <v>47</v>
      </c>
      <c r="R64" s="37"/>
      <c r="S64" s="37"/>
      <c r="T64" s="37"/>
      <c r="U64" s="37" t="s">
        <v>47</v>
      </c>
      <c r="V64" s="37"/>
      <c r="W64" s="37"/>
      <c r="X64" s="37"/>
      <c r="Y64" s="37" t="s">
        <v>47</v>
      </c>
      <c r="Z64" s="37"/>
      <c r="AA64" s="37" t="s">
        <v>47</v>
      </c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 t="s">
        <v>47</v>
      </c>
      <c r="BC64" s="38"/>
      <c r="BD64" s="38"/>
      <c r="BE64" s="77">
        <f t="shared" si="6"/>
        <v>1</v>
      </c>
      <c r="BF64" s="38"/>
    </row>
    <row r="65" spans="1:58" ht="22.5" hidden="1" customHeight="1">
      <c r="A65" s="33" t="str">
        <f>IF(OR(ISBLANK(E65),ISBLANK(C65)),"",IF(COUNTIF($E$8:E65,E65)&gt;1,"",(MAX($A$7:A64)+1)))</f>
        <v/>
      </c>
      <c r="B65" s="34">
        <f>IF(ISBLANK(C65),"",SUBTOTAL(3,$C$8:C65))</f>
        <v>44</v>
      </c>
      <c r="C65" s="78" t="s">
        <v>205</v>
      </c>
      <c r="D65" s="50" t="s">
        <v>206</v>
      </c>
      <c r="E65" s="50" t="s">
        <v>180</v>
      </c>
      <c r="F65" s="35" t="str">
        <f t="shared" si="2"/>
        <v/>
      </c>
      <c r="G65" s="36" t="str">
        <f t="shared" si="5"/>
        <v>B</v>
      </c>
      <c r="H65" s="51">
        <f t="shared" si="7"/>
        <v>1</v>
      </c>
      <c r="I65" s="51">
        <f t="shared" si="7"/>
        <v>3</v>
      </c>
      <c r="J65" s="51" t="str">
        <f t="shared" si="7"/>
        <v/>
      </c>
      <c r="K65" s="37"/>
      <c r="L65" s="37" t="s">
        <v>47</v>
      </c>
      <c r="M65" s="37"/>
      <c r="N65" s="37"/>
      <c r="O65" s="37"/>
      <c r="P65" s="37"/>
      <c r="Q65" s="37" t="s">
        <v>47</v>
      </c>
      <c r="R65" s="37"/>
      <c r="S65" s="37"/>
      <c r="T65" s="37"/>
      <c r="U65" s="37" t="s">
        <v>47</v>
      </c>
      <c r="V65" s="37"/>
      <c r="W65" s="37"/>
      <c r="X65" s="37"/>
      <c r="Y65" s="37"/>
      <c r="Z65" s="37"/>
      <c r="AA65" s="37" t="s">
        <v>47</v>
      </c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M65" s="38"/>
      <c r="AN65" s="38"/>
      <c r="AO65" s="38"/>
      <c r="AP65" s="38"/>
      <c r="AQ65" s="38"/>
      <c r="AR65" s="38" t="s">
        <v>47</v>
      </c>
      <c r="AS65" s="38" t="s">
        <v>47</v>
      </c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77">
        <f t="shared" si="6"/>
        <v>2</v>
      </c>
      <c r="BF65" s="38"/>
    </row>
    <row r="66" spans="1:58" ht="22.5" hidden="1" customHeight="1">
      <c r="A66" s="33" t="str">
        <f>IF(OR(ISBLANK(E66),ISBLANK(C66)),"",IF(COUNTIF($E$8:E66,E66)&gt;1,"",(MAX($A$7:A65)+1)))</f>
        <v/>
      </c>
      <c r="B66" s="34">
        <f>IF(ISBLANK(C66),"",SUBTOTAL(3,$C$8:C66))</f>
        <v>44</v>
      </c>
      <c r="C66" s="78" t="s">
        <v>207</v>
      </c>
      <c r="D66" s="50" t="s">
        <v>208</v>
      </c>
      <c r="E66" s="50" t="s">
        <v>180</v>
      </c>
      <c r="F66" s="35" t="str">
        <f t="shared" si="2"/>
        <v/>
      </c>
      <c r="G66" s="36" t="str">
        <f t="shared" si="5"/>
        <v>A</v>
      </c>
      <c r="H66" s="51">
        <f t="shared" si="7"/>
        <v>2</v>
      </c>
      <c r="I66" s="51">
        <f t="shared" si="7"/>
        <v>1</v>
      </c>
      <c r="J66" s="51">
        <f t="shared" si="7"/>
        <v>1</v>
      </c>
      <c r="K66" s="37" t="s">
        <v>47</v>
      </c>
      <c r="L66" s="37"/>
      <c r="M66" s="37"/>
      <c r="N66" s="37" t="s">
        <v>47</v>
      </c>
      <c r="O66" s="37"/>
      <c r="P66" s="37"/>
      <c r="Q66" s="37"/>
      <c r="R66" s="37" t="s">
        <v>47</v>
      </c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 t="s">
        <v>47</v>
      </c>
      <c r="AI66" s="37"/>
      <c r="AJ66" s="37"/>
      <c r="AK66" s="37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 t="s">
        <v>47</v>
      </c>
      <c r="AY66" s="38"/>
      <c r="AZ66" s="38"/>
      <c r="BA66" s="38"/>
      <c r="BB66" s="38"/>
      <c r="BC66" s="38"/>
      <c r="BD66" s="38"/>
      <c r="BE66" s="77">
        <f t="shared" si="6"/>
        <v>1</v>
      </c>
      <c r="BF66" s="38"/>
    </row>
    <row r="67" spans="1:58" ht="22.5" hidden="1" customHeight="1">
      <c r="A67" s="33" t="str">
        <f>IF(OR(ISBLANK(E67),ISBLANK(C67)),"",IF(COUNTIF($E$8:E67,E67)&gt;1,"",(MAX($A$7:A66)+1)))</f>
        <v/>
      </c>
      <c r="B67" s="34">
        <f>IF(ISBLANK(C67),"",SUBTOTAL(3,$C$8:C67))</f>
        <v>44</v>
      </c>
      <c r="C67" s="78" t="s">
        <v>209</v>
      </c>
      <c r="D67" s="50" t="s">
        <v>210</v>
      </c>
      <c r="E67" s="50" t="s">
        <v>180</v>
      </c>
      <c r="F67" s="35" t="str">
        <f t="shared" si="2"/>
        <v/>
      </c>
      <c r="G67" s="36" t="str">
        <f t="shared" si="5"/>
        <v>A</v>
      </c>
      <c r="H67" s="51">
        <f t="shared" si="7"/>
        <v>3</v>
      </c>
      <c r="I67" s="51">
        <f t="shared" si="7"/>
        <v>2</v>
      </c>
      <c r="J67" s="51">
        <f t="shared" si="7"/>
        <v>1</v>
      </c>
      <c r="K67" s="37" t="s">
        <v>47</v>
      </c>
      <c r="L67" s="37"/>
      <c r="M67" s="37"/>
      <c r="N67" s="37" t="s">
        <v>47</v>
      </c>
      <c r="O67" s="37"/>
      <c r="P67" s="37"/>
      <c r="Q67" s="37" t="s">
        <v>47</v>
      </c>
      <c r="R67" s="37"/>
      <c r="S67" s="37"/>
      <c r="T67" s="37"/>
      <c r="U67" s="37" t="s">
        <v>47</v>
      </c>
      <c r="V67" s="37"/>
      <c r="W67" s="37"/>
      <c r="X67" s="37"/>
      <c r="Y67" s="37" t="s">
        <v>47</v>
      </c>
      <c r="Z67" s="37"/>
      <c r="AA67" s="37" t="s">
        <v>47</v>
      </c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 t="s">
        <v>47</v>
      </c>
      <c r="AY67" s="38"/>
      <c r="AZ67" s="38"/>
      <c r="BA67" s="38"/>
      <c r="BB67" s="38"/>
      <c r="BC67" s="38"/>
      <c r="BD67" s="38"/>
      <c r="BE67" s="77">
        <f t="shared" si="6"/>
        <v>1</v>
      </c>
      <c r="BF67" s="38"/>
    </row>
    <row r="68" spans="1:58" ht="22.5" hidden="1" customHeight="1">
      <c r="A68" s="33" t="str">
        <f>IF(OR(ISBLANK(E68),ISBLANK(C68)),"",IF(COUNTIF($E$8:E68,E68)&gt;1,"",(MAX($A$7:A67)+1)))</f>
        <v/>
      </c>
      <c r="B68" s="34">
        <f>IF(ISBLANK(C68),"",SUBTOTAL(3,$C$8:C68))</f>
        <v>44</v>
      </c>
      <c r="C68" s="78" t="s">
        <v>211</v>
      </c>
      <c r="D68" s="50" t="s">
        <v>212</v>
      </c>
      <c r="E68" s="50" t="s">
        <v>180</v>
      </c>
      <c r="F68" s="35" t="str">
        <f t="shared" si="2"/>
        <v/>
      </c>
      <c r="G68" s="36" t="str">
        <f t="shared" si="5"/>
        <v>A</v>
      </c>
      <c r="H68" s="51">
        <f t="shared" si="7"/>
        <v>2</v>
      </c>
      <c r="I68" s="51">
        <f t="shared" si="7"/>
        <v>1</v>
      </c>
      <c r="J68" s="51">
        <f t="shared" si="7"/>
        <v>1</v>
      </c>
      <c r="K68" s="37" t="s">
        <v>47</v>
      </c>
      <c r="L68" s="37"/>
      <c r="M68" s="37"/>
      <c r="N68" s="37" t="s">
        <v>47</v>
      </c>
      <c r="O68" s="37"/>
      <c r="P68" s="37"/>
      <c r="Q68" s="37"/>
      <c r="R68" s="37"/>
      <c r="S68" s="37" t="s">
        <v>47</v>
      </c>
      <c r="T68" s="37"/>
      <c r="U68" s="37" t="s">
        <v>47</v>
      </c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 t="s">
        <v>47</v>
      </c>
      <c r="AX68" s="38"/>
      <c r="AY68" s="38"/>
      <c r="AZ68" s="38"/>
      <c r="BA68" s="38"/>
      <c r="BB68" s="38"/>
      <c r="BC68" s="38"/>
      <c r="BD68" s="38"/>
      <c r="BE68" s="77">
        <f t="shared" si="6"/>
        <v>1</v>
      </c>
      <c r="BF68" s="38"/>
    </row>
    <row r="69" spans="1:58" ht="22.5" hidden="1" customHeight="1">
      <c r="A69" s="33" t="str">
        <f>IF(OR(ISBLANK(E69),ISBLANK(C69)),"",IF(COUNTIF($E$8:E69,E69)&gt;1,"",(MAX($A$7:A68)+1)))</f>
        <v/>
      </c>
      <c r="B69" s="34">
        <f>IF(ISBLANK(C69),"",SUBTOTAL(3,$C$8:C69))</f>
        <v>44</v>
      </c>
      <c r="C69" s="78" t="s">
        <v>213</v>
      </c>
      <c r="D69" s="50" t="s">
        <v>214</v>
      </c>
      <c r="E69" s="50" t="s">
        <v>180</v>
      </c>
      <c r="F69" s="35" t="str">
        <f t="shared" si="2"/>
        <v/>
      </c>
      <c r="G69" s="36" t="str">
        <f t="shared" si="5"/>
        <v/>
      </c>
      <c r="H69" s="51" t="str">
        <f t="shared" si="7"/>
        <v/>
      </c>
      <c r="I69" s="51" t="str">
        <f t="shared" si="7"/>
        <v/>
      </c>
      <c r="J69" s="51" t="str">
        <f t="shared" si="7"/>
        <v/>
      </c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77">
        <f t="shared" si="6"/>
        <v>0</v>
      </c>
      <c r="BF69" s="38"/>
    </row>
    <row r="70" spans="1:58" ht="22.5" hidden="1" customHeight="1">
      <c r="A70" s="33" t="str">
        <f>IF(OR(ISBLANK(E70),ISBLANK(C70)),"",IF(COUNTIF($E$8:E70,E70)&gt;1,"",(MAX($A$7:A69)+1)))</f>
        <v/>
      </c>
      <c r="B70" s="34">
        <f>IF(ISBLANK(C70),"",SUBTOTAL(3,$C$8:C70))</f>
        <v>44</v>
      </c>
      <c r="C70" s="78" t="s">
        <v>215</v>
      </c>
      <c r="D70" s="50" t="s">
        <v>216</v>
      </c>
      <c r="E70" s="50" t="s">
        <v>180</v>
      </c>
      <c r="F70" s="35" t="str">
        <f t="shared" si="2"/>
        <v/>
      </c>
      <c r="G70" s="36" t="str">
        <f t="shared" si="5"/>
        <v>C</v>
      </c>
      <c r="H70" s="51">
        <f t="shared" si="7"/>
        <v>1</v>
      </c>
      <c r="I70" s="51" t="str">
        <f t="shared" si="7"/>
        <v/>
      </c>
      <c r="J70" s="51">
        <f t="shared" si="7"/>
        <v>1</v>
      </c>
      <c r="K70" s="37" t="s">
        <v>47</v>
      </c>
      <c r="L70" s="37"/>
      <c r="M70" s="37"/>
      <c r="N70" s="37"/>
      <c r="O70" s="37"/>
      <c r="P70" s="37"/>
      <c r="Q70" s="37"/>
      <c r="R70" s="37"/>
      <c r="S70" s="37" t="s">
        <v>47</v>
      </c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M70" s="38"/>
      <c r="AN70" s="38"/>
      <c r="AO70" s="38"/>
      <c r="AP70" s="38"/>
      <c r="AQ70" s="38"/>
      <c r="AR70" s="38"/>
      <c r="AS70" s="38" t="s">
        <v>47</v>
      </c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77">
        <f t="shared" si="6"/>
        <v>1</v>
      </c>
      <c r="BF70" s="38"/>
    </row>
    <row r="71" spans="1:58" ht="22.5" hidden="1" customHeight="1">
      <c r="A71" s="33" t="str">
        <f>IF(OR(ISBLANK(E71),ISBLANK(C71)),"",IF(COUNTIF($E$8:E71,E71)&gt;1,"",(MAX($A$7:A70)+1)))</f>
        <v/>
      </c>
      <c r="B71" s="34">
        <f>IF(ISBLANK(C71),"",SUBTOTAL(3,$C$8:C71))</f>
        <v>44</v>
      </c>
      <c r="C71" s="78" t="s">
        <v>217</v>
      </c>
      <c r="D71" s="50" t="s">
        <v>218</v>
      </c>
      <c r="E71" s="50" t="s">
        <v>180</v>
      </c>
      <c r="F71" s="35" t="str">
        <f t="shared" si="2"/>
        <v/>
      </c>
      <c r="G71" s="36" t="str">
        <f t="shared" si="5"/>
        <v/>
      </c>
      <c r="H71" s="51" t="str">
        <f t="shared" si="7"/>
        <v/>
      </c>
      <c r="I71" s="51" t="str">
        <f t="shared" si="7"/>
        <v/>
      </c>
      <c r="J71" s="51" t="str">
        <f t="shared" si="7"/>
        <v/>
      </c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M71" s="38"/>
      <c r="AN71" s="38" t="s">
        <v>47</v>
      </c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77">
        <f t="shared" si="6"/>
        <v>1</v>
      </c>
      <c r="BF71" s="38"/>
    </row>
    <row r="72" spans="1:58" ht="22.5" hidden="1" customHeight="1">
      <c r="A72" s="33" t="str">
        <f>IF(OR(ISBLANK(E72),ISBLANK(C72)),"",IF(COUNTIF($E$8:E72,E72)&gt;1,"",(MAX($A$7:A71)+1)))</f>
        <v/>
      </c>
      <c r="B72" s="34">
        <f>IF(ISBLANK(C72),"",SUBTOTAL(3,$C$8:C72))</f>
        <v>44</v>
      </c>
      <c r="C72" s="78" t="s">
        <v>219</v>
      </c>
      <c r="D72" s="50" t="s">
        <v>220</v>
      </c>
      <c r="E72" s="50" t="s">
        <v>180</v>
      </c>
      <c r="F72" s="35" t="str">
        <f t="shared" ref="F72:F135" si="8">IFERROR(IF(OR(ISBLANK($C72),B72=""),"",INDEX(Luonggio,MATCH($C72,MaNVLuong,0))),"")</f>
        <v/>
      </c>
      <c r="G72" s="36" t="str">
        <f t="shared" si="5"/>
        <v>B</v>
      </c>
      <c r="H72" s="51">
        <f t="shared" si="7"/>
        <v>1</v>
      </c>
      <c r="I72" s="51">
        <f t="shared" si="7"/>
        <v>3</v>
      </c>
      <c r="J72" s="51" t="str">
        <f t="shared" si="7"/>
        <v/>
      </c>
      <c r="K72" s="37" t="s">
        <v>47</v>
      </c>
      <c r="L72" s="37"/>
      <c r="M72" s="37"/>
      <c r="N72" s="37"/>
      <c r="O72" s="37" t="s">
        <v>47</v>
      </c>
      <c r="P72" s="37"/>
      <c r="Q72" s="37"/>
      <c r="R72" s="37" t="s">
        <v>47</v>
      </c>
      <c r="S72" s="37"/>
      <c r="T72" s="37"/>
      <c r="U72" s="37" t="s">
        <v>47</v>
      </c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M72" s="38"/>
      <c r="AN72" s="38"/>
      <c r="AO72" s="38"/>
      <c r="AP72" s="38"/>
      <c r="AQ72" s="38"/>
      <c r="AR72" s="38"/>
      <c r="AS72" s="38" t="s">
        <v>47</v>
      </c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77">
        <f t="shared" si="6"/>
        <v>1</v>
      </c>
      <c r="BF72" s="38"/>
    </row>
    <row r="73" spans="1:58" ht="22.5" hidden="1" customHeight="1">
      <c r="A73" s="33" t="str">
        <f>IF(OR(ISBLANK(E73),ISBLANK(C73)),"",IF(COUNTIF($E$8:E73,E73)&gt;1,"",(MAX($A$7:A72)+1)))</f>
        <v/>
      </c>
      <c r="B73" s="34">
        <f>IF(ISBLANK(C73),"",SUBTOTAL(3,$C$8:C73))</f>
        <v>44</v>
      </c>
      <c r="C73" s="78" t="s">
        <v>221</v>
      </c>
      <c r="D73" s="50" t="s">
        <v>222</v>
      </c>
      <c r="E73" s="50" t="s">
        <v>180</v>
      </c>
      <c r="F73" s="35" t="str">
        <f t="shared" si="8"/>
        <v/>
      </c>
      <c r="G73" s="36" t="str">
        <f t="shared" ref="G73:G136" si="9">IF(COUNTIF(H73:J73,"&gt;0")=0,"",IF(AND(OR(OR(SUM(H73)&gt;=2)),SUM(H73:J73)&gt;=4,OR(OR(SUM(I73)&gt;=1))),"A",IF(OR(OR(SUM(H73)&gt;=3)),"A",IF(AND(SUM(I73)&gt;=2,SUM(H73)=1),"B",IF(AND(SUM(I73)&gt;=1,SUM(H73)=2),"B",IF(H73=2,"B",IF(SUM(I73)&gt;=2,"C",IF(H73=1,"C",IF(AND(H73=1,I73=1),"C",IF(AND(SUM(H73:I73)=0,SUM(J73)&lt;=1),"D","D"))))))))))</f>
        <v>D</v>
      </c>
      <c r="H73" s="51" t="str">
        <f t="shared" si="7"/>
        <v/>
      </c>
      <c r="I73" s="51">
        <f t="shared" si="7"/>
        <v>1</v>
      </c>
      <c r="J73" s="51" t="str">
        <f t="shared" si="7"/>
        <v/>
      </c>
      <c r="K73" s="37"/>
      <c r="L73" s="37" t="s">
        <v>47</v>
      </c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M73" s="38"/>
      <c r="AN73" s="38"/>
      <c r="AO73" s="38"/>
      <c r="AP73" s="38"/>
      <c r="AQ73" s="38"/>
      <c r="AR73" s="38" t="s">
        <v>47</v>
      </c>
      <c r="AS73" s="38" t="s">
        <v>47</v>
      </c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77">
        <f t="shared" ref="BE73:BE136" si="10">COUNTIF(AM73:BD73,"X")</f>
        <v>2</v>
      </c>
      <c r="BF73" s="38"/>
    </row>
    <row r="74" spans="1:58" ht="22.5" hidden="1" customHeight="1">
      <c r="A74" s="33" t="str">
        <f>IF(OR(ISBLANK(E74),ISBLANK(C74)),"",IF(COUNTIF($E$8:E74,E74)&gt;1,"",(MAX($A$7:A73)+1)))</f>
        <v/>
      </c>
      <c r="B74" s="34">
        <f>IF(ISBLANK(C74),"",SUBTOTAL(3,$C$8:C74))</f>
        <v>44</v>
      </c>
      <c r="C74" s="80" t="s">
        <v>223</v>
      </c>
      <c r="D74" s="50" t="s">
        <v>224</v>
      </c>
      <c r="E74" s="50" t="s">
        <v>180</v>
      </c>
      <c r="F74" s="35" t="str">
        <f t="shared" si="8"/>
        <v/>
      </c>
      <c r="G74" s="36" t="str">
        <f t="shared" si="9"/>
        <v>C</v>
      </c>
      <c r="H74" s="51">
        <f t="shared" si="7"/>
        <v>1</v>
      </c>
      <c r="I74" s="51">
        <f t="shared" si="7"/>
        <v>1</v>
      </c>
      <c r="J74" s="51" t="str">
        <f t="shared" si="7"/>
        <v/>
      </c>
      <c r="K74" s="37"/>
      <c r="L74" s="37" t="s">
        <v>47</v>
      </c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 t="s">
        <v>47</v>
      </c>
      <c r="AG74" s="37"/>
      <c r="AH74" s="37"/>
      <c r="AI74" s="37"/>
      <c r="AJ74" s="37"/>
      <c r="AK74" s="37"/>
      <c r="AM74" s="38"/>
      <c r="AN74" s="38"/>
      <c r="AO74" s="38"/>
      <c r="AP74" s="38"/>
      <c r="AQ74" s="38" t="s">
        <v>47</v>
      </c>
      <c r="AR74" s="38" t="s">
        <v>47</v>
      </c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77">
        <f t="shared" si="10"/>
        <v>2</v>
      </c>
      <c r="BF74" s="38"/>
    </row>
    <row r="75" spans="1:58" ht="22.5" hidden="1" customHeight="1">
      <c r="A75" s="33" t="str">
        <f>IF(OR(ISBLANK(E75),ISBLANK(C75)),"",IF(COUNTIF($E$8:E75,E75)&gt;1,"",(MAX($A$7:A74)+1)))</f>
        <v/>
      </c>
      <c r="B75" s="34">
        <f>IF(ISBLANK(C75),"",SUBTOTAL(3,$C$8:C75))</f>
        <v>44</v>
      </c>
      <c r="C75" s="80" t="s">
        <v>225</v>
      </c>
      <c r="D75" s="50" t="s">
        <v>226</v>
      </c>
      <c r="E75" s="50" t="s">
        <v>180</v>
      </c>
      <c r="F75" s="35" t="str">
        <f t="shared" si="8"/>
        <v/>
      </c>
      <c r="G75" s="36" t="str">
        <f t="shared" si="9"/>
        <v>A</v>
      </c>
      <c r="H75" s="51">
        <f t="shared" si="7"/>
        <v>2</v>
      </c>
      <c r="I75" s="51">
        <f t="shared" si="7"/>
        <v>4</v>
      </c>
      <c r="J75" s="51">
        <f t="shared" si="7"/>
        <v>1</v>
      </c>
      <c r="K75" s="37" t="s">
        <v>47</v>
      </c>
      <c r="L75" s="37"/>
      <c r="M75" s="37"/>
      <c r="N75" s="37"/>
      <c r="O75" s="37"/>
      <c r="P75" s="37" t="s">
        <v>47</v>
      </c>
      <c r="Q75" s="37" t="s">
        <v>47</v>
      </c>
      <c r="R75" s="37"/>
      <c r="S75" s="37"/>
      <c r="T75" s="37"/>
      <c r="U75" s="37" t="s">
        <v>47</v>
      </c>
      <c r="V75" s="37"/>
      <c r="W75" s="37"/>
      <c r="X75" s="37" t="s">
        <v>47</v>
      </c>
      <c r="Y75" s="37"/>
      <c r="Z75" s="37"/>
      <c r="AA75" s="37" t="s">
        <v>47</v>
      </c>
      <c r="AB75" s="37"/>
      <c r="AC75" s="37"/>
      <c r="AD75" s="37" t="s">
        <v>47</v>
      </c>
      <c r="AE75" s="37"/>
      <c r="AF75" s="37"/>
      <c r="AG75" s="37"/>
      <c r="AH75" s="37"/>
      <c r="AI75" s="37"/>
      <c r="AJ75" s="37"/>
      <c r="AK75" s="37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 t="s">
        <v>47</v>
      </c>
      <c r="BB75" s="38"/>
      <c r="BC75" s="38"/>
      <c r="BD75" s="38"/>
      <c r="BE75" s="77">
        <f t="shared" si="10"/>
        <v>1</v>
      </c>
      <c r="BF75" s="38"/>
    </row>
    <row r="76" spans="1:58" ht="22.5" hidden="1" customHeight="1">
      <c r="A76" s="33" t="str">
        <f>IF(OR(ISBLANK(E76),ISBLANK(C76)),"",IF(COUNTIF($E$8:E76,E76)&gt;1,"",(MAX($A$7:A75)+1)))</f>
        <v/>
      </c>
      <c r="B76" s="34">
        <f>IF(ISBLANK(C76),"",SUBTOTAL(3,$C$8:C76))</f>
        <v>44</v>
      </c>
      <c r="C76" s="80" t="s">
        <v>227</v>
      </c>
      <c r="D76" s="50" t="s">
        <v>228</v>
      </c>
      <c r="E76" s="50" t="s">
        <v>180</v>
      </c>
      <c r="F76" s="35" t="str">
        <f t="shared" si="8"/>
        <v/>
      </c>
      <c r="G76" s="36" t="str">
        <f t="shared" si="9"/>
        <v>D</v>
      </c>
      <c r="H76" s="51" t="str">
        <f t="shared" si="7"/>
        <v/>
      </c>
      <c r="I76" s="51">
        <f t="shared" si="7"/>
        <v>1</v>
      </c>
      <c r="J76" s="51">
        <f t="shared" si="7"/>
        <v>2</v>
      </c>
      <c r="K76" s="37"/>
      <c r="L76" s="37" t="s">
        <v>47</v>
      </c>
      <c r="M76" s="37"/>
      <c r="N76" s="37"/>
      <c r="O76" s="37"/>
      <c r="P76" s="37"/>
      <c r="Q76" s="37"/>
      <c r="R76" s="37"/>
      <c r="S76" s="37" t="s">
        <v>47</v>
      </c>
      <c r="T76" s="37"/>
      <c r="U76" s="37"/>
      <c r="V76" s="37"/>
      <c r="W76" s="37"/>
      <c r="X76" s="37"/>
      <c r="Y76" s="37"/>
      <c r="Z76" s="37"/>
      <c r="AA76" s="37"/>
      <c r="AB76" s="37" t="s">
        <v>47</v>
      </c>
      <c r="AC76" s="37"/>
      <c r="AD76" s="37"/>
      <c r="AE76" s="37"/>
      <c r="AF76" s="37"/>
      <c r="AG76" s="37"/>
      <c r="AH76" s="37"/>
      <c r="AI76" s="37"/>
      <c r="AJ76" s="37"/>
      <c r="AK76" s="37"/>
      <c r="AM76" s="38"/>
      <c r="AN76" s="38" t="s">
        <v>47</v>
      </c>
      <c r="AO76" s="38" t="s">
        <v>47</v>
      </c>
      <c r="AP76" s="38"/>
      <c r="AQ76" s="38"/>
      <c r="AR76" s="38"/>
      <c r="AS76" s="38" t="s">
        <v>47</v>
      </c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77">
        <f t="shared" si="10"/>
        <v>3</v>
      </c>
      <c r="BF76" s="38"/>
    </row>
    <row r="77" spans="1:58" ht="22.5" hidden="1" customHeight="1">
      <c r="A77" s="33" t="str">
        <f>IF(OR(ISBLANK(E77),ISBLANK(C77)),"",IF(COUNTIF($E$8:E77,E77)&gt;1,"",(MAX($A$7:A76)+1)))</f>
        <v/>
      </c>
      <c r="B77" s="34">
        <f>IF(ISBLANK(C77),"",SUBTOTAL(3,$C$8:C77))</f>
        <v>44</v>
      </c>
      <c r="C77" s="80" t="s">
        <v>229</v>
      </c>
      <c r="D77" s="50" t="s">
        <v>230</v>
      </c>
      <c r="E77" s="50" t="s">
        <v>180</v>
      </c>
      <c r="F77" s="35" t="str">
        <f t="shared" si="8"/>
        <v/>
      </c>
      <c r="G77" s="36" t="str">
        <f t="shared" si="9"/>
        <v>C</v>
      </c>
      <c r="H77" s="51">
        <f t="shared" si="7"/>
        <v>1</v>
      </c>
      <c r="I77" s="51">
        <f t="shared" si="7"/>
        <v>1</v>
      </c>
      <c r="J77" s="51" t="str">
        <f t="shared" si="7"/>
        <v/>
      </c>
      <c r="K77" s="37"/>
      <c r="L77" s="37"/>
      <c r="M77" s="37"/>
      <c r="N77" s="37"/>
      <c r="O77" s="39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 t="s">
        <v>47</v>
      </c>
      <c r="AA77" s="37"/>
      <c r="AB77" s="37"/>
      <c r="AC77" s="37"/>
      <c r="AD77" s="37"/>
      <c r="AE77" s="37"/>
      <c r="AF77" s="37"/>
      <c r="AG77" s="37" t="s">
        <v>47</v>
      </c>
      <c r="AH77" s="37"/>
      <c r="AI77" s="37"/>
      <c r="AJ77" s="37"/>
      <c r="AK77" s="37"/>
      <c r="AM77" s="38"/>
      <c r="AN77" s="38"/>
      <c r="AO77" s="38" t="s">
        <v>47</v>
      </c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77">
        <f t="shared" si="10"/>
        <v>1</v>
      </c>
      <c r="BF77" s="38"/>
    </row>
    <row r="78" spans="1:58" ht="22.5" hidden="1" customHeight="1">
      <c r="A78" s="33" t="str">
        <f>IF(OR(ISBLANK(E78),ISBLANK(C78)),"",IF(COUNTIF($E$8:E78,E78)&gt;1,"",(MAX($A$7:A77)+1)))</f>
        <v/>
      </c>
      <c r="B78" s="34">
        <f>IF(ISBLANK(C78),"",SUBTOTAL(3,$C$8:C78))</f>
        <v>44</v>
      </c>
      <c r="C78" s="80" t="s">
        <v>231</v>
      </c>
      <c r="D78" s="50" t="s">
        <v>232</v>
      </c>
      <c r="E78" s="50" t="s">
        <v>180</v>
      </c>
      <c r="F78" s="35" t="str">
        <f t="shared" si="8"/>
        <v/>
      </c>
      <c r="G78" s="36" t="str">
        <f t="shared" si="9"/>
        <v>C</v>
      </c>
      <c r="H78" s="51">
        <f t="shared" si="7"/>
        <v>1</v>
      </c>
      <c r="I78" s="51">
        <f t="shared" si="7"/>
        <v>1</v>
      </c>
      <c r="J78" s="51" t="str">
        <f t="shared" si="7"/>
        <v/>
      </c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 t="s">
        <v>47</v>
      </c>
      <c r="AA78" s="37"/>
      <c r="AB78" s="37"/>
      <c r="AC78" s="37"/>
      <c r="AD78" s="37"/>
      <c r="AE78" s="37"/>
      <c r="AF78" s="37"/>
      <c r="AG78" s="37" t="s">
        <v>47</v>
      </c>
      <c r="AH78" s="37"/>
      <c r="AI78" s="37"/>
      <c r="AJ78" s="37"/>
      <c r="AK78" s="37"/>
      <c r="AM78" s="38"/>
      <c r="AN78" s="38"/>
      <c r="AO78" s="38"/>
      <c r="AP78" s="38"/>
      <c r="AQ78" s="38" t="s">
        <v>47</v>
      </c>
      <c r="AR78" s="38"/>
      <c r="AS78" s="38" t="s">
        <v>47</v>
      </c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77">
        <f t="shared" si="10"/>
        <v>2</v>
      </c>
      <c r="BF78" s="38"/>
    </row>
    <row r="79" spans="1:58" ht="22.5" hidden="1" customHeight="1">
      <c r="A79" s="33" t="str">
        <f>IF(OR(ISBLANK(E79),ISBLANK(C79)),"",IF(COUNTIF($E$8:E79,E79)&gt;1,"",(MAX($A$7:A78)+1)))</f>
        <v/>
      </c>
      <c r="B79" s="34">
        <f>IF(ISBLANK(C79),"",SUBTOTAL(3,$C$8:C79))</f>
        <v>44</v>
      </c>
      <c r="C79" s="63" t="s">
        <v>233</v>
      </c>
      <c r="D79" s="50" t="s">
        <v>234</v>
      </c>
      <c r="E79" s="50" t="s">
        <v>180</v>
      </c>
      <c r="F79" s="35" t="str">
        <f t="shared" si="8"/>
        <v/>
      </c>
      <c r="G79" s="36" t="str">
        <f t="shared" si="9"/>
        <v>B</v>
      </c>
      <c r="H79" s="51">
        <f t="shared" si="7"/>
        <v>1</v>
      </c>
      <c r="I79" s="51">
        <f t="shared" si="7"/>
        <v>2</v>
      </c>
      <c r="J79" s="51" t="str">
        <f t="shared" si="7"/>
        <v/>
      </c>
      <c r="K79" s="37"/>
      <c r="L79" s="37" t="s">
        <v>47</v>
      </c>
      <c r="M79" s="37"/>
      <c r="N79" s="37"/>
      <c r="O79" s="37"/>
      <c r="P79" s="37"/>
      <c r="Q79" s="37"/>
      <c r="R79" s="37" t="s">
        <v>47</v>
      </c>
      <c r="S79" s="37"/>
      <c r="T79" s="37"/>
      <c r="U79" s="37"/>
      <c r="V79" s="37"/>
      <c r="W79" s="37"/>
      <c r="X79" s="37"/>
      <c r="Y79" s="37"/>
      <c r="Z79" s="37" t="s">
        <v>47</v>
      </c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M79" s="38"/>
      <c r="AN79" s="38"/>
      <c r="AO79" s="38" t="s">
        <v>47</v>
      </c>
      <c r="AP79" s="38"/>
      <c r="AQ79" s="38"/>
      <c r="AR79" s="38" t="s">
        <v>47</v>
      </c>
      <c r="AS79" s="38" t="s">
        <v>47</v>
      </c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77">
        <f t="shared" si="10"/>
        <v>3</v>
      </c>
      <c r="BF79" s="38"/>
    </row>
    <row r="80" spans="1:58" ht="22.5" hidden="1" customHeight="1">
      <c r="A80" s="33" t="str">
        <f>IF(OR(ISBLANK(E80),ISBLANK(C80)),"",IF(COUNTIF($E$8:E80,E80)&gt;1,"",(MAX($A$7:A79)+1)))</f>
        <v/>
      </c>
      <c r="B80" s="34">
        <f>IF(ISBLANK(C80),"",SUBTOTAL(3,$C$8:C80))</f>
        <v>44</v>
      </c>
      <c r="C80" s="80" t="s">
        <v>235</v>
      </c>
      <c r="D80" s="50" t="s">
        <v>236</v>
      </c>
      <c r="E80" s="50" t="s">
        <v>180</v>
      </c>
      <c r="F80" s="35" t="str">
        <f t="shared" si="8"/>
        <v/>
      </c>
      <c r="G80" s="36" t="str">
        <f t="shared" si="9"/>
        <v>A</v>
      </c>
      <c r="H80" s="51">
        <f t="shared" si="7"/>
        <v>4</v>
      </c>
      <c r="I80" s="51">
        <f t="shared" si="7"/>
        <v>1</v>
      </c>
      <c r="J80" s="51" t="str">
        <f t="shared" si="7"/>
        <v/>
      </c>
      <c r="K80" s="37" t="s">
        <v>47</v>
      </c>
      <c r="L80" s="37"/>
      <c r="M80" s="37"/>
      <c r="N80" s="37" t="s">
        <v>47</v>
      </c>
      <c r="O80" s="37"/>
      <c r="P80" s="37"/>
      <c r="Q80" s="37" t="s">
        <v>47</v>
      </c>
      <c r="R80" s="37"/>
      <c r="S80" s="37"/>
      <c r="T80" s="37" t="s">
        <v>47</v>
      </c>
      <c r="U80" s="37"/>
      <c r="V80" s="37"/>
      <c r="W80" s="37"/>
      <c r="X80" s="37"/>
      <c r="Y80" s="37"/>
      <c r="Z80" s="37"/>
      <c r="AA80" s="37" t="s">
        <v>47</v>
      </c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 t="s">
        <v>47</v>
      </c>
      <c r="BC80" s="38"/>
      <c r="BD80" s="38"/>
      <c r="BE80" s="77">
        <f t="shared" si="10"/>
        <v>1</v>
      </c>
      <c r="BF80" s="38"/>
    </row>
    <row r="81" spans="1:58" ht="22.5" hidden="1" customHeight="1">
      <c r="A81" s="33" t="str">
        <f>IF(OR(ISBLANK(E81),ISBLANK(C81)),"",IF(COUNTIF($E$8:E81,E81)&gt;1,"",(MAX($A$7:A80)+1)))</f>
        <v/>
      </c>
      <c r="B81" s="34">
        <f>IF(ISBLANK(C81),"",SUBTOTAL(3,$C$8:C81))</f>
        <v>44</v>
      </c>
      <c r="C81" s="80" t="s">
        <v>237</v>
      </c>
      <c r="D81" s="50" t="s">
        <v>238</v>
      </c>
      <c r="E81" s="50" t="s">
        <v>180</v>
      </c>
      <c r="F81" s="35" t="str">
        <f t="shared" si="8"/>
        <v/>
      </c>
      <c r="G81" s="36" t="str">
        <f t="shared" si="9"/>
        <v>A</v>
      </c>
      <c r="H81" s="51">
        <f t="shared" si="7"/>
        <v>2</v>
      </c>
      <c r="I81" s="51">
        <f t="shared" si="7"/>
        <v>3</v>
      </c>
      <c r="J81" s="51" t="str">
        <f t="shared" si="7"/>
        <v/>
      </c>
      <c r="K81" s="37" t="s">
        <v>47</v>
      </c>
      <c r="L81" s="37"/>
      <c r="M81" s="37"/>
      <c r="N81" s="37"/>
      <c r="O81" s="37" t="s">
        <v>47</v>
      </c>
      <c r="P81" s="37"/>
      <c r="Q81" s="37" t="s">
        <v>47</v>
      </c>
      <c r="R81" s="37"/>
      <c r="S81" s="37"/>
      <c r="T81" s="37"/>
      <c r="U81" s="37" t="s">
        <v>47</v>
      </c>
      <c r="V81" s="37"/>
      <c r="W81" s="37"/>
      <c r="X81" s="37"/>
      <c r="Y81" s="37"/>
      <c r="Z81" s="37"/>
      <c r="AA81" s="37" t="s">
        <v>47</v>
      </c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 t="s">
        <v>47</v>
      </c>
      <c r="BD81" s="38"/>
      <c r="BE81" s="77">
        <f t="shared" si="10"/>
        <v>1</v>
      </c>
      <c r="BF81" s="38"/>
    </row>
    <row r="82" spans="1:58" ht="22.5" hidden="1" customHeight="1">
      <c r="A82" s="33" t="str">
        <f>IF(OR(ISBLANK(E82),ISBLANK(C82)),"",IF(COUNTIF($E$8:E82,E82)&gt;1,"",(MAX($A$7:A81)+1)))</f>
        <v/>
      </c>
      <c r="B82" s="34">
        <f>IF(ISBLANK(C82),"",SUBTOTAL(3,$C$8:C82))</f>
        <v>44</v>
      </c>
      <c r="C82" s="80" t="s">
        <v>239</v>
      </c>
      <c r="D82" s="50" t="s">
        <v>240</v>
      </c>
      <c r="E82" s="50" t="s">
        <v>180</v>
      </c>
      <c r="F82" s="35" t="str">
        <f t="shared" si="8"/>
        <v/>
      </c>
      <c r="G82" s="36" t="str">
        <f t="shared" si="9"/>
        <v>C</v>
      </c>
      <c r="H82" s="51">
        <f t="shared" si="7"/>
        <v>1</v>
      </c>
      <c r="I82" s="51">
        <f t="shared" si="7"/>
        <v>1</v>
      </c>
      <c r="J82" s="51" t="str">
        <f t="shared" si="7"/>
        <v/>
      </c>
      <c r="K82" s="37" t="s">
        <v>47</v>
      </c>
      <c r="L82" s="37"/>
      <c r="M82" s="37"/>
      <c r="N82" s="37"/>
      <c r="O82" s="37" t="s">
        <v>47</v>
      </c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M82" s="38"/>
      <c r="AN82" s="38"/>
      <c r="AO82" s="38"/>
      <c r="AP82" s="38"/>
      <c r="AQ82" s="38"/>
      <c r="AR82" s="38" t="s">
        <v>47</v>
      </c>
      <c r="AS82" s="38" t="s">
        <v>47</v>
      </c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77">
        <f t="shared" si="10"/>
        <v>2</v>
      </c>
      <c r="BF82" s="38"/>
    </row>
    <row r="83" spans="1:58" ht="22.5" hidden="1" customHeight="1">
      <c r="A83" s="33" t="str">
        <f>IF(OR(ISBLANK(E83),ISBLANK(C83)),"",IF(COUNTIF($E$8:E83,E83)&gt;1,"",(MAX($A$7:A82)+1)))</f>
        <v/>
      </c>
      <c r="B83" s="34">
        <f>IF(ISBLANK(C83),"",SUBTOTAL(3,$C$8:C83))</f>
        <v>44</v>
      </c>
      <c r="C83" s="80" t="s">
        <v>241</v>
      </c>
      <c r="D83" s="50" t="s">
        <v>242</v>
      </c>
      <c r="E83" s="50" t="s">
        <v>180</v>
      </c>
      <c r="F83" s="35" t="str">
        <f t="shared" si="8"/>
        <v/>
      </c>
      <c r="G83" s="36" t="str">
        <f t="shared" si="9"/>
        <v>B</v>
      </c>
      <c r="H83" s="51">
        <f t="shared" si="7"/>
        <v>2</v>
      </c>
      <c r="I83" s="51" t="str">
        <f t="shared" si="7"/>
        <v/>
      </c>
      <c r="J83" s="51">
        <f t="shared" si="7"/>
        <v>2</v>
      </c>
      <c r="K83" s="37" t="s">
        <v>47</v>
      </c>
      <c r="L83" s="37"/>
      <c r="M83" s="37"/>
      <c r="N83" s="37"/>
      <c r="O83" s="37"/>
      <c r="P83" s="37" t="s">
        <v>47</v>
      </c>
      <c r="Q83" s="37" t="s">
        <v>47</v>
      </c>
      <c r="R83" s="37"/>
      <c r="S83" s="37"/>
      <c r="T83" s="37"/>
      <c r="U83" s="37"/>
      <c r="V83" s="37" t="s">
        <v>47</v>
      </c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 t="s">
        <v>47</v>
      </c>
      <c r="BB83" s="38"/>
      <c r="BC83" s="38"/>
      <c r="BD83" s="38"/>
      <c r="BE83" s="77">
        <f t="shared" si="10"/>
        <v>1</v>
      </c>
      <c r="BF83" s="38"/>
    </row>
    <row r="84" spans="1:58" ht="22.5" hidden="1" customHeight="1">
      <c r="A84" s="33" t="str">
        <f>IF(OR(ISBLANK(E84),ISBLANK(C84)),"",IF(COUNTIF($E$8:E84,E84)&gt;1,"",(MAX($A$7:A83)+1)))</f>
        <v/>
      </c>
      <c r="B84" s="34">
        <f>IF(ISBLANK(C84),"",SUBTOTAL(3,$C$8:C84))</f>
        <v>44</v>
      </c>
      <c r="C84" s="80" t="s">
        <v>243</v>
      </c>
      <c r="D84" s="50" t="s">
        <v>244</v>
      </c>
      <c r="E84" s="50" t="s">
        <v>180</v>
      </c>
      <c r="F84" s="35" t="str">
        <f t="shared" si="8"/>
        <v/>
      </c>
      <c r="G84" s="36" t="str">
        <f t="shared" si="9"/>
        <v>B</v>
      </c>
      <c r="H84" s="51">
        <f t="shared" si="7"/>
        <v>2</v>
      </c>
      <c r="I84" s="51" t="str">
        <f t="shared" si="7"/>
        <v/>
      </c>
      <c r="J84" s="51" t="str">
        <f t="shared" si="7"/>
        <v/>
      </c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 t="s">
        <v>47</v>
      </c>
      <c r="AA84" s="37"/>
      <c r="AB84" s="37"/>
      <c r="AC84" s="37"/>
      <c r="AD84" s="37"/>
      <c r="AE84" s="37"/>
      <c r="AF84" s="37" t="s">
        <v>47</v>
      </c>
      <c r="AG84" s="37"/>
      <c r="AH84" s="37"/>
      <c r="AI84" s="37"/>
      <c r="AJ84" s="37"/>
      <c r="AK84" s="37"/>
      <c r="AM84" s="38"/>
      <c r="AN84" s="38"/>
      <c r="AO84" s="38"/>
      <c r="AP84" s="38" t="s">
        <v>47</v>
      </c>
      <c r="AQ84" s="38" t="s">
        <v>47</v>
      </c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77">
        <f t="shared" si="10"/>
        <v>2</v>
      </c>
      <c r="BF84" s="38"/>
    </row>
    <row r="85" spans="1:58" ht="22.5" hidden="1" customHeight="1">
      <c r="A85" s="33" t="str">
        <f>IF(OR(ISBLANK(E85),ISBLANK(C85)),"",IF(COUNTIF($E$8:E85,E85)&gt;1,"",(MAX($A$7:A84)+1)))</f>
        <v/>
      </c>
      <c r="B85" s="34">
        <f>IF(ISBLANK(C85),"",SUBTOTAL(3,$C$8:C85))</f>
        <v>44</v>
      </c>
      <c r="C85" s="80" t="s">
        <v>245</v>
      </c>
      <c r="D85" s="50" t="s">
        <v>246</v>
      </c>
      <c r="E85" s="50" t="s">
        <v>180</v>
      </c>
      <c r="F85" s="35" t="str">
        <f t="shared" si="8"/>
        <v/>
      </c>
      <c r="G85" s="36" t="str">
        <f t="shared" si="9"/>
        <v>B</v>
      </c>
      <c r="H85" s="51">
        <f t="shared" si="7"/>
        <v>2</v>
      </c>
      <c r="I85" s="51">
        <f t="shared" si="7"/>
        <v>1</v>
      </c>
      <c r="J85" s="51" t="str">
        <f t="shared" si="7"/>
        <v/>
      </c>
      <c r="K85" s="37" t="s">
        <v>47</v>
      </c>
      <c r="L85" s="37"/>
      <c r="M85" s="37"/>
      <c r="N85" s="37"/>
      <c r="O85" s="37" t="s">
        <v>47</v>
      </c>
      <c r="P85" s="37"/>
      <c r="Q85" s="37" t="s">
        <v>47</v>
      </c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 t="s">
        <v>47</v>
      </c>
      <c r="AX85" s="38"/>
      <c r="AY85" s="38"/>
      <c r="AZ85" s="38"/>
      <c r="BA85" s="38"/>
      <c r="BB85" s="38"/>
      <c r="BC85" s="38"/>
      <c r="BD85" s="38"/>
      <c r="BE85" s="77">
        <f t="shared" si="10"/>
        <v>1</v>
      </c>
      <c r="BF85" s="38"/>
    </row>
    <row r="86" spans="1:58" ht="22.5" hidden="1" customHeight="1">
      <c r="A86" s="33" t="str">
        <f>IF(OR(ISBLANK(E86),ISBLANK(C86)),"",IF(COUNTIF($E$8:E86,E86)&gt;1,"",(MAX($A$7:A85)+1)))</f>
        <v/>
      </c>
      <c r="B86" s="34">
        <f>IF(ISBLANK(C86),"",SUBTOTAL(3,$C$8:C86))</f>
        <v>44</v>
      </c>
      <c r="C86" s="80" t="s">
        <v>247</v>
      </c>
      <c r="D86" s="50" t="s">
        <v>248</v>
      </c>
      <c r="E86" s="50" t="s">
        <v>180</v>
      </c>
      <c r="F86" s="35" t="str">
        <f t="shared" si="8"/>
        <v/>
      </c>
      <c r="G86" s="36" t="str">
        <f t="shared" si="9"/>
        <v>C</v>
      </c>
      <c r="H86" s="51">
        <f t="shared" si="7"/>
        <v>1</v>
      </c>
      <c r="I86" s="51">
        <f t="shared" si="7"/>
        <v>1</v>
      </c>
      <c r="J86" s="51">
        <f t="shared" si="7"/>
        <v>2</v>
      </c>
      <c r="K86" s="37" t="s">
        <v>47</v>
      </c>
      <c r="L86" s="37"/>
      <c r="M86" s="37"/>
      <c r="N86" s="37"/>
      <c r="O86" s="37"/>
      <c r="P86" s="37" t="s">
        <v>47</v>
      </c>
      <c r="Q86" s="37"/>
      <c r="R86" s="37" t="s">
        <v>47</v>
      </c>
      <c r="S86" s="37"/>
      <c r="T86" s="37"/>
      <c r="U86" s="37"/>
      <c r="V86" s="37" t="s">
        <v>47</v>
      </c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 t="s">
        <v>47</v>
      </c>
      <c r="AZ86" s="38"/>
      <c r="BA86" s="38"/>
      <c r="BB86" s="38"/>
      <c r="BC86" s="38"/>
      <c r="BD86" s="38"/>
      <c r="BE86" s="77">
        <f t="shared" si="10"/>
        <v>1</v>
      </c>
      <c r="BF86" s="38"/>
    </row>
    <row r="87" spans="1:58" ht="22.5" hidden="1" customHeight="1">
      <c r="A87" s="33" t="str">
        <f>IF(OR(ISBLANK(E87),ISBLANK(C87)),"",IF(COUNTIF($E$8:E87,E87)&gt;1,"",(MAX($A$7:A86)+1)))</f>
        <v/>
      </c>
      <c r="B87" s="34">
        <f>IF(ISBLANK(C87),"",SUBTOTAL(3,$C$8:C87))</f>
        <v>44</v>
      </c>
      <c r="C87" s="78" t="s">
        <v>249</v>
      </c>
      <c r="D87" s="50" t="s">
        <v>250</v>
      </c>
      <c r="E87" s="50" t="s">
        <v>180</v>
      </c>
      <c r="F87" s="35" t="str">
        <f t="shared" si="8"/>
        <v/>
      </c>
      <c r="G87" s="36" t="str">
        <f t="shared" si="9"/>
        <v/>
      </c>
      <c r="H87" s="51" t="str">
        <f t="shared" si="7"/>
        <v/>
      </c>
      <c r="I87" s="51" t="str">
        <f t="shared" si="7"/>
        <v/>
      </c>
      <c r="J87" s="51" t="str">
        <f t="shared" si="7"/>
        <v/>
      </c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M87" s="38"/>
      <c r="AN87" s="38" t="s">
        <v>47</v>
      </c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77">
        <f t="shared" si="10"/>
        <v>1</v>
      </c>
      <c r="BF87" s="38"/>
    </row>
    <row r="88" spans="1:58" ht="22.5" hidden="1" customHeight="1">
      <c r="A88" s="33" t="str">
        <f>IF(OR(ISBLANK(E88),ISBLANK(C88)),"",IF(COUNTIF($E$8:E88,E88)&gt;1,"",(MAX($A$7:A87)+1)))</f>
        <v/>
      </c>
      <c r="B88" s="34">
        <f>IF(ISBLANK(C88),"",SUBTOTAL(3,$C$8:C88))</f>
        <v>44</v>
      </c>
      <c r="C88" s="78" t="s">
        <v>251</v>
      </c>
      <c r="D88" s="50" t="s">
        <v>252</v>
      </c>
      <c r="E88" s="50" t="s">
        <v>180</v>
      </c>
      <c r="F88" s="35" t="str">
        <f t="shared" si="8"/>
        <v/>
      </c>
      <c r="G88" s="36" t="str">
        <f t="shared" si="9"/>
        <v>D</v>
      </c>
      <c r="H88" s="51" t="str">
        <f t="shared" ref="H88:J151" si="11">IF(OR(ISBLANK($C88),COUNTIFS($K88:$AH88,"X",$K$7:$AH$7,H$7)=0,),"",COUNTIFS($K88:$AH88,"X",$K$7:$AH$7,H$7))</f>
        <v/>
      </c>
      <c r="I88" s="51">
        <f t="shared" si="11"/>
        <v>1</v>
      </c>
      <c r="J88" s="51">
        <f t="shared" si="11"/>
        <v>1</v>
      </c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 t="s">
        <v>47</v>
      </c>
      <c r="AB88" s="37"/>
      <c r="AC88" s="37"/>
      <c r="AD88" s="37"/>
      <c r="AE88" s="37"/>
      <c r="AF88" s="37"/>
      <c r="AG88" s="37"/>
      <c r="AH88" s="37" t="s">
        <v>47</v>
      </c>
      <c r="AI88" s="37"/>
      <c r="AJ88" s="37"/>
      <c r="AK88" s="37"/>
      <c r="AM88" s="38"/>
      <c r="AN88" s="38"/>
      <c r="AO88" s="38"/>
      <c r="AP88" s="38" t="s">
        <v>47</v>
      </c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77">
        <f t="shared" si="10"/>
        <v>1</v>
      </c>
      <c r="BF88" s="38"/>
    </row>
    <row r="89" spans="1:58" ht="22.5" hidden="1" customHeight="1">
      <c r="A89" s="33" t="str">
        <f>IF(OR(ISBLANK(E89),ISBLANK(C89)),"",IF(COUNTIF($E$8:E89,E89)&gt;1,"",(MAX($A$7:A88)+1)))</f>
        <v/>
      </c>
      <c r="B89" s="34">
        <f>IF(ISBLANK(C89),"",SUBTOTAL(3,$C$8:C89))</f>
        <v>44</v>
      </c>
      <c r="C89" s="78" t="s">
        <v>253</v>
      </c>
      <c r="D89" s="50" t="s">
        <v>254</v>
      </c>
      <c r="E89" s="50" t="s">
        <v>180</v>
      </c>
      <c r="F89" s="35" t="str">
        <f t="shared" si="8"/>
        <v/>
      </c>
      <c r="G89" s="36" t="str">
        <f t="shared" si="9"/>
        <v>D</v>
      </c>
      <c r="H89" s="51" t="str">
        <f t="shared" si="11"/>
        <v/>
      </c>
      <c r="I89" s="51">
        <f t="shared" si="11"/>
        <v>1</v>
      </c>
      <c r="J89" s="51" t="str">
        <f t="shared" si="11"/>
        <v/>
      </c>
      <c r="K89" s="37"/>
      <c r="L89" s="37" t="s">
        <v>47</v>
      </c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M89" s="38"/>
      <c r="AN89" s="38"/>
      <c r="AO89" s="38"/>
      <c r="AP89" s="38"/>
      <c r="AQ89" s="38"/>
      <c r="AR89" s="38"/>
      <c r="AS89" s="38" t="s">
        <v>47</v>
      </c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77">
        <f t="shared" si="10"/>
        <v>1</v>
      </c>
      <c r="BF89" s="38"/>
    </row>
    <row r="90" spans="1:58" ht="22.5" hidden="1" customHeight="1">
      <c r="A90" s="33" t="str">
        <f>IF(OR(ISBLANK(E90),ISBLANK(C90)),"",IF(COUNTIF($E$8:E90,E90)&gt;1,"",(MAX($A$7:A89)+1)))</f>
        <v/>
      </c>
      <c r="B90" s="34">
        <f>IF(ISBLANK(C90),"",SUBTOTAL(3,$C$8:C90))</f>
        <v>44</v>
      </c>
      <c r="C90" s="78" t="s">
        <v>255</v>
      </c>
      <c r="D90" s="50" t="s">
        <v>256</v>
      </c>
      <c r="E90" s="50" t="s">
        <v>180</v>
      </c>
      <c r="F90" s="35" t="str">
        <f t="shared" si="8"/>
        <v/>
      </c>
      <c r="G90" s="36" t="str">
        <f t="shared" si="9"/>
        <v>D</v>
      </c>
      <c r="H90" s="51" t="str">
        <f t="shared" si="11"/>
        <v/>
      </c>
      <c r="I90" s="51" t="str">
        <f t="shared" si="11"/>
        <v/>
      </c>
      <c r="J90" s="51">
        <f t="shared" si="11"/>
        <v>2</v>
      </c>
      <c r="K90" s="37"/>
      <c r="L90" s="37"/>
      <c r="M90" s="37" t="s">
        <v>47</v>
      </c>
      <c r="N90" s="37"/>
      <c r="O90" s="37"/>
      <c r="P90" s="37"/>
      <c r="Q90" s="37"/>
      <c r="R90" s="37"/>
      <c r="S90" s="37" t="s">
        <v>47</v>
      </c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M90" s="38"/>
      <c r="AN90" s="38" t="s">
        <v>47</v>
      </c>
      <c r="AO90" s="38"/>
      <c r="AP90" s="38"/>
      <c r="AQ90" s="38"/>
      <c r="AR90" s="38"/>
      <c r="AS90" s="38" t="s">
        <v>47</v>
      </c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77">
        <f t="shared" si="10"/>
        <v>2</v>
      </c>
      <c r="BF90" s="38"/>
    </row>
    <row r="91" spans="1:58" ht="22.5" hidden="1" customHeight="1">
      <c r="A91" s="33">
        <f>IF(OR(ISBLANK(E91),ISBLANK(C91)),"",IF(COUNTIF($E$8:E91,E91)&gt;1,"",(MAX($A$7:A90)+1)))</f>
        <v>3</v>
      </c>
      <c r="B91" s="34">
        <f>IF(ISBLANK(C91),"",SUBTOTAL(3,$C$8:C91))</f>
        <v>44</v>
      </c>
      <c r="C91" s="78" t="s">
        <v>257</v>
      </c>
      <c r="D91" s="50" t="s">
        <v>258</v>
      </c>
      <c r="E91" s="50" t="s">
        <v>259</v>
      </c>
      <c r="F91" s="35" t="str">
        <f t="shared" si="8"/>
        <v/>
      </c>
      <c r="G91" s="36" t="str">
        <f t="shared" si="9"/>
        <v/>
      </c>
      <c r="H91" s="51" t="str">
        <f t="shared" si="11"/>
        <v/>
      </c>
      <c r="I91" s="51" t="str">
        <f t="shared" si="11"/>
        <v/>
      </c>
      <c r="J91" s="51" t="str">
        <f t="shared" si="11"/>
        <v/>
      </c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77">
        <f t="shared" si="10"/>
        <v>0</v>
      </c>
      <c r="BF91" s="38"/>
    </row>
    <row r="92" spans="1:58" ht="22.5" hidden="1" customHeight="1">
      <c r="A92" s="33" t="str">
        <f>IF(OR(ISBLANK(E92),ISBLANK(C92)),"",IF(COUNTIF($E$8:E92,E92)&gt;1,"",(MAX($A$7:A91)+1)))</f>
        <v/>
      </c>
      <c r="B92" s="34">
        <f>IF(ISBLANK(C92),"",SUBTOTAL(3,$C$8:C92))</f>
        <v>44</v>
      </c>
      <c r="C92" s="78" t="s">
        <v>260</v>
      </c>
      <c r="D92" s="50" t="s">
        <v>261</v>
      </c>
      <c r="E92" s="50" t="s">
        <v>259</v>
      </c>
      <c r="F92" s="35" t="str">
        <f t="shared" si="8"/>
        <v/>
      </c>
      <c r="G92" s="36" t="str">
        <f t="shared" si="9"/>
        <v>B</v>
      </c>
      <c r="H92" s="51">
        <f t="shared" si="11"/>
        <v>1</v>
      </c>
      <c r="I92" s="51">
        <f t="shared" si="11"/>
        <v>4</v>
      </c>
      <c r="J92" s="51" t="str">
        <f t="shared" si="11"/>
        <v/>
      </c>
      <c r="K92" s="37" t="s">
        <v>47</v>
      </c>
      <c r="L92" s="37"/>
      <c r="M92" s="37"/>
      <c r="N92" s="37"/>
      <c r="O92" s="37" t="s">
        <v>47</v>
      </c>
      <c r="P92" s="37"/>
      <c r="Q92" s="37"/>
      <c r="R92" s="37" t="s">
        <v>47</v>
      </c>
      <c r="S92" s="37"/>
      <c r="T92" s="37"/>
      <c r="U92" s="37" t="s">
        <v>47</v>
      </c>
      <c r="V92" s="37"/>
      <c r="W92" s="37"/>
      <c r="X92" s="37" t="s">
        <v>47</v>
      </c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77">
        <f t="shared" si="10"/>
        <v>0</v>
      </c>
      <c r="BF92" s="38"/>
    </row>
    <row r="93" spans="1:58" ht="22.5" hidden="1" customHeight="1">
      <c r="A93" s="33" t="str">
        <f>IF(OR(ISBLANK(E93),ISBLANK(C93)),"",IF(COUNTIF($E$8:E93,E93)&gt;1,"",(MAX($A$7:A92)+1)))</f>
        <v/>
      </c>
      <c r="B93" s="34">
        <f>IF(ISBLANK(C93),"",SUBTOTAL(3,$C$8:C93))</f>
        <v>44</v>
      </c>
      <c r="C93" s="78" t="s">
        <v>262</v>
      </c>
      <c r="D93" s="50" t="s">
        <v>263</v>
      </c>
      <c r="E93" s="50" t="s">
        <v>259</v>
      </c>
      <c r="F93" s="35" t="str">
        <f t="shared" si="8"/>
        <v/>
      </c>
      <c r="G93" s="36" t="str">
        <f t="shared" si="9"/>
        <v/>
      </c>
      <c r="H93" s="51" t="str">
        <f t="shared" si="11"/>
        <v/>
      </c>
      <c r="I93" s="51" t="str">
        <f t="shared" si="11"/>
        <v/>
      </c>
      <c r="J93" s="51" t="str">
        <f t="shared" si="11"/>
        <v/>
      </c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77">
        <f t="shared" si="10"/>
        <v>0</v>
      </c>
      <c r="BF93" s="38"/>
    </row>
    <row r="94" spans="1:58" ht="22.5" hidden="1" customHeight="1">
      <c r="A94" s="33" t="str">
        <f>IF(OR(ISBLANK(E94),ISBLANK(C94)),"",IF(COUNTIF($E$8:E94,E94)&gt;1,"",(MAX($A$7:A93)+1)))</f>
        <v/>
      </c>
      <c r="B94" s="34">
        <f>IF(ISBLANK(C94),"",SUBTOTAL(3,$C$8:C94))</f>
        <v>44</v>
      </c>
      <c r="C94" s="78" t="s">
        <v>264</v>
      </c>
      <c r="D94" s="50" t="s">
        <v>265</v>
      </c>
      <c r="E94" s="50" t="s">
        <v>259</v>
      </c>
      <c r="F94" s="35" t="str">
        <f t="shared" si="8"/>
        <v/>
      </c>
      <c r="G94" s="36" t="str">
        <f t="shared" si="9"/>
        <v/>
      </c>
      <c r="H94" s="51" t="str">
        <f t="shared" si="11"/>
        <v/>
      </c>
      <c r="I94" s="51" t="str">
        <f t="shared" si="11"/>
        <v/>
      </c>
      <c r="J94" s="51" t="str">
        <f t="shared" si="11"/>
        <v/>
      </c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77">
        <f t="shared" si="10"/>
        <v>0</v>
      </c>
      <c r="BF94" s="38"/>
    </row>
    <row r="95" spans="1:58" ht="22.5" hidden="1" customHeight="1">
      <c r="A95" s="33" t="str">
        <f>IF(OR(ISBLANK(E95),ISBLANK(C95)),"",IF(COUNTIF($E$8:E95,E95)&gt;1,"",(MAX($A$7:A94)+1)))</f>
        <v/>
      </c>
      <c r="B95" s="34">
        <f>IF(ISBLANK(C95),"",SUBTOTAL(3,$C$8:C95))</f>
        <v>44</v>
      </c>
      <c r="C95" s="78" t="s">
        <v>266</v>
      </c>
      <c r="D95" s="50" t="s">
        <v>267</v>
      </c>
      <c r="E95" s="50" t="s">
        <v>259</v>
      </c>
      <c r="F95" s="35" t="str">
        <f t="shared" si="8"/>
        <v/>
      </c>
      <c r="G95" s="36" t="str">
        <f t="shared" si="9"/>
        <v>D</v>
      </c>
      <c r="H95" s="51" t="str">
        <f t="shared" si="11"/>
        <v/>
      </c>
      <c r="I95" s="51">
        <f t="shared" si="11"/>
        <v>1</v>
      </c>
      <c r="J95" s="51" t="str">
        <f t="shared" si="11"/>
        <v/>
      </c>
      <c r="K95" s="37"/>
      <c r="L95" s="37" t="s">
        <v>47</v>
      </c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M95" s="38"/>
      <c r="AN95" s="38"/>
      <c r="AO95" s="38"/>
      <c r="AP95" s="38"/>
      <c r="AQ95" s="38"/>
      <c r="AR95" s="38"/>
      <c r="AS95" s="38" t="s">
        <v>47</v>
      </c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77">
        <f t="shared" si="10"/>
        <v>1</v>
      </c>
      <c r="BF95" s="38"/>
    </row>
    <row r="96" spans="1:58" ht="22.5" hidden="1" customHeight="1">
      <c r="A96" s="33" t="s">
        <v>47</v>
      </c>
      <c r="B96" s="34">
        <f>IF(ISBLANK(C96),"",SUBTOTAL(3,$C$8:C96))</f>
        <v>44</v>
      </c>
      <c r="C96" s="78" t="s">
        <v>268</v>
      </c>
      <c r="D96" s="50" t="s">
        <v>269</v>
      </c>
      <c r="E96" s="50" t="s">
        <v>259</v>
      </c>
      <c r="F96" s="35" t="str">
        <f t="shared" si="8"/>
        <v/>
      </c>
      <c r="G96" s="36" t="str">
        <f t="shared" si="9"/>
        <v>C</v>
      </c>
      <c r="H96" s="51">
        <f t="shared" si="11"/>
        <v>1</v>
      </c>
      <c r="I96" s="51">
        <f t="shared" si="11"/>
        <v>1</v>
      </c>
      <c r="J96" s="51" t="str">
        <f t="shared" si="11"/>
        <v/>
      </c>
      <c r="K96" s="37"/>
      <c r="L96" s="37" t="s">
        <v>47</v>
      </c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 t="s">
        <v>47</v>
      </c>
      <c r="AG96" s="37"/>
      <c r="AH96" s="37"/>
      <c r="AI96" s="37"/>
      <c r="AJ96" s="37"/>
      <c r="AK96" s="37"/>
      <c r="AM96" s="38"/>
      <c r="AN96" s="38"/>
      <c r="AO96" s="38"/>
      <c r="AP96" s="38"/>
      <c r="AQ96" s="38" t="s">
        <v>47</v>
      </c>
      <c r="AR96" s="38"/>
      <c r="AS96" s="38" t="s">
        <v>47</v>
      </c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77">
        <f t="shared" si="10"/>
        <v>2</v>
      </c>
      <c r="BF96" s="38"/>
    </row>
    <row r="97" spans="1:58" ht="22.5" hidden="1" customHeight="1">
      <c r="A97" s="33" t="str">
        <f>IF(OR(ISBLANK(E97),ISBLANK(C97)),"",IF(COUNTIF($E$8:E97,E97)&gt;1,"",(MAX($A$7:A96)+1)))</f>
        <v/>
      </c>
      <c r="B97" s="34">
        <f>IF(ISBLANK(C97),"",SUBTOTAL(3,$C$8:C97))</f>
        <v>44</v>
      </c>
      <c r="C97" s="78" t="s">
        <v>270</v>
      </c>
      <c r="D97" s="50" t="s">
        <v>271</v>
      </c>
      <c r="E97" s="50" t="s">
        <v>259</v>
      </c>
      <c r="F97" s="35" t="str">
        <f t="shared" si="8"/>
        <v/>
      </c>
      <c r="G97" s="36" t="str">
        <f t="shared" si="9"/>
        <v>A</v>
      </c>
      <c r="H97" s="51">
        <f t="shared" si="11"/>
        <v>2</v>
      </c>
      <c r="I97" s="51">
        <f t="shared" si="11"/>
        <v>2</v>
      </c>
      <c r="J97" s="51" t="str">
        <f t="shared" si="11"/>
        <v/>
      </c>
      <c r="K97" s="37" t="s">
        <v>47</v>
      </c>
      <c r="L97" s="37"/>
      <c r="M97" s="37"/>
      <c r="N97" s="37" t="s">
        <v>47</v>
      </c>
      <c r="O97" s="37"/>
      <c r="P97" s="37"/>
      <c r="Q97" s="37"/>
      <c r="R97" s="37" t="s">
        <v>47</v>
      </c>
      <c r="S97" s="37"/>
      <c r="T97" s="37"/>
      <c r="U97" s="37" t="s">
        <v>47</v>
      </c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 t="s">
        <v>47</v>
      </c>
      <c r="AX97" s="38"/>
      <c r="AY97" s="38" t="s">
        <v>47</v>
      </c>
      <c r="AZ97" s="38"/>
      <c r="BA97" s="38"/>
      <c r="BB97" s="38"/>
      <c r="BC97" s="38"/>
      <c r="BD97" s="38"/>
      <c r="BE97" s="77">
        <f t="shared" si="10"/>
        <v>2</v>
      </c>
      <c r="BF97" s="38"/>
    </row>
    <row r="98" spans="1:58" ht="22.5" hidden="1" customHeight="1">
      <c r="A98" s="33" t="str">
        <f>IF(OR(ISBLANK(E98),ISBLANK(C98)),"",IF(COUNTIF($E$8:E98,E98)&gt;1,"",(MAX($A$7:A97)+1)))</f>
        <v/>
      </c>
      <c r="B98" s="34">
        <f>IF(ISBLANK(C98),"",SUBTOTAL(3,$C$8:C98))</f>
        <v>44</v>
      </c>
      <c r="C98" s="78" t="s">
        <v>272</v>
      </c>
      <c r="D98" s="50" t="s">
        <v>273</v>
      </c>
      <c r="E98" s="50" t="s">
        <v>259</v>
      </c>
      <c r="F98" s="35" t="str">
        <f t="shared" si="8"/>
        <v/>
      </c>
      <c r="G98" s="36" t="str">
        <f t="shared" si="9"/>
        <v>B</v>
      </c>
      <c r="H98" s="51">
        <f t="shared" si="11"/>
        <v>2</v>
      </c>
      <c r="I98" s="51">
        <f t="shared" si="11"/>
        <v>1</v>
      </c>
      <c r="J98" s="51" t="str">
        <f t="shared" si="11"/>
        <v/>
      </c>
      <c r="K98" s="37" t="s">
        <v>47</v>
      </c>
      <c r="L98" s="37"/>
      <c r="M98" s="37"/>
      <c r="N98" s="37"/>
      <c r="O98" s="37" t="s">
        <v>47</v>
      </c>
      <c r="P98" s="37"/>
      <c r="Q98" s="37" t="s">
        <v>47</v>
      </c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M98" s="38"/>
      <c r="AN98" s="38"/>
      <c r="AO98" s="38"/>
      <c r="AP98" s="38"/>
      <c r="AQ98" s="38"/>
      <c r="AR98" s="38"/>
      <c r="AS98" s="38" t="s">
        <v>47</v>
      </c>
      <c r="AT98" s="38"/>
      <c r="AU98" s="38"/>
      <c r="AV98" s="38" t="s">
        <v>47</v>
      </c>
      <c r="AW98" s="38" t="s">
        <v>47</v>
      </c>
      <c r="AX98" s="38"/>
      <c r="AY98" s="38"/>
      <c r="AZ98" s="38"/>
      <c r="BA98" s="38"/>
      <c r="BB98" s="38"/>
      <c r="BC98" s="38"/>
      <c r="BD98" s="38"/>
      <c r="BE98" s="77">
        <f t="shared" si="10"/>
        <v>3</v>
      </c>
      <c r="BF98" s="38"/>
    </row>
    <row r="99" spans="1:58" ht="22.5" hidden="1" customHeight="1">
      <c r="A99" s="33" t="str">
        <f>IF(OR(ISBLANK(E99),ISBLANK(C99)),"",IF(COUNTIF($E$8:E99,E99)&gt;1,"",(MAX($A$7:A98)+1)))</f>
        <v/>
      </c>
      <c r="B99" s="34">
        <f>IF(ISBLANK(C99),"",SUBTOTAL(3,$C$8:C99))</f>
        <v>44</v>
      </c>
      <c r="C99" s="78" t="s">
        <v>274</v>
      </c>
      <c r="D99" s="50" t="s">
        <v>275</v>
      </c>
      <c r="E99" s="50" t="s">
        <v>259</v>
      </c>
      <c r="F99" s="35" t="str">
        <f t="shared" si="8"/>
        <v/>
      </c>
      <c r="G99" s="36" t="str">
        <f t="shared" si="9"/>
        <v>D</v>
      </c>
      <c r="H99" s="51" t="str">
        <f t="shared" si="11"/>
        <v/>
      </c>
      <c r="I99" s="51">
        <f t="shared" si="11"/>
        <v>1</v>
      </c>
      <c r="J99" s="51" t="str">
        <f t="shared" si="11"/>
        <v/>
      </c>
      <c r="K99" s="37"/>
      <c r="L99" s="37" t="s">
        <v>47</v>
      </c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M99" s="38"/>
      <c r="AN99" s="38"/>
      <c r="AO99" s="38"/>
      <c r="AP99" s="38"/>
      <c r="AQ99" s="38"/>
      <c r="AR99" s="38"/>
      <c r="AS99" s="38" t="s">
        <v>47</v>
      </c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77">
        <f t="shared" si="10"/>
        <v>1</v>
      </c>
      <c r="BF99" s="38"/>
    </row>
    <row r="100" spans="1:58" ht="22.5" hidden="1" customHeight="1">
      <c r="A100" s="33" t="str">
        <f>IF(OR(ISBLANK(E100),ISBLANK(C100)),"",IF(COUNTIF($E$8:E100,E100)&gt;1,"",(MAX($A$7:A99)+1)))</f>
        <v/>
      </c>
      <c r="B100" s="34">
        <f>IF(ISBLANK(C100),"",SUBTOTAL(3,$C$8:C100))</f>
        <v>44</v>
      </c>
      <c r="C100" s="78" t="s">
        <v>276</v>
      </c>
      <c r="D100" s="50" t="s">
        <v>277</v>
      </c>
      <c r="E100" s="50" t="s">
        <v>259</v>
      </c>
      <c r="F100" s="35" t="str">
        <f t="shared" si="8"/>
        <v/>
      </c>
      <c r="G100" s="36" t="str">
        <f t="shared" si="9"/>
        <v/>
      </c>
      <c r="H100" s="51" t="str">
        <f t="shared" si="11"/>
        <v/>
      </c>
      <c r="I100" s="51" t="str">
        <f t="shared" si="11"/>
        <v/>
      </c>
      <c r="J100" s="51" t="str">
        <f t="shared" si="11"/>
        <v/>
      </c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77">
        <f t="shared" si="10"/>
        <v>0</v>
      </c>
      <c r="BF100" s="38"/>
    </row>
    <row r="101" spans="1:58" ht="22.5" hidden="1" customHeight="1">
      <c r="A101" s="33" t="str">
        <f>IF(OR(ISBLANK(E101),ISBLANK(C101)),"",IF(COUNTIF($E$8:E101,E101)&gt;1,"",(MAX($A$7:A100)+1)))</f>
        <v/>
      </c>
      <c r="B101" s="34">
        <f>IF(ISBLANK(C101),"",SUBTOTAL(3,$C$8:C101))</f>
        <v>44</v>
      </c>
      <c r="C101" s="78" t="s">
        <v>278</v>
      </c>
      <c r="D101" s="50" t="s">
        <v>279</v>
      </c>
      <c r="E101" s="50" t="s">
        <v>259</v>
      </c>
      <c r="F101" s="35" t="str">
        <f t="shared" si="8"/>
        <v/>
      </c>
      <c r="G101" s="36" t="str">
        <f t="shared" si="9"/>
        <v>B</v>
      </c>
      <c r="H101" s="51">
        <f t="shared" si="11"/>
        <v>1</v>
      </c>
      <c r="I101" s="51">
        <f t="shared" si="11"/>
        <v>3</v>
      </c>
      <c r="J101" s="51" t="str">
        <f t="shared" si="11"/>
        <v/>
      </c>
      <c r="K101" s="37" t="s">
        <v>47</v>
      </c>
      <c r="L101" s="37"/>
      <c r="M101" s="37"/>
      <c r="N101" s="37"/>
      <c r="O101" s="37" t="s">
        <v>47</v>
      </c>
      <c r="P101" s="37"/>
      <c r="Q101" s="37"/>
      <c r="R101" s="37" t="s">
        <v>47</v>
      </c>
      <c r="S101" s="37"/>
      <c r="T101" s="37"/>
      <c r="U101" s="37" t="s">
        <v>47</v>
      </c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M101" s="38"/>
      <c r="AN101" s="38"/>
      <c r="AO101" s="38"/>
      <c r="AP101" s="38"/>
      <c r="AQ101" s="38"/>
      <c r="AR101" s="38"/>
      <c r="AS101" s="38"/>
      <c r="AT101" s="38"/>
      <c r="AU101" s="38" t="s">
        <v>47</v>
      </c>
      <c r="AV101" s="38"/>
      <c r="AW101" s="38"/>
      <c r="AX101" s="38"/>
      <c r="AY101" s="38"/>
      <c r="AZ101" s="38"/>
      <c r="BA101" s="38" t="s">
        <v>47</v>
      </c>
      <c r="BB101" s="38"/>
      <c r="BC101" s="38"/>
      <c r="BD101" s="38"/>
      <c r="BE101" s="77">
        <f t="shared" si="10"/>
        <v>2</v>
      </c>
      <c r="BF101" s="38"/>
    </row>
    <row r="102" spans="1:58" ht="22.5" hidden="1" customHeight="1">
      <c r="A102" s="33" t="str">
        <f>IF(OR(ISBLANK(E102),ISBLANK(C102)),"",IF(COUNTIF($E$8:E102,E102)&gt;1,"",(MAX($A$7:A101)+1)))</f>
        <v/>
      </c>
      <c r="B102" s="34">
        <f>IF(ISBLANK(C102),"",SUBTOTAL(3,$C$8:C102))</f>
        <v>44</v>
      </c>
      <c r="C102" s="78" t="s">
        <v>280</v>
      </c>
      <c r="D102" s="50" t="s">
        <v>281</v>
      </c>
      <c r="E102" s="50" t="s">
        <v>259</v>
      </c>
      <c r="F102" s="35" t="str">
        <f t="shared" si="8"/>
        <v/>
      </c>
      <c r="G102" s="36" t="str">
        <f t="shared" si="9"/>
        <v>A</v>
      </c>
      <c r="H102" s="51">
        <f t="shared" si="11"/>
        <v>2</v>
      </c>
      <c r="I102" s="51">
        <f t="shared" si="11"/>
        <v>2</v>
      </c>
      <c r="J102" s="51" t="str">
        <f t="shared" si="11"/>
        <v/>
      </c>
      <c r="K102" s="37" t="s">
        <v>47</v>
      </c>
      <c r="L102" s="37"/>
      <c r="M102" s="37"/>
      <c r="N102" s="37" t="s">
        <v>47</v>
      </c>
      <c r="O102" s="37"/>
      <c r="P102" s="37"/>
      <c r="Q102" s="37"/>
      <c r="R102" s="37" t="s">
        <v>47</v>
      </c>
      <c r="S102" s="37"/>
      <c r="T102" s="37"/>
      <c r="U102" s="37" t="s">
        <v>47</v>
      </c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 t="s">
        <v>47</v>
      </c>
      <c r="AX102" s="38"/>
      <c r="AY102" s="38" t="s">
        <v>47</v>
      </c>
      <c r="AZ102" s="38"/>
      <c r="BA102" s="38"/>
      <c r="BB102" s="38"/>
      <c r="BC102" s="38"/>
      <c r="BD102" s="38"/>
      <c r="BE102" s="77">
        <f t="shared" si="10"/>
        <v>2</v>
      </c>
      <c r="BF102" s="38"/>
    </row>
    <row r="103" spans="1:58" ht="22.5" hidden="1" customHeight="1">
      <c r="A103" s="33" t="str">
        <f>IF(OR(ISBLANK(E103),ISBLANK(C103)),"",IF(COUNTIF($E$8:E103,E103)&gt;1,"",(MAX($A$7:A102)+1)))</f>
        <v/>
      </c>
      <c r="B103" s="34">
        <f>IF(ISBLANK(C103),"",SUBTOTAL(3,$C$8:C103))</f>
        <v>44</v>
      </c>
      <c r="C103" s="78" t="s">
        <v>282</v>
      </c>
      <c r="D103" s="50" t="s">
        <v>283</v>
      </c>
      <c r="E103" s="50" t="s">
        <v>259</v>
      </c>
      <c r="F103" s="35" t="str">
        <f t="shared" si="8"/>
        <v/>
      </c>
      <c r="G103" s="36" t="str">
        <f t="shared" si="9"/>
        <v>B</v>
      </c>
      <c r="H103" s="51">
        <f t="shared" si="11"/>
        <v>1</v>
      </c>
      <c r="I103" s="51">
        <f t="shared" si="11"/>
        <v>2</v>
      </c>
      <c r="J103" s="51" t="str">
        <f t="shared" si="11"/>
        <v/>
      </c>
      <c r="K103" s="37" t="s">
        <v>47</v>
      </c>
      <c r="L103" s="37"/>
      <c r="M103" s="37"/>
      <c r="N103" s="37"/>
      <c r="O103" s="37"/>
      <c r="P103" s="37"/>
      <c r="Q103" s="37"/>
      <c r="R103" s="37" t="s">
        <v>47</v>
      </c>
      <c r="S103" s="37"/>
      <c r="T103" s="37"/>
      <c r="U103" s="37" t="s">
        <v>47</v>
      </c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 t="s">
        <v>47</v>
      </c>
      <c r="BD103" s="38"/>
      <c r="BE103" s="77">
        <f t="shared" si="10"/>
        <v>1</v>
      </c>
      <c r="BF103" s="38"/>
    </row>
    <row r="104" spans="1:58" ht="22.5" hidden="1" customHeight="1">
      <c r="A104" s="33" t="str">
        <f>IF(OR(ISBLANK(E104),ISBLANK(C104)),"",IF(COUNTIF($E$8:E104,E104)&gt;1,"",(MAX($A$7:A103)+1)))</f>
        <v/>
      </c>
      <c r="B104" s="34">
        <f>IF(ISBLANK(C104),"",SUBTOTAL(3,$C$8:C104))</f>
        <v>44</v>
      </c>
      <c r="C104" s="78" t="s">
        <v>284</v>
      </c>
      <c r="D104" s="50" t="s">
        <v>285</v>
      </c>
      <c r="E104" s="50" t="s">
        <v>259</v>
      </c>
      <c r="F104" s="35" t="str">
        <f t="shared" si="8"/>
        <v/>
      </c>
      <c r="G104" s="36" t="str">
        <f t="shared" si="9"/>
        <v>B</v>
      </c>
      <c r="H104" s="51">
        <f t="shared" si="11"/>
        <v>1</v>
      </c>
      <c r="I104" s="51">
        <f t="shared" si="11"/>
        <v>2</v>
      </c>
      <c r="J104" s="51" t="str">
        <f t="shared" si="11"/>
        <v/>
      </c>
      <c r="K104" s="37" t="s">
        <v>47</v>
      </c>
      <c r="L104" s="37"/>
      <c r="M104" s="37"/>
      <c r="N104" s="37"/>
      <c r="O104" s="37" t="s">
        <v>47</v>
      </c>
      <c r="P104" s="37"/>
      <c r="Q104" s="37"/>
      <c r="R104" s="37" t="s">
        <v>47</v>
      </c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M104" s="38"/>
      <c r="AN104" s="38"/>
      <c r="AO104" s="38"/>
      <c r="AP104" s="38"/>
      <c r="AQ104" s="38"/>
      <c r="AR104" s="38" t="s">
        <v>47</v>
      </c>
      <c r="AS104" s="38"/>
      <c r="AT104" s="38"/>
      <c r="AU104" s="38"/>
      <c r="AV104" s="38"/>
      <c r="AW104" s="38" t="s">
        <v>47</v>
      </c>
      <c r="AX104" s="38"/>
      <c r="AY104" s="38"/>
      <c r="AZ104" s="38"/>
      <c r="BA104" s="38"/>
      <c r="BB104" s="38"/>
      <c r="BC104" s="38"/>
      <c r="BD104" s="38"/>
      <c r="BE104" s="77">
        <f t="shared" si="10"/>
        <v>2</v>
      </c>
      <c r="BF104" s="38"/>
    </row>
    <row r="105" spans="1:58" ht="22.5" hidden="1" customHeight="1">
      <c r="A105" s="33" t="str">
        <f>IF(OR(ISBLANK(E105),ISBLANK(C105)),"",IF(COUNTIF($E$8:E105,E105)&gt;1,"",(MAX($A$7:A104)+1)))</f>
        <v/>
      </c>
      <c r="B105" s="34">
        <f>IF(ISBLANK(C105),"",SUBTOTAL(3,$C$8:C105))</f>
        <v>44</v>
      </c>
      <c r="C105" s="78" t="s">
        <v>286</v>
      </c>
      <c r="D105" s="50" t="s">
        <v>287</v>
      </c>
      <c r="E105" s="50" t="s">
        <v>259</v>
      </c>
      <c r="F105" s="35" t="str">
        <f t="shared" si="8"/>
        <v/>
      </c>
      <c r="G105" s="36" t="str">
        <f t="shared" si="9"/>
        <v/>
      </c>
      <c r="H105" s="51" t="str">
        <f t="shared" si="11"/>
        <v/>
      </c>
      <c r="I105" s="51" t="str">
        <f t="shared" si="11"/>
        <v/>
      </c>
      <c r="J105" s="51" t="str">
        <f t="shared" si="11"/>
        <v/>
      </c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77">
        <f t="shared" si="10"/>
        <v>0</v>
      </c>
      <c r="BF105" s="38"/>
    </row>
    <row r="106" spans="1:58" ht="22.5" hidden="1" customHeight="1">
      <c r="A106" s="33" t="str">
        <f>IF(OR(ISBLANK(E106),ISBLANK(C106)),"",IF(COUNTIF($E$8:E106,E106)&gt;1,"",(MAX($A$7:A105)+1)))</f>
        <v/>
      </c>
      <c r="B106" s="34">
        <f>IF(ISBLANK(C106),"",SUBTOTAL(3,$C$8:C106))</f>
        <v>44</v>
      </c>
      <c r="C106" s="78" t="s">
        <v>288</v>
      </c>
      <c r="D106" s="50" t="s">
        <v>289</v>
      </c>
      <c r="E106" s="50" t="s">
        <v>259</v>
      </c>
      <c r="F106" s="35" t="str">
        <f t="shared" si="8"/>
        <v/>
      </c>
      <c r="G106" s="36" t="str">
        <f t="shared" si="9"/>
        <v>D</v>
      </c>
      <c r="H106" s="51" t="str">
        <f t="shared" si="11"/>
        <v/>
      </c>
      <c r="I106" s="51">
        <f t="shared" si="11"/>
        <v>1</v>
      </c>
      <c r="J106" s="51">
        <f t="shared" si="11"/>
        <v>1</v>
      </c>
      <c r="K106" s="37"/>
      <c r="L106" s="37"/>
      <c r="M106" s="37" t="s">
        <v>47</v>
      </c>
      <c r="N106" s="37"/>
      <c r="O106" s="37"/>
      <c r="P106" s="37"/>
      <c r="Q106" s="37"/>
      <c r="R106" s="37" t="s">
        <v>47</v>
      </c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M106" s="38" t="s">
        <v>47</v>
      </c>
      <c r="AN106" s="38"/>
      <c r="AO106" s="38"/>
      <c r="AP106" s="38"/>
      <c r="AQ106" s="38"/>
      <c r="AR106" s="38"/>
      <c r="AS106" s="38" t="s">
        <v>47</v>
      </c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77">
        <f t="shared" si="10"/>
        <v>2</v>
      </c>
      <c r="BF106" s="38"/>
    </row>
    <row r="107" spans="1:58" ht="22.5" hidden="1" customHeight="1">
      <c r="A107" s="33" t="str">
        <f>IF(OR(ISBLANK(E107),ISBLANK(C107)),"",IF(COUNTIF($E$8:E107,E107)&gt;1,"",(MAX($A$7:A106)+1)))</f>
        <v/>
      </c>
      <c r="B107" s="34">
        <f>IF(ISBLANK(C107),"",SUBTOTAL(3,$C$8:C107))</f>
        <v>44</v>
      </c>
      <c r="C107" s="78" t="s">
        <v>290</v>
      </c>
      <c r="D107" s="50" t="s">
        <v>291</v>
      </c>
      <c r="E107" s="50" t="s">
        <v>259</v>
      </c>
      <c r="F107" s="35" t="str">
        <f t="shared" si="8"/>
        <v/>
      </c>
      <c r="G107" s="36" t="str">
        <f t="shared" si="9"/>
        <v>D</v>
      </c>
      <c r="H107" s="51" t="str">
        <f t="shared" si="11"/>
        <v/>
      </c>
      <c r="I107" s="51" t="str">
        <f t="shared" si="11"/>
        <v/>
      </c>
      <c r="J107" s="51">
        <f t="shared" si="11"/>
        <v>1</v>
      </c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 t="s">
        <v>47</v>
      </c>
      <c r="AC107" s="37"/>
      <c r="AD107" s="37"/>
      <c r="AE107" s="37"/>
      <c r="AF107" s="37"/>
      <c r="AG107" s="37"/>
      <c r="AH107" s="37"/>
      <c r="AI107" s="37"/>
      <c r="AJ107" s="37"/>
      <c r="AK107" s="37"/>
      <c r="AM107" s="38"/>
      <c r="AN107" s="38" t="s">
        <v>47</v>
      </c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77">
        <f t="shared" si="10"/>
        <v>1</v>
      </c>
      <c r="BF107" s="38"/>
    </row>
    <row r="108" spans="1:58" ht="22.5" hidden="1" customHeight="1">
      <c r="A108" s="33" t="str">
        <f>IF(OR(ISBLANK(E108),ISBLANK(C108)),"",IF(COUNTIF($E$8:E108,E108)&gt;1,"",(MAX($A$7:A107)+1)))</f>
        <v/>
      </c>
      <c r="B108" s="34">
        <f>IF(ISBLANK(C108),"",SUBTOTAL(3,$C$8:C108))</f>
        <v>44</v>
      </c>
      <c r="C108" s="78" t="s">
        <v>292</v>
      </c>
      <c r="D108" s="50" t="s">
        <v>293</v>
      </c>
      <c r="E108" s="50" t="s">
        <v>259</v>
      </c>
      <c r="F108" s="35" t="str">
        <f t="shared" si="8"/>
        <v/>
      </c>
      <c r="G108" s="36" t="str">
        <f t="shared" si="9"/>
        <v>B</v>
      </c>
      <c r="H108" s="51">
        <f t="shared" si="11"/>
        <v>1</v>
      </c>
      <c r="I108" s="51">
        <f t="shared" si="11"/>
        <v>2</v>
      </c>
      <c r="J108" s="51" t="str">
        <f t="shared" si="11"/>
        <v/>
      </c>
      <c r="K108" s="37" t="s">
        <v>47</v>
      </c>
      <c r="L108" s="37"/>
      <c r="M108" s="37"/>
      <c r="N108" s="37"/>
      <c r="O108" s="37" t="s">
        <v>47</v>
      </c>
      <c r="P108" s="37"/>
      <c r="Q108" s="37"/>
      <c r="R108" s="37" t="s">
        <v>47</v>
      </c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M108" s="38"/>
      <c r="AN108" s="38"/>
      <c r="AO108" s="38"/>
      <c r="AP108" s="38"/>
      <c r="AQ108" s="38"/>
      <c r="AR108" s="38"/>
      <c r="AS108" s="38"/>
      <c r="AT108" s="38"/>
      <c r="AU108" s="38" t="s">
        <v>47</v>
      </c>
      <c r="AV108" s="38"/>
      <c r="AW108" s="38"/>
      <c r="AX108" s="38"/>
      <c r="AY108" s="38"/>
      <c r="AZ108" s="38"/>
      <c r="BA108" s="38"/>
      <c r="BB108" s="38"/>
      <c r="BC108" s="38"/>
      <c r="BD108" s="38"/>
      <c r="BE108" s="77">
        <f t="shared" si="10"/>
        <v>1</v>
      </c>
      <c r="BF108" s="38"/>
    </row>
    <row r="109" spans="1:58" ht="22.5" hidden="1" customHeight="1">
      <c r="A109" s="33" t="str">
        <f>IF(OR(ISBLANK(E109),ISBLANK(C109)),"",IF(COUNTIF($E$8:E109,E109)&gt;1,"",(MAX($A$7:A108)+1)))</f>
        <v/>
      </c>
      <c r="B109" s="34">
        <f>IF(ISBLANK(C109),"",SUBTOTAL(3,$C$8:C109))</f>
        <v>44</v>
      </c>
      <c r="C109" s="78" t="s">
        <v>294</v>
      </c>
      <c r="D109" s="50" t="s">
        <v>295</v>
      </c>
      <c r="E109" s="50" t="s">
        <v>259</v>
      </c>
      <c r="F109" s="35" t="str">
        <f t="shared" si="8"/>
        <v/>
      </c>
      <c r="G109" s="36" t="str">
        <f t="shared" si="9"/>
        <v/>
      </c>
      <c r="H109" s="51" t="str">
        <f t="shared" si="11"/>
        <v/>
      </c>
      <c r="I109" s="51" t="str">
        <f t="shared" si="11"/>
        <v/>
      </c>
      <c r="J109" s="51" t="str">
        <f t="shared" si="11"/>
        <v/>
      </c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77">
        <f t="shared" si="10"/>
        <v>0</v>
      </c>
      <c r="BF109" s="38"/>
    </row>
    <row r="110" spans="1:58" ht="22.5" hidden="1" customHeight="1">
      <c r="A110" s="33" t="str">
        <f>IF(OR(ISBLANK(E110),ISBLANK(C110)),"",IF(COUNTIF($E$8:E110,E110)&gt;1,"",(MAX($A$7:A109)+1)))</f>
        <v/>
      </c>
      <c r="B110" s="34">
        <f>IF(ISBLANK(C110),"",SUBTOTAL(3,$C$8:C110))</f>
        <v>44</v>
      </c>
      <c r="C110" s="78" t="s">
        <v>296</v>
      </c>
      <c r="D110" s="50" t="s">
        <v>297</v>
      </c>
      <c r="E110" s="50" t="s">
        <v>259</v>
      </c>
      <c r="F110" s="35" t="str">
        <f t="shared" si="8"/>
        <v/>
      </c>
      <c r="G110" s="36" t="str">
        <f t="shared" si="9"/>
        <v>C</v>
      </c>
      <c r="H110" s="51">
        <f t="shared" si="11"/>
        <v>1</v>
      </c>
      <c r="I110" s="51" t="str">
        <f t="shared" si="11"/>
        <v/>
      </c>
      <c r="J110" s="51">
        <f t="shared" si="11"/>
        <v>1</v>
      </c>
      <c r="K110" s="37"/>
      <c r="L110" s="37"/>
      <c r="M110" s="37" t="s">
        <v>47</v>
      </c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 t="s">
        <v>47</v>
      </c>
      <c r="AG110" s="37"/>
      <c r="AH110" s="37"/>
      <c r="AI110" s="37"/>
      <c r="AJ110" s="37"/>
      <c r="AK110" s="37"/>
      <c r="AM110" s="38"/>
      <c r="AN110" s="38"/>
      <c r="AO110" s="38"/>
      <c r="AP110" s="38"/>
      <c r="AQ110" s="38" t="s">
        <v>47</v>
      </c>
      <c r="AR110" s="38"/>
      <c r="AS110" s="38" t="s">
        <v>47</v>
      </c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77">
        <f t="shared" si="10"/>
        <v>2</v>
      </c>
      <c r="BF110" s="38"/>
    </row>
    <row r="111" spans="1:58" ht="22.5" hidden="1" customHeight="1">
      <c r="A111" s="33" t="str">
        <f>IF(OR(ISBLANK(E111),ISBLANK(C111)),"",IF(COUNTIF($E$8:E111,E111)&gt;1,"",(MAX($A$7:A110)+1)))</f>
        <v/>
      </c>
      <c r="B111" s="34">
        <f>IF(ISBLANK(C111),"",SUBTOTAL(3,$C$8:C111))</f>
        <v>44</v>
      </c>
      <c r="C111" s="80" t="s">
        <v>298</v>
      </c>
      <c r="D111" s="52" t="s">
        <v>299</v>
      </c>
      <c r="E111" s="50" t="s">
        <v>259</v>
      </c>
      <c r="F111" s="35" t="str">
        <f t="shared" si="8"/>
        <v/>
      </c>
      <c r="G111" s="36" t="str">
        <f t="shared" si="9"/>
        <v>D</v>
      </c>
      <c r="H111" s="51" t="str">
        <f t="shared" si="11"/>
        <v/>
      </c>
      <c r="I111" s="51" t="str">
        <f t="shared" si="11"/>
        <v/>
      </c>
      <c r="J111" s="51">
        <f t="shared" si="11"/>
        <v>1</v>
      </c>
      <c r="K111" s="37"/>
      <c r="L111" s="37"/>
      <c r="M111" s="37" t="s">
        <v>47</v>
      </c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M111" s="38"/>
      <c r="AN111" s="38"/>
      <c r="AO111" s="38"/>
      <c r="AP111" s="38"/>
      <c r="AQ111" s="38"/>
      <c r="AR111" s="38"/>
      <c r="AS111" s="38" t="s">
        <v>47</v>
      </c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77">
        <f t="shared" si="10"/>
        <v>1</v>
      </c>
      <c r="BF111" s="38"/>
    </row>
    <row r="112" spans="1:58" ht="22.5" hidden="1" customHeight="1">
      <c r="A112" s="33" t="str">
        <f>IF(OR(ISBLANK(E112),ISBLANK(C112)),"",IF(COUNTIF($E$8:E112,E112)&gt;1,"",(MAX($A$7:A111)+1)))</f>
        <v/>
      </c>
      <c r="B112" s="34">
        <f>IF(ISBLANK(C112),"",SUBTOTAL(3,$C$8:C112))</f>
        <v>44</v>
      </c>
      <c r="C112" s="80" t="s">
        <v>300</v>
      </c>
      <c r="D112" s="52" t="s">
        <v>301</v>
      </c>
      <c r="E112" s="50" t="s">
        <v>259</v>
      </c>
      <c r="F112" s="35" t="str">
        <f t="shared" si="8"/>
        <v/>
      </c>
      <c r="G112" s="36" t="str">
        <f t="shared" si="9"/>
        <v>C</v>
      </c>
      <c r="H112" s="51">
        <f t="shared" si="11"/>
        <v>1</v>
      </c>
      <c r="I112" s="51" t="str">
        <f t="shared" si="11"/>
        <v/>
      </c>
      <c r="J112" s="51" t="str">
        <f t="shared" si="11"/>
        <v/>
      </c>
      <c r="K112" s="37" t="s">
        <v>47</v>
      </c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M112" s="38"/>
      <c r="AN112" s="38"/>
      <c r="AO112" s="38"/>
      <c r="AP112" s="38"/>
      <c r="AQ112" s="38"/>
      <c r="AR112" s="38"/>
      <c r="AS112" s="38"/>
      <c r="AT112" s="38"/>
      <c r="AU112" s="38" t="s">
        <v>47</v>
      </c>
      <c r="AV112" s="38"/>
      <c r="AW112" s="38" t="s">
        <v>47</v>
      </c>
      <c r="AX112" s="38"/>
      <c r="AY112" s="38"/>
      <c r="AZ112" s="38"/>
      <c r="BA112" s="38"/>
      <c r="BB112" s="38"/>
      <c r="BC112" s="38"/>
      <c r="BD112" s="38"/>
      <c r="BE112" s="77">
        <f t="shared" si="10"/>
        <v>2</v>
      </c>
      <c r="BF112" s="38"/>
    </row>
    <row r="113" spans="1:58" ht="22.5" hidden="1" customHeight="1">
      <c r="A113" s="33" t="str">
        <f>IF(OR(ISBLANK(E113),ISBLANK(C113)),"",IF(COUNTIF($E$8:E113,E113)&gt;1,"",(MAX($A$7:A112)+1)))</f>
        <v/>
      </c>
      <c r="B113" s="34">
        <f>IF(ISBLANK(C113),"",SUBTOTAL(3,$C$8:C113))</f>
        <v>44</v>
      </c>
      <c r="C113" s="79" t="s">
        <v>302</v>
      </c>
      <c r="D113" s="50" t="s">
        <v>303</v>
      </c>
      <c r="E113" s="50" t="s">
        <v>259</v>
      </c>
      <c r="F113" s="35" t="str">
        <f t="shared" si="8"/>
        <v/>
      </c>
      <c r="G113" s="36" t="str">
        <f t="shared" si="9"/>
        <v>D</v>
      </c>
      <c r="H113" s="51" t="str">
        <f t="shared" si="11"/>
        <v/>
      </c>
      <c r="I113" s="51">
        <f t="shared" si="11"/>
        <v>1</v>
      </c>
      <c r="J113" s="51" t="str">
        <f t="shared" si="11"/>
        <v/>
      </c>
      <c r="K113" s="37"/>
      <c r="L113" s="37"/>
      <c r="M113" s="37"/>
      <c r="N113" s="37"/>
      <c r="O113" s="37"/>
      <c r="P113" s="37"/>
      <c r="Q113" s="37"/>
      <c r="R113" s="37" t="s">
        <v>47</v>
      </c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M113" s="38"/>
      <c r="AN113" s="38"/>
      <c r="AO113" s="38"/>
      <c r="AP113" s="38"/>
      <c r="AQ113" s="38"/>
      <c r="AR113" s="38"/>
      <c r="AS113" s="38" t="s">
        <v>47</v>
      </c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77">
        <f t="shared" si="10"/>
        <v>1</v>
      </c>
      <c r="BF113" s="38"/>
    </row>
    <row r="114" spans="1:58" ht="22.5" hidden="1" customHeight="1">
      <c r="A114" s="33" t="str">
        <f>IF(OR(ISBLANK(E114),ISBLANK(C114)),"",IF(COUNTIF($E$8:E114,E114)&gt;1,"",(MAX($A$7:A113)+1)))</f>
        <v/>
      </c>
      <c r="B114" s="34">
        <f>IF(ISBLANK(C114),"",SUBTOTAL(3,$C$8:C114))</f>
        <v>44</v>
      </c>
      <c r="C114" s="80" t="s">
        <v>304</v>
      </c>
      <c r="D114" s="50" t="s">
        <v>305</v>
      </c>
      <c r="E114" s="50" t="s">
        <v>259</v>
      </c>
      <c r="F114" s="35" t="str">
        <f t="shared" si="8"/>
        <v/>
      </c>
      <c r="G114" s="36" t="str">
        <f t="shared" si="9"/>
        <v>C</v>
      </c>
      <c r="H114" s="51">
        <f t="shared" si="11"/>
        <v>1</v>
      </c>
      <c r="I114" s="51" t="str">
        <f t="shared" si="11"/>
        <v/>
      </c>
      <c r="J114" s="51" t="str">
        <f t="shared" si="11"/>
        <v/>
      </c>
      <c r="K114" s="37" t="s">
        <v>47</v>
      </c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M114" s="38"/>
      <c r="AN114" s="38"/>
      <c r="AO114" s="38"/>
      <c r="AP114" s="38"/>
      <c r="AQ114" s="38"/>
      <c r="AR114" s="38" t="s">
        <v>47</v>
      </c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77">
        <f t="shared" si="10"/>
        <v>1</v>
      </c>
      <c r="BF114" s="38"/>
    </row>
    <row r="115" spans="1:58" ht="22.5" hidden="1" customHeight="1">
      <c r="A115" s="33" t="str">
        <f>IF(OR(ISBLANK(E115),ISBLANK(C115)),"",IF(COUNTIF($E$8:E115,E115)&gt;1,"",(MAX($A$7:A114)+1)))</f>
        <v/>
      </c>
      <c r="B115" s="34">
        <f>IF(ISBLANK(C115),"",SUBTOTAL(3,$C$8:C115))</f>
        <v>44</v>
      </c>
      <c r="C115" s="80" t="s">
        <v>306</v>
      </c>
      <c r="D115" s="50" t="s">
        <v>307</v>
      </c>
      <c r="E115" s="50" t="s">
        <v>259</v>
      </c>
      <c r="F115" s="35" t="str">
        <f t="shared" si="8"/>
        <v/>
      </c>
      <c r="G115" s="36" t="str">
        <f t="shared" si="9"/>
        <v>B</v>
      </c>
      <c r="H115" s="51">
        <f t="shared" si="11"/>
        <v>2</v>
      </c>
      <c r="I115" s="51">
        <f t="shared" si="11"/>
        <v>1</v>
      </c>
      <c r="J115" s="51" t="str">
        <f t="shared" si="11"/>
        <v/>
      </c>
      <c r="K115" s="37" t="s">
        <v>47</v>
      </c>
      <c r="L115" s="37"/>
      <c r="M115" s="37"/>
      <c r="N115" s="37" t="s">
        <v>47</v>
      </c>
      <c r="O115" s="37"/>
      <c r="P115" s="37"/>
      <c r="Q115" s="37"/>
      <c r="R115" s="37" t="s">
        <v>47</v>
      </c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 t="s">
        <v>47</v>
      </c>
      <c r="AY115" s="38"/>
      <c r="AZ115" s="38"/>
      <c r="BA115" s="38"/>
      <c r="BB115" s="38"/>
      <c r="BC115" s="38"/>
      <c r="BD115" s="38"/>
      <c r="BE115" s="77">
        <f t="shared" si="10"/>
        <v>1</v>
      </c>
      <c r="BF115" s="38"/>
    </row>
    <row r="116" spans="1:58" ht="22.5" hidden="1" customHeight="1">
      <c r="A116" s="33" t="str">
        <f>IF(OR(ISBLANK(E116),ISBLANK(C116)),"",IF(COUNTIF($E$8:E116,E116)&gt;1,"",(MAX($A$7:A115)+1)))</f>
        <v/>
      </c>
      <c r="B116" s="34">
        <f>IF(ISBLANK(C116),"",SUBTOTAL(3,$C$8:C116))</f>
        <v>44</v>
      </c>
      <c r="C116" s="80" t="s">
        <v>308</v>
      </c>
      <c r="D116" s="50" t="s">
        <v>309</v>
      </c>
      <c r="E116" s="50" t="s">
        <v>259</v>
      </c>
      <c r="F116" s="35" t="str">
        <f t="shared" si="8"/>
        <v/>
      </c>
      <c r="G116" s="36" t="str">
        <f t="shared" si="9"/>
        <v>C</v>
      </c>
      <c r="H116" s="51" t="str">
        <f t="shared" si="11"/>
        <v/>
      </c>
      <c r="I116" s="51">
        <f t="shared" si="11"/>
        <v>2</v>
      </c>
      <c r="J116" s="51" t="str">
        <f t="shared" si="11"/>
        <v/>
      </c>
      <c r="K116" s="37"/>
      <c r="L116" s="37" t="s">
        <v>47</v>
      </c>
      <c r="M116" s="37"/>
      <c r="N116" s="37"/>
      <c r="O116" s="37"/>
      <c r="P116" s="37"/>
      <c r="Q116" s="37"/>
      <c r="R116" s="37" t="s">
        <v>47</v>
      </c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M116" s="38"/>
      <c r="AN116" s="38"/>
      <c r="AO116" s="38"/>
      <c r="AP116" s="38"/>
      <c r="AQ116" s="38"/>
      <c r="AR116" s="38"/>
      <c r="AS116" s="38" t="s">
        <v>47</v>
      </c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77">
        <f t="shared" si="10"/>
        <v>1</v>
      </c>
      <c r="BF116" s="38"/>
    </row>
    <row r="117" spans="1:58" ht="22.5" hidden="1" customHeight="1">
      <c r="A117" s="33" t="str">
        <f>IF(OR(ISBLANK(E117),ISBLANK(C117)),"",IF(COUNTIF($E$8:E117,E117)&gt;1,"",(MAX($A$7:A116)+1)))</f>
        <v/>
      </c>
      <c r="B117" s="34">
        <f>IF(ISBLANK(C117),"",SUBTOTAL(3,$C$8:C117))</f>
        <v>44</v>
      </c>
      <c r="C117" s="80" t="s">
        <v>310</v>
      </c>
      <c r="D117" s="50" t="s">
        <v>311</v>
      </c>
      <c r="E117" s="50" t="s">
        <v>259</v>
      </c>
      <c r="F117" s="35" t="str">
        <f t="shared" si="8"/>
        <v/>
      </c>
      <c r="G117" s="36" t="str">
        <f t="shared" si="9"/>
        <v>C</v>
      </c>
      <c r="H117" s="51">
        <f t="shared" si="11"/>
        <v>1</v>
      </c>
      <c r="I117" s="51">
        <f t="shared" si="11"/>
        <v>1</v>
      </c>
      <c r="J117" s="51" t="str">
        <f t="shared" si="11"/>
        <v/>
      </c>
      <c r="K117" s="37" t="s">
        <v>47</v>
      </c>
      <c r="L117" s="37"/>
      <c r="M117" s="37"/>
      <c r="N117" s="37"/>
      <c r="O117" s="37"/>
      <c r="P117" s="37"/>
      <c r="Q117" s="37"/>
      <c r="R117" s="37" t="s">
        <v>47</v>
      </c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 t="s">
        <v>47</v>
      </c>
      <c r="AX117" s="38"/>
      <c r="AY117" s="38"/>
      <c r="AZ117" s="38"/>
      <c r="BA117" s="38" t="s">
        <v>47</v>
      </c>
      <c r="BB117" s="38"/>
      <c r="BC117" s="38"/>
      <c r="BD117" s="38"/>
      <c r="BE117" s="77">
        <f t="shared" si="10"/>
        <v>2</v>
      </c>
      <c r="BF117" s="38"/>
    </row>
    <row r="118" spans="1:58" ht="22.5" hidden="1" customHeight="1">
      <c r="A118" s="33" t="str">
        <f>IF(OR(ISBLANK(E118),ISBLANK(C118)),"",IF(COUNTIF($E$8:E118,E118)&gt;1,"",(MAX($A$7:A117)+1)))</f>
        <v/>
      </c>
      <c r="B118" s="34">
        <f>IF(ISBLANK(C118),"",SUBTOTAL(3,$C$8:C118))</f>
        <v>44</v>
      </c>
      <c r="C118" s="80" t="s">
        <v>312</v>
      </c>
      <c r="D118" s="50" t="s">
        <v>313</v>
      </c>
      <c r="E118" s="50" t="s">
        <v>259</v>
      </c>
      <c r="F118" s="35" t="str">
        <f t="shared" si="8"/>
        <v/>
      </c>
      <c r="G118" s="36" t="str">
        <f t="shared" si="9"/>
        <v>A</v>
      </c>
      <c r="H118" s="51">
        <f t="shared" si="11"/>
        <v>3</v>
      </c>
      <c r="I118" s="51">
        <f t="shared" si="11"/>
        <v>2</v>
      </c>
      <c r="J118" s="51" t="str">
        <f t="shared" si="11"/>
        <v/>
      </c>
      <c r="K118" s="37" t="s">
        <v>47</v>
      </c>
      <c r="L118" s="37"/>
      <c r="M118" s="37"/>
      <c r="N118" s="37" t="s">
        <v>47</v>
      </c>
      <c r="O118" s="37"/>
      <c r="P118" s="37"/>
      <c r="Q118" s="37" t="s">
        <v>47</v>
      </c>
      <c r="R118" s="37"/>
      <c r="S118" s="37"/>
      <c r="T118" s="37"/>
      <c r="U118" s="37" t="s">
        <v>47</v>
      </c>
      <c r="V118" s="37"/>
      <c r="W118" s="37"/>
      <c r="X118" s="37"/>
      <c r="Y118" s="37"/>
      <c r="Z118" s="37"/>
      <c r="AA118" s="37" t="s">
        <v>47</v>
      </c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 t="s">
        <v>47</v>
      </c>
      <c r="BE118" s="77">
        <f t="shared" si="10"/>
        <v>1</v>
      </c>
      <c r="BF118" s="38"/>
    </row>
    <row r="119" spans="1:58" ht="22.5" hidden="1" customHeight="1">
      <c r="A119" s="33" t="str">
        <f>IF(OR(ISBLANK(E119),ISBLANK(C119)),"",IF(COUNTIF($E$8:E119,E119)&gt;1,"",(MAX($A$7:A118)+1)))</f>
        <v/>
      </c>
      <c r="B119" s="34">
        <f>IF(ISBLANK(C119),"",SUBTOTAL(3,$C$8:C119))</f>
        <v>44</v>
      </c>
      <c r="C119" s="78" t="s">
        <v>314</v>
      </c>
      <c r="D119" s="50" t="s">
        <v>315</v>
      </c>
      <c r="E119" s="50" t="s">
        <v>259</v>
      </c>
      <c r="F119" s="35" t="str">
        <f t="shared" si="8"/>
        <v/>
      </c>
      <c r="G119" s="36" t="str">
        <f t="shared" si="9"/>
        <v>C</v>
      </c>
      <c r="H119" s="51">
        <f t="shared" si="11"/>
        <v>1</v>
      </c>
      <c r="I119" s="51" t="str">
        <f t="shared" si="11"/>
        <v/>
      </c>
      <c r="J119" s="51" t="str">
        <f t="shared" si="11"/>
        <v/>
      </c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 t="s">
        <v>47</v>
      </c>
      <c r="AG119" s="37"/>
      <c r="AH119" s="37"/>
      <c r="AI119" s="37"/>
      <c r="AJ119" s="37"/>
      <c r="AK119" s="37"/>
      <c r="AM119" s="38"/>
      <c r="AN119" s="38"/>
      <c r="AO119" s="38"/>
      <c r="AP119" s="38" t="s">
        <v>47</v>
      </c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77">
        <f t="shared" si="10"/>
        <v>1</v>
      </c>
      <c r="BF119" s="38"/>
    </row>
    <row r="120" spans="1:58" ht="22.5" hidden="1" customHeight="1">
      <c r="A120" s="33" t="str">
        <f>IF(OR(ISBLANK(E120),ISBLANK(C120)),"",IF(COUNTIF($E$8:E120,E120)&gt;1,"",(MAX($A$7:A119)+1)))</f>
        <v/>
      </c>
      <c r="B120" s="34">
        <f>IF(ISBLANK(C120),"",SUBTOTAL(3,$C$8:C120))</f>
        <v>44</v>
      </c>
      <c r="C120" s="79" t="s">
        <v>316</v>
      </c>
      <c r="D120" s="50" t="s">
        <v>317</v>
      </c>
      <c r="E120" s="50" t="s">
        <v>259</v>
      </c>
      <c r="F120" s="35" t="str">
        <f t="shared" si="8"/>
        <v/>
      </c>
      <c r="G120" s="36" t="str">
        <f t="shared" si="9"/>
        <v/>
      </c>
      <c r="H120" s="51" t="str">
        <f t="shared" si="11"/>
        <v/>
      </c>
      <c r="I120" s="51" t="str">
        <f t="shared" si="11"/>
        <v/>
      </c>
      <c r="J120" s="51" t="str">
        <f t="shared" si="11"/>
        <v/>
      </c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77">
        <f t="shared" si="10"/>
        <v>0</v>
      </c>
      <c r="BF120" s="38"/>
    </row>
    <row r="121" spans="1:58" ht="22.5" hidden="1" customHeight="1">
      <c r="A121" s="33" t="str">
        <f>IF(OR(ISBLANK(E121),ISBLANK(C121)),"",IF(COUNTIF($E$8:E121,E121)&gt;1,"",(MAX($A$7:A120)+1)))</f>
        <v/>
      </c>
      <c r="B121" s="34">
        <f>IF(ISBLANK(C121),"",SUBTOTAL(3,$C$8:C121))</f>
        <v>44</v>
      </c>
      <c r="C121" s="79" t="s">
        <v>318</v>
      </c>
      <c r="D121" s="50" t="s">
        <v>319</v>
      </c>
      <c r="E121" s="50" t="s">
        <v>259</v>
      </c>
      <c r="F121" s="35" t="str">
        <f t="shared" si="8"/>
        <v/>
      </c>
      <c r="G121" s="36" t="str">
        <f t="shared" si="9"/>
        <v>C</v>
      </c>
      <c r="H121" s="51">
        <f t="shared" si="11"/>
        <v>1</v>
      </c>
      <c r="I121" s="51" t="str">
        <f t="shared" si="11"/>
        <v/>
      </c>
      <c r="J121" s="51" t="str">
        <f t="shared" si="11"/>
        <v/>
      </c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 t="s">
        <v>47</v>
      </c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M121" s="38"/>
      <c r="AN121" s="38"/>
      <c r="AO121" s="38" t="s">
        <v>47</v>
      </c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77">
        <f t="shared" si="10"/>
        <v>1</v>
      </c>
      <c r="BF121" s="38"/>
    </row>
    <row r="122" spans="1:58" ht="22.5" hidden="1" customHeight="1">
      <c r="A122" s="33" t="str">
        <f>IF(OR(ISBLANK(E122),ISBLANK(C122)),"",IF(COUNTIF($E$8:E122,E122)&gt;1,"",(MAX($A$7:A121)+1)))</f>
        <v/>
      </c>
      <c r="B122" s="34">
        <f>IF(ISBLANK(C122),"",SUBTOTAL(3,$C$8:C122))</f>
        <v>44</v>
      </c>
      <c r="C122" s="79" t="s">
        <v>320</v>
      </c>
      <c r="D122" s="50" t="s">
        <v>321</v>
      </c>
      <c r="E122" s="50" t="s">
        <v>259</v>
      </c>
      <c r="F122" s="35" t="str">
        <f t="shared" si="8"/>
        <v/>
      </c>
      <c r="G122" s="36" t="str">
        <f t="shared" si="9"/>
        <v>A</v>
      </c>
      <c r="H122" s="51">
        <f t="shared" si="11"/>
        <v>2</v>
      </c>
      <c r="I122" s="51">
        <f t="shared" si="11"/>
        <v>2</v>
      </c>
      <c r="J122" s="51" t="str">
        <f t="shared" si="11"/>
        <v/>
      </c>
      <c r="K122" s="37" t="s">
        <v>47</v>
      </c>
      <c r="L122" s="37"/>
      <c r="M122" s="37"/>
      <c r="N122" s="37" t="s">
        <v>47</v>
      </c>
      <c r="O122" s="37"/>
      <c r="P122" s="37"/>
      <c r="Q122" s="37"/>
      <c r="R122" s="37" t="s">
        <v>47</v>
      </c>
      <c r="S122" s="37"/>
      <c r="T122" s="37"/>
      <c r="U122" s="37" t="s">
        <v>47</v>
      </c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 t="s">
        <v>47</v>
      </c>
      <c r="BB122" s="38" t="s">
        <v>47</v>
      </c>
      <c r="BC122" s="38"/>
      <c r="BD122" s="38"/>
      <c r="BE122" s="77">
        <f t="shared" si="10"/>
        <v>2</v>
      </c>
      <c r="BF122" s="38"/>
    </row>
    <row r="123" spans="1:58" ht="22.5" hidden="1" customHeight="1">
      <c r="A123" s="33" t="str">
        <f>IF(OR(ISBLANK(E123),ISBLANK(C123)),"",IF(COUNTIF($E$8:E123,E123)&gt;1,"",(MAX($A$7:A122)+1)))</f>
        <v/>
      </c>
      <c r="B123" s="34">
        <f>IF(ISBLANK(C123),"",SUBTOTAL(3,$C$8:C123))</f>
        <v>44</v>
      </c>
      <c r="C123" s="78" t="s">
        <v>322</v>
      </c>
      <c r="D123" s="50" t="s">
        <v>323</v>
      </c>
      <c r="E123" s="50" t="s">
        <v>259</v>
      </c>
      <c r="F123" s="35" t="str">
        <f t="shared" si="8"/>
        <v/>
      </c>
      <c r="G123" s="36" t="str">
        <f t="shared" si="9"/>
        <v>C</v>
      </c>
      <c r="H123" s="51">
        <f t="shared" si="11"/>
        <v>1</v>
      </c>
      <c r="I123" s="51">
        <f t="shared" si="11"/>
        <v>1</v>
      </c>
      <c r="J123" s="51" t="str">
        <f t="shared" si="11"/>
        <v/>
      </c>
      <c r="K123" s="37" t="s">
        <v>47</v>
      </c>
      <c r="L123" s="37"/>
      <c r="M123" s="37"/>
      <c r="N123" s="37"/>
      <c r="O123" s="37" t="s">
        <v>47</v>
      </c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 t="s">
        <v>47</v>
      </c>
      <c r="BB123" s="38" t="s">
        <v>47</v>
      </c>
      <c r="BC123" s="38"/>
      <c r="BD123" s="38"/>
      <c r="BE123" s="77">
        <f t="shared" si="10"/>
        <v>2</v>
      </c>
      <c r="BF123" s="38"/>
    </row>
    <row r="124" spans="1:58" ht="22.5" hidden="1" customHeight="1">
      <c r="A124" s="33" t="str">
        <f>IF(OR(ISBLANK(E124),ISBLANK(C124)),"",IF(COUNTIF($E$8:E124,E124)&gt;1,"",(MAX($A$7:A123)+1)))</f>
        <v/>
      </c>
      <c r="B124" s="34">
        <f>IF(ISBLANK(C124),"",SUBTOTAL(3,$C$8:C124))</f>
        <v>44</v>
      </c>
      <c r="C124" s="78" t="s">
        <v>324</v>
      </c>
      <c r="D124" s="50" t="s">
        <v>325</v>
      </c>
      <c r="E124" s="50" t="s">
        <v>259</v>
      </c>
      <c r="F124" s="35" t="str">
        <f t="shared" si="8"/>
        <v/>
      </c>
      <c r="G124" s="36" t="str">
        <f t="shared" si="9"/>
        <v>C</v>
      </c>
      <c r="H124" s="51">
        <f t="shared" si="11"/>
        <v>1</v>
      </c>
      <c r="I124" s="51">
        <f t="shared" si="11"/>
        <v>1</v>
      </c>
      <c r="J124" s="51" t="str">
        <f t="shared" si="11"/>
        <v/>
      </c>
      <c r="K124" s="37" t="s">
        <v>47</v>
      </c>
      <c r="L124" s="37"/>
      <c r="M124" s="37"/>
      <c r="N124" s="37"/>
      <c r="O124" s="37"/>
      <c r="P124" s="37"/>
      <c r="Q124" s="37"/>
      <c r="R124" s="37" t="s">
        <v>47</v>
      </c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M124" s="38"/>
      <c r="AN124" s="38"/>
      <c r="AO124" s="38"/>
      <c r="AP124" s="38"/>
      <c r="AQ124" s="38"/>
      <c r="AR124" s="38"/>
      <c r="AS124" s="38"/>
      <c r="AT124" s="38" t="s">
        <v>47</v>
      </c>
      <c r="AU124" s="38"/>
      <c r="AV124" s="38"/>
      <c r="AW124" s="38"/>
      <c r="AX124" s="38"/>
      <c r="AY124" s="38"/>
      <c r="AZ124" s="38"/>
      <c r="BA124" s="38" t="s">
        <v>47</v>
      </c>
      <c r="BB124" s="38"/>
      <c r="BC124" s="38"/>
      <c r="BD124" s="38"/>
      <c r="BE124" s="77">
        <f t="shared" si="10"/>
        <v>2</v>
      </c>
      <c r="BF124" s="38"/>
    </row>
    <row r="125" spans="1:58" ht="22.5" hidden="1" customHeight="1">
      <c r="A125" s="33" t="str">
        <f>IF(OR(ISBLANK(E125),ISBLANK(C125)),"",IF(COUNTIF($E$8:E125,E125)&gt;1,"",(MAX($A$7:A124)+1)))</f>
        <v/>
      </c>
      <c r="B125" s="34">
        <f>IF(ISBLANK(C125),"",SUBTOTAL(3,$C$8:C125))</f>
        <v>44</v>
      </c>
      <c r="C125" s="78" t="s">
        <v>326</v>
      </c>
      <c r="D125" s="50" t="s">
        <v>327</v>
      </c>
      <c r="E125" s="50" t="s">
        <v>259</v>
      </c>
      <c r="F125" s="35" t="str">
        <f t="shared" si="8"/>
        <v/>
      </c>
      <c r="G125" s="36" t="str">
        <f t="shared" si="9"/>
        <v>D</v>
      </c>
      <c r="H125" s="51" t="str">
        <f t="shared" si="11"/>
        <v/>
      </c>
      <c r="I125" s="51">
        <f t="shared" si="11"/>
        <v>1</v>
      </c>
      <c r="J125" s="51" t="str">
        <f t="shared" si="11"/>
        <v/>
      </c>
      <c r="K125" s="37"/>
      <c r="L125" s="37" t="s">
        <v>47</v>
      </c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77">
        <f t="shared" si="10"/>
        <v>0</v>
      </c>
      <c r="BF125" s="38"/>
    </row>
    <row r="126" spans="1:58" ht="22.5" hidden="1" customHeight="1">
      <c r="A126" s="33" t="str">
        <f>IF(OR(ISBLANK(E126),ISBLANK(C126)),"",IF(COUNTIF($E$8:E126,E126)&gt;1,"",(MAX($A$7:A125)+1)))</f>
        <v/>
      </c>
      <c r="B126" s="34">
        <f>IF(ISBLANK(C126),"",SUBTOTAL(3,$C$8:C126))</f>
        <v>44</v>
      </c>
      <c r="C126" s="80" t="s">
        <v>328</v>
      </c>
      <c r="D126" s="50" t="s">
        <v>329</v>
      </c>
      <c r="E126" s="50" t="s">
        <v>259</v>
      </c>
      <c r="F126" s="35" t="str">
        <f t="shared" si="8"/>
        <v/>
      </c>
      <c r="G126" s="36" t="str">
        <f t="shared" si="9"/>
        <v>B</v>
      </c>
      <c r="H126" s="51">
        <f t="shared" si="11"/>
        <v>1</v>
      </c>
      <c r="I126" s="51">
        <f t="shared" si="11"/>
        <v>2</v>
      </c>
      <c r="J126" s="51" t="str">
        <f t="shared" si="11"/>
        <v/>
      </c>
      <c r="K126" s="37" t="s">
        <v>47</v>
      </c>
      <c r="L126" s="37"/>
      <c r="M126" s="37"/>
      <c r="N126" s="37"/>
      <c r="O126" s="37"/>
      <c r="P126" s="37"/>
      <c r="Q126" s="37"/>
      <c r="R126" s="37" t="s">
        <v>47</v>
      </c>
      <c r="S126" s="37"/>
      <c r="T126" s="37"/>
      <c r="U126" s="37" t="s">
        <v>47</v>
      </c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 t="s">
        <v>47</v>
      </c>
      <c r="AX126" s="38"/>
      <c r="AY126" s="38"/>
      <c r="AZ126" s="38"/>
      <c r="BA126" s="38"/>
      <c r="BB126" s="38" t="s">
        <v>47</v>
      </c>
      <c r="BC126" s="38"/>
      <c r="BD126" s="38"/>
      <c r="BE126" s="77">
        <f t="shared" si="10"/>
        <v>2</v>
      </c>
      <c r="BF126" s="38"/>
    </row>
    <row r="127" spans="1:58" ht="22.5" hidden="1" customHeight="1">
      <c r="A127" s="33" t="str">
        <f>IF(OR(ISBLANK(E127),ISBLANK(C127)),"",IF(COUNTIF($E$8:E127,E127)&gt;1,"",(MAX($A$7:A126)+1)))</f>
        <v/>
      </c>
      <c r="B127" s="34">
        <f>IF(ISBLANK(C127),"",SUBTOTAL(3,$C$8:C127))</f>
        <v>44</v>
      </c>
      <c r="C127" s="78" t="s">
        <v>330</v>
      </c>
      <c r="D127" s="50" t="s">
        <v>331</v>
      </c>
      <c r="E127" s="50" t="s">
        <v>259</v>
      </c>
      <c r="F127" s="35" t="str">
        <f t="shared" si="8"/>
        <v/>
      </c>
      <c r="G127" s="36" t="str">
        <f t="shared" si="9"/>
        <v>D</v>
      </c>
      <c r="H127" s="51" t="str">
        <f t="shared" si="11"/>
        <v/>
      </c>
      <c r="I127" s="51">
        <f t="shared" si="11"/>
        <v>1</v>
      </c>
      <c r="J127" s="51" t="str">
        <f t="shared" si="11"/>
        <v/>
      </c>
      <c r="K127" s="37"/>
      <c r="L127" s="37" t="s">
        <v>47</v>
      </c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M127" s="38"/>
      <c r="AN127" s="38"/>
      <c r="AO127" s="38"/>
      <c r="AP127" s="38"/>
      <c r="AQ127" s="38"/>
      <c r="AR127" s="38"/>
      <c r="AS127" s="38" t="s">
        <v>47</v>
      </c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77">
        <f t="shared" si="10"/>
        <v>1</v>
      </c>
      <c r="BF127" s="38"/>
    </row>
    <row r="128" spans="1:58" ht="22.5" hidden="1" customHeight="1">
      <c r="A128" s="33" t="str">
        <f>IF(OR(ISBLANK(E128),ISBLANK(C128)),"",IF(COUNTIF($E$8:E128,E128)&gt;1,"",(MAX($A$7:A127)+1)))</f>
        <v/>
      </c>
      <c r="B128" s="34">
        <f>IF(ISBLANK(C128),"",SUBTOTAL(3,$C$8:C128))</f>
        <v>44</v>
      </c>
      <c r="C128" s="78" t="s">
        <v>332</v>
      </c>
      <c r="D128" s="50" t="s">
        <v>333</v>
      </c>
      <c r="E128" s="50" t="s">
        <v>259</v>
      </c>
      <c r="F128" s="35" t="str">
        <f t="shared" si="8"/>
        <v/>
      </c>
      <c r="G128" s="36" t="str">
        <f t="shared" si="9"/>
        <v>B</v>
      </c>
      <c r="H128" s="51">
        <f t="shared" si="11"/>
        <v>1</v>
      </c>
      <c r="I128" s="51">
        <f t="shared" si="11"/>
        <v>2</v>
      </c>
      <c r="J128" s="51" t="str">
        <f t="shared" si="11"/>
        <v/>
      </c>
      <c r="K128" s="37" t="s">
        <v>47</v>
      </c>
      <c r="L128" s="37"/>
      <c r="M128" s="37"/>
      <c r="N128" s="37"/>
      <c r="O128" s="37"/>
      <c r="P128" s="37"/>
      <c r="Q128" s="37"/>
      <c r="R128" s="37" t="s">
        <v>47</v>
      </c>
      <c r="S128" s="37"/>
      <c r="T128" s="37"/>
      <c r="U128" s="37" t="s">
        <v>47</v>
      </c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 t="s">
        <v>47</v>
      </c>
      <c r="BA128" s="38"/>
      <c r="BB128" s="38"/>
      <c r="BC128" s="38"/>
      <c r="BD128" s="38"/>
      <c r="BE128" s="77">
        <f t="shared" si="10"/>
        <v>1</v>
      </c>
      <c r="BF128" s="38"/>
    </row>
    <row r="129" spans="1:58" ht="22.5" hidden="1" customHeight="1">
      <c r="A129" s="33" t="str">
        <f>IF(OR(ISBLANK(E129),ISBLANK(C129)),"",IF(COUNTIF($E$8:E129,E129)&gt;1,"",(MAX($A$7:A128)+1)))</f>
        <v/>
      </c>
      <c r="B129" s="34">
        <f>IF(ISBLANK(C129),"",SUBTOTAL(3,$C$8:C129))</f>
        <v>44</v>
      </c>
      <c r="C129" s="78" t="s">
        <v>334</v>
      </c>
      <c r="D129" s="50" t="s">
        <v>335</v>
      </c>
      <c r="E129" s="50" t="s">
        <v>259</v>
      </c>
      <c r="F129" s="35" t="str">
        <f t="shared" si="8"/>
        <v/>
      </c>
      <c r="G129" s="36" t="str">
        <f t="shared" si="9"/>
        <v>D</v>
      </c>
      <c r="H129" s="51" t="str">
        <f t="shared" si="11"/>
        <v/>
      </c>
      <c r="I129" s="51" t="str">
        <f t="shared" si="11"/>
        <v/>
      </c>
      <c r="J129" s="51">
        <f t="shared" si="11"/>
        <v>1</v>
      </c>
      <c r="K129" s="37"/>
      <c r="L129" s="37"/>
      <c r="M129" s="37" t="s">
        <v>47</v>
      </c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M129" s="38"/>
      <c r="AN129" s="38"/>
      <c r="AO129" s="38"/>
      <c r="AP129" s="38"/>
      <c r="AQ129" s="38"/>
      <c r="AR129" s="38"/>
      <c r="AS129" s="38" t="s">
        <v>47</v>
      </c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77">
        <f t="shared" si="10"/>
        <v>1</v>
      </c>
      <c r="BF129" s="38"/>
    </row>
    <row r="130" spans="1:58" ht="22.5" hidden="1" customHeight="1">
      <c r="A130" s="33" t="str">
        <f>IF(OR(ISBLANK(E130),ISBLANK(C130)),"",IF(COUNTIF($E$8:E130,E130)&gt;1,"",(MAX($A$7:A129)+1)))</f>
        <v/>
      </c>
      <c r="B130" s="34">
        <f>IF(ISBLANK(C130),"",SUBTOTAL(3,$C$8:C130))</f>
        <v>44</v>
      </c>
      <c r="C130" s="78" t="s">
        <v>336</v>
      </c>
      <c r="D130" s="50" t="s">
        <v>337</v>
      </c>
      <c r="E130" s="50" t="s">
        <v>259</v>
      </c>
      <c r="F130" s="35" t="str">
        <f t="shared" si="8"/>
        <v/>
      </c>
      <c r="G130" s="36" t="str">
        <f t="shared" si="9"/>
        <v>B</v>
      </c>
      <c r="H130" s="51">
        <f t="shared" si="11"/>
        <v>1</v>
      </c>
      <c r="I130" s="51">
        <f t="shared" si="11"/>
        <v>2</v>
      </c>
      <c r="J130" s="51" t="str">
        <f t="shared" si="11"/>
        <v/>
      </c>
      <c r="K130" s="37" t="s">
        <v>47</v>
      </c>
      <c r="L130" s="37"/>
      <c r="M130" s="37"/>
      <c r="N130" s="37"/>
      <c r="O130" s="37" t="s">
        <v>47</v>
      </c>
      <c r="P130" s="37"/>
      <c r="Q130" s="37"/>
      <c r="R130" s="37" t="s">
        <v>47</v>
      </c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M130" s="38"/>
      <c r="AN130" s="38"/>
      <c r="AO130" s="38"/>
      <c r="AP130" s="38"/>
      <c r="AQ130" s="38"/>
      <c r="AR130" s="38"/>
      <c r="AS130" s="38"/>
      <c r="AT130" s="38" t="s">
        <v>47</v>
      </c>
      <c r="AU130" s="38"/>
      <c r="AV130" s="38"/>
      <c r="AW130" s="38" t="s">
        <v>47</v>
      </c>
      <c r="AX130" s="38"/>
      <c r="AY130" s="38"/>
      <c r="AZ130" s="38"/>
      <c r="BA130" s="38"/>
      <c r="BB130" s="38"/>
      <c r="BC130" s="38"/>
      <c r="BD130" s="38"/>
      <c r="BE130" s="77">
        <f t="shared" si="10"/>
        <v>2</v>
      </c>
      <c r="BF130" s="38"/>
    </row>
    <row r="131" spans="1:58" ht="22.5" hidden="1" customHeight="1">
      <c r="A131" s="33" t="str">
        <f>IF(OR(ISBLANK(E131),ISBLANK(C131)),"",IF(COUNTIF($E$8:E131,E131)&gt;1,"",(MAX($A$7:A130)+1)))</f>
        <v/>
      </c>
      <c r="B131" s="34">
        <f>IF(ISBLANK(C131),"",SUBTOTAL(3,$C$8:C131))</f>
        <v>44</v>
      </c>
      <c r="C131" s="78" t="s">
        <v>338</v>
      </c>
      <c r="D131" s="50" t="s">
        <v>339</v>
      </c>
      <c r="E131" s="50" t="s">
        <v>259</v>
      </c>
      <c r="F131" s="35" t="str">
        <f t="shared" si="8"/>
        <v/>
      </c>
      <c r="G131" s="36" t="str">
        <f t="shared" si="9"/>
        <v>B</v>
      </c>
      <c r="H131" s="51">
        <f t="shared" si="11"/>
        <v>2</v>
      </c>
      <c r="I131" s="51">
        <f t="shared" si="11"/>
        <v>1</v>
      </c>
      <c r="J131" s="51" t="str">
        <f t="shared" si="11"/>
        <v/>
      </c>
      <c r="K131" s="37" t="s">
        <v>47</v>
      </c>
      <c r="L131" s="37"/>
      <c r="M131" s="37"/>
      <c r="N131" s="37"/>
      <c r="O131" s="37"/>
      <c r="P131" s="37"/>
      <c r="Q131" s="37" t="s">
        <v>47</v>
      </c>
      <c r="R131" s="37"/>
      <c r="S131" s="37"/>
      <c r="T131" s="37"/>
      <c r="U131" s="37" t="s">
        <v>47</v>
      </c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 t="s">
        <v>47</v>
      </c>
      <c r="AX131" s="38"/>
      <c r="AY131" s="38"/>
      <c r="AZ131" s="38"/>
      <c r="BA131" s="38" t="s">
        <v>47</v>
      </c>
      <c r="BB131" s="38"/>
      <c r="BC131" s="38"/>
      <c r="BD131" s="38"/>
      <c r="BE131" s="77">
        <f t="shared" si="10"/>
        <v>2</v>
      </c>
      <c r="BF131" s="38"/>
    </row>
    <row r="132" spans="1:58" ht="22.5" hidden="1" customHeight="1">
      <c r="A132" s="33" t="str">
        <f>IF(OR(ISBLANK(E132),ISBLANK(C132)),"",IF(COUNTIF($E$8:E132,E132)&gt;1,"",(MAX($A$7:A131)+1)))</f>
        <v/>
      </c>
      <c r="B132" s="34">
        <f>IF(ISBLANK(C132),"",SUBTOTAL(3,$C$8:C132))</f>
        <v>44</v>
      </c>
      <c r="C132" s="78" t="s">
        <v>340</v>
      </c>
      <c r="D132" s="50" t="s">
        <v>341</v>
      </c>
      <c r="E132" s="50" t="s">
        <v>259</v>
      </c>
      <c r="F132" s="35" t="str">
        <f t="shared" si="8"/>
        <v/>
      </c>
      <c r="G132" s="36" t="str">
        <f t="shared" si="9"/>
        <v>B</v>
      </c>
      <c r="H132" s="51">
        <f t="shared" si="11"/>
        <v>1</v>
      </c>
      <c r="I132" s="51">
        <f t="shared" si="11"/>
        <v>2</v>
      </c>
      <c r="J132" s="51" t="str">
        <f t="shared" si="11"/>
        <v/>
      </c>
      <c r="K132" s="37" t="s">
        <v>47</v>
      </c>
      <c r="L132" s="37"/>
      <c r="M132" s="37"/>
      <c r="N132" s="37"/>
      <c r="O132" s="37" t="s">
        <v>47</v>
      </c>
      <c r="P132" s="37"/>
      <c r="Q132" s="37"/>
      <c r="R132" s="37" t="s">
        <v>47</v>
      </c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 t="s">
        <v>47</v>
      </c>
      <c r="AX132" s="38"/>
      <c r="AY132" s="38"/>
      <c r="AZ132" s="38"/>
      <c r="BA132" s="38" t="s">
        <v>47</v>
      </c>
      <c r="BB132" s="38"/>
      <c r="BC132" s="38"/>
      <c r="BD132" s="38"/>
      <c r="BE132" s="77">
        <f t="shared" si="10"/>
        <v>2</v>
      </c>
      <c r="BF132" s="38"/>
    </row>
    <row r="133" spans="1:58" ht="22.5" hidden="1" customHeight="1">
      <c r="A133" s="33" t="str">
        <f>IF(OR(ISBLANK(E133),ISBLANK(C133)),"",IF(COUNTIF($E$8:E133,E133)&gt;1,"",(MAX($A$7:A132)+1)))</f>
        <v/>
      </c>
      <c r="B133" s="34">
        <f>IF(ISBLANK(C133),"",SUBTOTAL(3,$C$8:C133))</f>
        <v>44</v>
      </c>
      <c r="C133" s="78" t="s">
        <v>342</v>
      </c>
      <c r="D133" s="50" t="s">
        <v>216</v>
      </c>
      <c r="E133" s="50" t="s">
        <v>259</v>
      </c>
      <c r="F133" s="35" t="str">
        <f t="shared" si="8"/>
        <v/>
      </c>
      <c r="G133" s="36" t="str">
        <f t="shared" si="9"/>
        <v>C</v>
      </c>
      <c r="H133" s="51" t="str">
        <f t="shared" si="11"/>
        <v/>
      </c>
      <c r="I133" s="51">
        <f t="shared" si="11"/>
        <v>2</v>
      </c>
      <c r="J133" s="51">
        <f t="shared" si="11"/>
        <v>1</v>
      </c>
      <c r="K133" s="37"/>
      <c r="L133" s="37" t="s">
        <v>47</v>
      </c>
      <c r="M133" s="37"/>
      <c r="N133" s="37"/>
      <c r="O133" s="37"/>
      <c r="P133" s="37" t="s">
        <v>47</v>
      </c>
      <c r="Q133" s="37"/>
      <c r="R133" s="37" t="s">
        <v>47</v>
      </c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M133" s="38"/>
      <c r="AN133" s="38"/>
      <c r="AO133" s="38"/>
      <c r="AP133" s="38"/>
      <c r="AQ133" s="38"/>
      <c r="AR133" s="38"/>
      <c r="AS133" s="38" t="s">
        <v>47</v>
      </c>
      <c r="AT133" s="38"/>
      <c r="AU133" s="38"/>
      <c r="AV133" s="38"/>
      <c r="AW133" s="38" t="s">
        <v>47</v>
      </c>
      <c r="AX133" s="38"/>
      <c r="AY133" s="38"/>
      <c r="AZ133" s="38"/>
      <c r="BA133" s="38"/>
      <c r="BB133" s="38"/>
      <c r="BC133" s="38"/>
      <c r="BD133" s="38"/>
      <c r="BE133" s="77">
        <f t="shared" si="10"/>
        <v>2</v>
      </c>
      <c r="BF133" s="38"/>
    </row>
    <row r="134" spans="1:58" ht="22.5" hidden="1" customHeight="1">
      <c r="A134" s="33" t="str">
        <f>IF(OR(ISBLANK(E134),ISBLANK(C134)),"",IF(COUNTIF($E$8:E134,E134)&gt;1,"",(MAX($A$7:A133)+1)))</f>
        <v/>
      </c>
      <c r="B134" s="34">
        <f>IF(ISBLANK(C134),"",SUBTOTAL(3,$C$8:C134))</f>
        <v>44</v>
      </c>
      <c r="C134" s="78" t="s">
        <v>343</v>
      </c>
      <c r="D134" s="50" t="s">
        <v>344</v>
      </c>
      <c r="E134" s="50" t="s">
        <v>259</v>
      </c>
      <c r="F134" s="35" t="str">
        <f t="shared" si="8"/>
        <v/>
      </c>
      <c r="G134" s="36" t="str">
        <f t="shared" si="9"/>
        <v>C</v>
      </c>
      <c r="H134" s="51" t="str">
        <f t="shared" si="11"/>
        <v/>
      </c>
      <c r="I134" s="51">
        <f t="shared" si="11"/>
        <v>2</v>
      </c>
      <c r="J134" s="51" t="str">
        <f t="shared" si="11"/>
        <v/>
      </c>
      <c r="K134" s="37"/>
      <c r="L134" s="37" t="s">
        <v>47</v>
      </c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 t="s">
        <v>47</v>
      </c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M134" s="38"/>
      <c r="AN134" s="38"/>
      <c r="AO134" s="38" t="s">
        <v>47</v>
      </c>
      <c r="AP134" s="38"/>
      <c r="AQ134" s="38"/>
      <c r="AR134" s="38"/>
      <c r="AS134" s="38" t="s">
        <v>47</v>
      </c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77">
        <f t="shared" si="10"/>
        <v>2</v>
      </c>
      <c r="BF134" s="38"/>
    </row>
    <row r="135" spans="1:58" ht="22.5" hidden="1" customHeight="1">
      <c r="A135" s="33" t="str">
        <f>IF(OR(ISBLANK(E135),ISBLANK(C135)),"",IF(COUNTIF($E$8:E135,E135)&gt;1,"",(MAX($A$7:A134)+1)))</f>
        <v/>
      </c>
      <c r="B135" s="34">
        <f>IF(ISBLANK(C135),"",SUBTOTAL(3,$C$8:C135))</f>
        <v>44</v>
      </c>
      <c r="C135" s="78" t="s">
        <v>345</v>
      </c>
      <c r="D135" s="50" t="s">
        <v>346</v>
      </c>
      <c r="E135" s="50" t="s">
        <v>259</v>
      </c>
      <c r="F135" s="35" t="str">
        <f t="shared" si="8"/>
        <v/>
      </c>
      <c r="G135" s="36" t="str">
        <f t="shared" si="9"/>
        <v>B</v>
      </c>
      <c r="H135" s="51">
        <f t="shared" si="11"/>
        <v>1</v>
      </c>
      <c r="I135" s="51">
        <f t="shared" si="11"/>
        <v>2</v>
      </c>
      <c r="J135" s="51" t="str">
        <f t="shared" si="11"/>
        <v/>
      </c>
      <c r="K135" s="37" t="s">
        <v>47</v>
      </c>
      <c r="L135" s="37"/>
      <c r="M135" s="37"/>
      <c r="N135" s="37"/>
      <c r="O135" s="37" t="s">
        <v>47</v>
      </c>
      <c r="P135" s="37"/>
      <c r="Q135" s="37"/>
      <c r="R135" s="37" t="s">
        <v>47</v>
      </c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40"/>
      <c r="AH135" s="37"/>
      <c r="AI135" s="37"/>
      <c r="AJ135" s="37"/>
      <c r="AK135" s="37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 t="s">
        <v>47</v>
      </c>
      <c r="AX135" s="38"/>
      <c r="AY135" s="38"/>
      <c r="AZ135" s="38"/>
      <c r="BA135" s="38"/>
      <c r="BB135" s="38"/>
      <c r="BC135" s="38"/>
      <c r="BD135" s="38"/>
      <c r="BE135" s="77">
        <f t="shared" si="10"/>
        <v>1</v>
      </c>
      <c r="BF135" s="38"/>
    </row>
    <row r="136" spans="1:58" ht="22.5" hidden="1" customHeight="1">
      <c r="A136" s="33" t="str">
        <f>IF(OR(ISBLANK(E136),ISBLANK(C136)),"",IF(COUNTIF($E$8:E136,E136)&gt;1,"",(MAX($A$7:A135)+1)))</f>
        <v/>
      </c>
      <c r="B136" s="34">
        <f>IF(ISBLANK(C136),"",SUBTOTAL(3,$C$8:C136))</f>
        <v>44</v>
      </c>
      <c r="C136" s="78" t="s">
        <v>347</v>
      </c>
      <c r="D136" s="50" t="s">
        <v>348</v>
      </c>
      <c r="E136" s="50" t="s">
        <v>259</v>
      </c>
      <c r="F136" s="35" t="str">
        <f t="shared" ref="F136:F199" si="12">IFERROR(IF(OR(ISBLANK($C136),B136=""),"",INDEX(Luonggio,MATCH($C136,MaNVLuong,0))),"")</f>
        <v/>
      </c>
      <c r="G136" s="36" t="str">
        <f t="shared" si="9"/>
        <v>D</v>
      </c>
      <c r="H136" s="51" t="str">
        <f t="shared" si="11"/>
        <v/>
      </c>
      <c r="I136" s="51">
        <f t="shared" si="11"/>
        <v>1</v>
      </c>
      <c r="J136" s="51">
        <f t="shared" si="11"/>
        <v>1</v>
      </c>
      <c r="K136" s="37"/>
      <c r="L136" s="37"/>
      <c r="M136" s="37" t="s">
        <v>47</v>
      </c>
      <c r="N136" s="37"/>
      <c r="O136" s="37"/>
      <c r="P136" s="37"/>
      <c r="Q136" s="37"/>
      <c r="R136" s="37" t="s">
        <v>47</v>
      </c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M136" s="38"/>
      <c r="AN136" s="38"/>
      <c r="AO136" s="38"/>
      <c r="AP136" s="38"/>
      <c r="AQ136" s="38"/>
      <c r="AR136" s="38"/>
      <c r="AS136" s="38" t="s">
        <v>47</v>
      </c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77">
        <f t="shared" si="10"/>
        <v>1</v>
      </c>
      <c r="BF136" s="38"/>
    </row>
    <row r="137" spans="1:58" ht="22.5" hidden="1" customHeight="1">
      <c r="A137" s="33" t="str">
        <f>IF(OR(ISBLANK(E137),ISBLANK(C137)),"",IF(COUNTIF($E$8:E137,E137)&gt;1,"",(MAX($A$7:A136)+1)))</f>
        <v/>
      </c>
      <c r="B137" s="34">
        <f>IF(ISBLANK(C137),"",SUBTOTAL(3,$C$8:C137))</f>
        <v>44</v>
      </c>
      <c r="C137" s="78" t="s">
        <v>349</v>
      </c>
      <c r="D137" s="50" t="s">
        <v>350</v>
      </c>
      <c r="E137" s="50" t="s">
        <v>259</v>
      </c>
      <c r="F137" s="35" t="str">
        <f t="shared" si="12"/>
        <v/>
      </c>
      <c r="G137" s="36" t="str">
        <f t="shared" ref="G137:G200" si="13">IF(COUNTIF(H137:J137,"&gt;0")=0,"",IF(AND(OR(OR(SUM(H137)&gt;=2)),SUM(H137:J137)&gt;=4,OR(OR(SUM(I137)&gt;=1))),"A",IF(OR(OR(SUM(H137)&gt;=3)),"A",IF(AND(SUM(I137)&gt;=2,SUM(H137)=1),"B",IF(AND(SUM(I137)&gt;=1,SUM(H137)=2),"B",IF(H137=2,"B",IF(SUM(I137)&gt;=2,"C",IF(H137=1,"C",IF(AND(H137=1,I137=1),"C",IF(AND(SUM(H137:I137)=0,SUM(J137)&lt;=1),"D","D"))))))))))</f>
        <v>A</v>
      </c>
      <c r="H137" s="51">
        <f t="shared" si="11"/>
        <v>2</v>
      </c>
      <c r="I137" s="51">
        <f t="shared" si="11"/>
        <v>2</v>
      </c>
      <c r="J137" s="51" t="str">
        <f t="shared" si="11"/>
        <v/>
      </c>
      <c r="K137" s="37" t="s">
        <v>47</v>
      </c>
      <c r="L137" s="37"/>
      <c r="M137" s="37"/>
      <c r="N137" s="37" t="s">
        <v>47</v>
      </c>
      <c r="O137" s="37"/>
      <c r="P137" s="37"/>
      <c r="Q137" s="37"/>
      <c r="R137" s="37" t="s">
        <v>47</v>
      </c>
      <c r="S137" s="37"/>
      <c r="T137" s="37"/>
      <c r="U137" s="37" t="s">
        <v>47</v>
      </c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 t="s">
        <v>47</v>
      </c>
      <c r="BE137" s="77">
        <f t="shared" ref="BE137:BE200" si="14">COUNTIF(AM137:BD137,"X")</f>
        <v>1</v>
      </c>
      <c r="BF137" s="38"/>
    </row>
    <row r="138" spans="1:58" ht="22.5" hidden="1" customHeight="1">
      <c r="A138" s="33" t="str">
        <f>IF(OR(ISBLANK(E138),ISBLANK(C138)),"",IF(COUNTIF($E$8:E138,E138)&gt;1,"",(MAX($A$7:A137)+1)))</f>
        <v/>
      </c>
      <c r="B138" s="34">
        <f>IF(ISBLANK(C138),"",SUBTOTAL(3,$C$8:C138))</f>
        <v>44</v>
      </c>
      <c r="C138" s="78" t="s">
        <v>351</v>
      </c>
      <c r="D138" s="50" t="s">
        <v>352</v>
      </c>
      <c r="E138" s="50" t="s">
        <v>259</v>
      </c>
      <c r="F138" s="35" t="str">
        <f t="shared" si="12"/>
        <v/>
      </c>
      <c r="G138" s="36" t="str">
        <f t="shared" si="13"/>
        <v>A</v>
      </c>
      <c r="H138" s="51">
        <f t="shared" si="11"/>
        <v>3</v>
      </c>
      <c r="I138" s="51" t="str">
        <f t="shared" si="11"/>
        <v/>
      </c>
      <c r="J138" s="51" t="str">
        <f t="shared" si="11"/>
        <v/>
      </c>
      <c r="K138" s="37" t="s">
        <v>47</v>
      </c>
      <c r="L138" s="37"/>
      <c r="M138" s="37"/>
      <c r="N138" s="37" t="s">
        <v>47</v>
      </c>
      <c r="O138" s="37"/>
      <c r="P138" s="37"/>
      <c r="Q138" s="37" t="s">
        <v>47</v>
      </c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M138" s="38"/>
      <c r="AN138" s="38"/>
      <c r="AO138" s="38"/>
      <c r="AP138" s="38"/>
      <c r="AQ138" s="38"/>
      <c r="AR138" s="38"/>
      <c r="AS138" s="38"/>
      <c r="AT138" s="38" t="s">
        <v>47</v>
      </c>
      <c r="AU138" s="38"/>
      <c r="AV138" s="38"/>
      <c r="AW138" s="38"/>
      <c r="AX138" s="38"/>
      <c r="AY138" s="38"/>
      <c r="AZ138" s="38"/>
      <c r="BA138" s="38"/>
      <c r="BB138" s="38" t="s">
        <v>47</v>
      </c>
      <c r="BC138" s="38"/>
      <c r="BD138" s="38"/>
      <c r="BE138" s="77">
        <f t="shared" si="14"/>
        <v>2</v>
      </c>
      <c r="BF138" s="38"/>
    </row>
    <row r="139" spans="1:58" ht="22.5" hidden="1" customHeight="1">
      <c r="A139" s="33" t="str">
        <f>IF(OR(ISBLANK(E139),ISBLANK(C139)),"",IF(COUNTIF($E$8:E139,E139)&gt;1,"",(MAX($A$7:A138)+1)))</f>
        <v/>
      </c>
      <c r="B139" s="34">
        <f>IF(ISBLANK(C139),"",SUBTOTAL(3,$C$8:C139))</f>
        <v>44</v>
      </c>
      <c r="C139" s="78" t="s">
        <v>353</v>
      </c>
      <c r="D139" s="50" t="s">
        <v>94</v>
      </c>
      <c r="E139" s="50" t="s">
        <v>259</v>
      </c>
      <c r="F139" s="35" t="str">
        <f t="shared" si="12"/>
        <v/>
      </c>
      <c r="G139" s="36" t="str">
        <f t="shared" si="13"/>
        <v>B</v>
      </c>
      <c r="H139" s="51">
        <f t="shared" si="11"/>
        <v>1</v>
      </c>
      <c r="I139" s="51">
        <f t="shared" si="11"/>
        <v>2</v>
      </c>
      <c r="J139" s="51" t="str">
        <f t="shared" si="11"/>
        <v/>
      </c>
      <c r="K139" s="37" t="s">
        <v>47</v>
      </c>
      <c r="L139" s="37"/>
      <c r="M139" s="37"/>
      <c r="N139" s="37"/>
      <c r="O139" s="37" t="s">
        <v>47</v>
      </c>
      <c r="P139" s="37"/>
      <c r="Q139" s="37"/>
      <c r="R139" s="37" t="s">
        <v>47</v>
      </c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 t="s">
        <v>47</v>
      </c>
      <c r="AX139" s="38"/>
      <c r="AY139" s="38"/>
      <c r="AZ139" s="38"/>
      <c r="BA139" s="38"/>
      <c r="BB139" s="38" t="s">
        <v>47</v>
      </c>
      <c r="BC139" s="38"/>
      <c r="BD139" s="38"/>
      <c r="BE139" s="77">
        <f t="shared" si="14"/>
        <v>2</v>
      </c>
      <c r="BF139" s="38"/>
    </row>
    <row r="140" spans="1:58" ht="22.5" hidden="1" customHeight="1">
      <c r="A140" s="33">
        <f>IF(OR(ISBLANK(E140),ISBLANK(C140)),"",IF(COUNTIF($E$8:E140,E140)&gt;1,"",(MAX($A$7:A139)+1)))</f>
        <v>4</v>
      </c>
      <c r="B140" s="34">
        <f>IF(ISBLANK(C140),"",SUBTOTAL(3,$C$8:C140))</f>
        <v>44</v>
      </c>
      <c r="C140" s="78" t="s">
        <v>354</v>
      </c>
      <c r="D140" s="50" t="s">
        <v>355</v>
      </c>
      <c r="E140" s="50" t="s">
        <v>356</v>
      </c>
      <c r="F140" s="35" t="str">
        <f t="shared" si="12"/>
        <v/>
      </c>
      <c r="G140" s="36" t="str">
        <f t="shared" si="13"/>
        <v/>
      </c>
      <c r="H140" s="51" t="str">
        <f t="shared" si="11"/>
        <v/>
      </c>
      <c r="I140" s="51" t="str">
        <f t="shared" si="11"/>
        <v/>
      </c>
      <c r="J140" s="51" t="str">
        <f t="shared" si="11"/>
        <v/>
      </c>
      <c r="K140" s="84"/>
      <c r="L140" s="84"/>
      <c r="M140" s="84"/>
      <c r="N140" s="84"/>
      <c r="O140" s="84"/>
      <c r="P140" s="84"/>
      <c r="Q140" s="84"/>
      <c r="R140" s="84"/>
      <c r="S140" s="84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77">
        <f t="shared" si="14"/>
        <v>0</v>
      </c>
      <c r="BF140" s="38"/>
    </row>
    <row r="141" spans="1:58" ht="22.5" hidden="1" customHeight="1">
      <c r="A141" s="33" t="str">
        <f>IF(OR(ISBLANK(E141),ISBLANK(C141)),"",IF(COUNTIF($E$8:E141,E141)&gt;1,"",(MAX($A$7:A140)+1)))</f>
        <v/>
      </c>
      <c r="B141" s="34">
        <f>IF(ISBLANK(C141),"",SUBTOTAL(3,$C$8:C141))</f>
        <v>44</v>
      </c>
      <c r="C141" s="78" t="s">
        <v>357</v>
      </c>
      <c r="D141" s="50" t="s">
        <v>358</v>
      </c>
      <c r="E141" s="50" t="s">
        <v>356</v>
      </c>
      <c r="F141" s="35" t="str">
        <f t="shared" si="12"/>
        <v/>
      </c>
      <c r="G141" s="36" t="str">
        <f t="shared" si="13"/>
        <v/>
      </c>
      <c r="H141" s="51" t="str">
        <f t="shared" si="11"/>
        <v/>
      </c>
      <c r="I141" s="51" t="str">
        <f t="shared" si="11"/>
        <v/>
      </c>
      <c r="J141" s="51" t="str">
        <f t="shared" si="11"/>
        <v/>
      </c>
      <c r="K141" s="84"/>
      <c r="L141" s="84"/>
      <c r="M141" s="84"/>
      <c r="N141" s="84"/>
      <c r="O141" s="84"/>
      <c r="P141" s="84"/>
      <c r="Q141" s="84"/>
      <c r="R141" s="84"/>
      <c r="S141" s="84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77">
        <f t="shared" si="14"/>
        <v>0</v>
      </c>
      <c r="BF141" s="38"/>
    </row>
    <row r="142" spans="1:58" ht="22.5" hidden="1" customHeight="1">
      <c r="A142" s="33" t="str">
        <f>IF(OR(ISBLANK(E142),ISBLANK(C142)),"",IF(COUNTIF($E$8:E142,E142)&gt;1,"",(MAX($A$7:A141)+1)))</f>
        <v/>
      </c>
      <c r="B142" s="34">
        <f>IF(ISBLANK(C142),"",SUBTOTAL(3,$C$8:C142))</f>
        <v>44</v>
      </c>
      <c r="C142" s="78" t="s">
        <v>359</v>
      </c>
      <c r="D142" s="50" t="s">
        <v>360</v>
      </c>
      <c r="E142" s="50" t="s">
        <v>356</v>
      </c>
      <c r="F142" s="35" t="str">
        <f t="shared" si="12"/>
        <v/>
      </c>
      <c r="G142" s="36" t="str">
        <f t="shared" si="13"/>
        <v>C</v>
      </c>
      <c r="H142" s="51" t="str">
        <f t="shared" si="11"/>
        <v/>
      </c>
      <c r="I142" s="51">
        <f t="shared" si="11"/>
        <v>2</v>
      </c>
      <c r="J142" s="51" t="str">
        <f t="shared" si="11"/>
        <v/>
      </c>
      <c r="K142" s="37"/>
      <c r="L142" s="37" t="s">
        <v>47</v>
      </c>
      <c r="M142" s="37"/>
      <c r="N142" s="37"/>
      <c r="O142" s="37"/>
      <c r="P142" s="37"/>
      <c r="Q142" s="37"/>
      <c r="R142" s="37" t="s">
        <v>47</v>
      </c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M142" s="38"/>
      <c r="AN142" s="38"/>
      <c r="AO142" s="38"/>
      <c r="AP142" s="38"/>
      <c r="AQ142" s="38"/>
      <c r="AR142" s="38"/>
      <c r="AS142" s="38" t="s">
        <v>47</v>
      </c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77">
        <f t="shared" si="14"/>
        <v>1</v>
      </c>
      <c r="BF142" s="38"/>
    </row>
    <row r="143" spans="1:58" ht="22.5" hidden="1" customHeight="1">
      <c r="A143" s="33" t="str">
        <f>IF(OR(ISBLANK(E143),ISBLANK(C143)),"",IF(COUNTIF($E$8:E143,E143)&gt;1,"",(MAX($A$7:A142)+1)))</f>
        <v/>
      </c>
      <c r="B143" s="34">
        <f>IF(ISBLANK(C143),"",SUBTOTAL(3,$C$8:C143))</f>
        <v>44</v>
      </c>
      <c r="C143" s="78" t="s">
        <v>361</v>
      </c>
      <c r="D143" s="50" t="s">
        <v>362</v>
      </c>
      <c r="E143" s="50" t="s">
        <v>356</v>
      </c>
      <c r="F143" s="35" t="str">
        <f t="shared" si="12"/>
        <v/>
      </c>
      <c r="G143" s="36" t="str">
        <f t="shared" si="13"/>
        <v>C</v>
      </c>
      <c r="H143" s="51" t="str">
        <f t="shared" si="11"/>
        <v/>
      </c>
      <c r="I143" s="51">
        <f t="shared" si="11"/>
        <v>2</v>
      </c>
      <c r="J143" s="51" t="str">
        <f t="shared" si="11"/>
        <v/>
      </c>
      <c r="K143" s="37"/>
      <c r="L143" s="37" t="s">
        <v>47</v>
      </c>
      <c r="M143" s="37"/>
      <c r="N143" s="37"/>
      <c r="O143" s="37"/>
      <c r="P143" s="37"/>
      <c r="Q143" s="37"/>
      <c r="R143" s="37" t="s">
        <v>47</v>
      </c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M143" s="38"/>
      <c r="AN143" s="38"/>
      <c r="AO143" s="38"/>
      <c r="AP143" s="38"/>
      <c r="AQ143" s="38"/>
      <c r="AR143" s="38"/>
      <c r="AS143" s="38" t="s">
        <v>47</v>
      </c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77">
        <f t="shared" si="14"/>
        <v>1</v>
      </c>
      <c r="BF143" s="38"/>
    </row>
    <row r="144" spans="1:58" ht="22.5" hidden="1" customHeight="1">
      <c r="A144" s="33" t="str">
        <f>IF(OR(ISBLANK(E144),ISBLANK(C144)),"",IF(COUNTIF($E$8:E144,E144)&gt;1,"",(MAX($A$7:A143)+1)))</f>
        <v/>
      </c>
      <c r="B144" s="34">
        <f>IF(ISBLANK(C144),"",SUBTOTAL(3,$C$8:C144))</f>
        <v>44</v>
      </c>
      <c r="C144" s="85" t="s">
        <v>363</v>
      </c>
      <c r="D144" s="50" t="s">
        <v>364</v>
      </c>
      <c r="E144" s="50" t="s">
        <v>356</v>
      </c>
      <c r="F144" s="35" t="str">
        <f t="shared" si="12"/>
        <v/>
      </c>
      <c r="G144" s="36" t="str">
        <f t="shared" si="13"/>
        <v>C</v>
      </c>
      <c r="H144" s="51">
        <f t="shared" si="11"/>
        <v>1</v>
      </c>
      <c r="I144" s="51" t="str">
        <f t="shared" si="11"/>
        <v/>
      </c>
      <c r="J144" s="51" t="str">
        <f t="shared" si="11"/>
        <v/>
      </c>
      <c r="K144" s="37" t="s">
        <v>47</v>
      </c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M144" s="38"/>
      <c r="AN144" s="38"/>
      <c r="AO144" s="38"/>
      <c r="AP144" s="38"/>
      <c r="AQ144" s="38"/>
      <c r="AR144" s="38"/>
      <c r="AS144" s="38" t="s">
        <v>47</v>
      </c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77">
        <f t="shared" si="14"/>
        <v>1</v>
      </c>
      <c r="BF144" s="38"/>
    </row>
    <row r="145" spans="1:58" ht="22.5" hidden="1" customHeight="1">
      <c r="A145" s="33" t="str">
        <f>IF(OR(ISBLANK(E145),ISBLANK(C145)),"",IF(COUNTIF($E$8:E145,E145)&gt;1,"",(MAX($A$7:A144)+1)))</f>
        <v/>
      </c>
      <c r="B145" s="34">
        <f>IF(ISBLANK(C145),"",SUBTOTAL(3,$C$8:C145))</f>
        <v>44</v>
      </c>
      <c r="C145" s="78" t="s">
        <v>365</v>
      </c>
      <c r="D145" s="50" t="s">
        <v>366</v>
      </c>
      <c r="E145" s="50" t="s">
        <v>356</v>
      </c>
      <c r="F145" s="35" t="str">
        <f t="shared" si="12"/>
        <v/>
      </c>
      <c r="G145" s="36" t="str">
        <f t="shared" si="13"/>
        <v>B</v>
      </c>
      <c r="H145" s="51">
        <f t="shared" si="11"/>
        <v>2</v>
      </c>
      <c r="I145" s="51" t="str">
        <f t="shared" si="11"/>
        <v/>
      </c>
      <c r="J145" s="51" t="str">
        <f t="shared" si="11"/>
        <v/>
      </c>
      <c r="K145" s="37" t="s">
        <v>47</v>
      </c>
      <c r="L145" s="37"/>
      <c r="M145" s="37"/>
      <c r="N145" s="37"/>
      <c r="O145" s="37"/>
      <c r="P145" s="37"/>
      <c r="Q145" s="37" t="s">
        <v>47</v>
      </c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 t="s">
        <v>47</v>
      </c>
      <c r="AW145" s="38" t="s">
        <v>47</v>
      </c>
      <c r="AX145" s="38"/>
      <c r="AY145" s="38"/>
      <c r="AZ145" s="38"/>
      <c r="BA145" s="38"/>
      <c r="BB145" s="38"/>
      <c r="BC145" s="38"/>
      <c r="BD145" s="38"/>
      <c r="BE145" s="77">
        <f t="shared" si="14"/>
        <v>2</v>
      </c>
      <c r="BF145" s="38"/>
    </row>
    <row r="146" spans="1:58" ht="22.5" hidden="1" customHeight="1">
      <c r="A146" s="33" t="str">
        <f>IF(OR(ISBLANK(E146),ISBLANK(C146)),"",IF(COUNTIF($E$8:E146,E146)&gt;1,"",(MAX($A$7:A145)+1)))</f>
        <v/>
      </c>
      <c r="B146" s="34">
        <f>IF(ISBLANK(C146),"",SUBTOTAL(3,$C$8:C146))</f>
        <v>44</v>
      </c>
      <c r="C146" s="78" t="s">
        <v>367</v>
      </c>
      <c r="D146" s="50" t="s">
        <v>368</v>
      </c>
      <c r="E146" s="50" t="s">
        <v>356</v>
      </c>
      <c r="F146" s="35" t="str">
        <f t="shared" si="12"/>
        <v/>
      </c>
      <c r="G146" s="36" t="str">
        <f t="shared" si="13"/>
        <v>C</v>
      </c>
      <c r="H146" s="51" t="str">
        <f t="shared" si="11"/>
        <v/>
      </c>
      <c r="I146" s="51">
        <f t="shared" si="11"/>
        <v>2</v>
      </c>
      <c r="J146" s="51" t="str">
        <f t="shared" si="11"/>
        <v/>
      </c>
      <c r="K146" s="37"/>
      <c r="L146" s="37" t="s">
        <v>47</v>
      </c>
      <c r="M146" s="37"/>
      <c r="N146" s="37"/>
      <c r="O146" s="37"/>
      <c r="P146" s="37"/>
      <c r="Q146" s="37"/>
      <c r="R146" s="37" t="s">
        <v>47</v>
      </c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M146" s="38"/>
      <c r="AN146" s="38"/>
      <c r="AO146" s="38"/>
      <c r="AP146" s="38"/>
      <c r="AQ146" s="38"/>
      <c r="AR146" s="38"/>
      <c r="AS146" s="38" t="s">
        <v>47</v>
      </c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77">
        <f t="shared" si="14"/>
        <v>1</v>
      </c>
      <c r="BF146" s="38"/>
    </row>
    <row r="147" spans="1:58" ht="22.5" hidden="1" customHeight="1">
      <c r="A147" s="33" t="str">
        <f>IF(OR(ISBLANK(E147),ISBLANK(C147)),"",IF(COUNTIF($E$8:E147,E147)&gt;1,"",(MAX($A$7:A146)+1)))</f>
        <v/>
      </c>
      <c r="B147" s="34">
        <f>IF(ISBLANK(C147),"",SUBTOTAL(3,$C$8:C147))</f>
        <v>44</v>
      </c>
      <c r="C147" s="78" t="s">
        <v>369</v>
      </c>
      <c r="D147" s="50" t="s">
        <v>370</v>
      </c>
      <c r="E147" s="50" t="s">
        <v>356</v>
      </c>
      <c r="F147" s="35" t="str">
        <f t="shared" si="12"/>
        <v/>
      </c>
      <c r="G147" s="36" t="str">
        <f t="shared" si="13"/>
        <v>C</v>
      </c>
      <c r="H147" s="51">
        <f t="shared" si="11"/>
        <v>1</v>
      </c>
      <c r="I147" s="51">
        <f t="shared" si="11"/>
        <v>1</v>
      </c>
      <c r="J147" s="51" t="str">
        <f t="shared" si="11"/>
        <v/>
      </c>
      <c r="K147" s="37" t="s">
        <v>47</v>
      </c>
      <c r="L147" s="37"/>
      <c r="M147" s="37"/>
      <c r="N147" s="37"/>
      <c r="O147" s="37"/>
      <c r="P147" s="37"/>
      <c r="Q147" s="37"/>
      <c r="R147" s="37" t="s">
        <v>47</v>
      </c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 t="s">
        <v>47</v>
      </c>
      <c r="AY147" s="38"/>
      <c r="AZ147" s="38"/>
      <c r="BA147" s="38"/>
      <c r="BB147" s="38"/>
      <c r="BC147" s="38"/>
      <c r="BD147" s="38"/>
      <c r="BE147" s="77">
        <f t="shared" si="14"/>
        <v>1</v>
      </c>
      <c r="BF147" s="38"/>
    </row>
    <row r="148" spans="1:58" ht="22.5" hidden="1" customHeight="1">
      <c r="A148" s="33" t="str">
        <f>IF(OR(ISBLANK(E148),ISBLANK(C148)),"",IF(COUNTIF($E$8:E148,E148)&gt;1,"",(MAX($A$7:A147)+1)))</f>
        <v/>
      </c>
      <c r="B148" s="34">
        <f>IF(ISBLANK(C148),"",SUBTOTAL(3,$C$8:C148))</f>
        <v>44</v>
      </c>
      <c r="C148" s="78" t="s">
        <v>371</v>
      </c>
      <c r="D148" s="50" t="s">
        <v>372</v>
      </c>
      <c r="E148" s="50" t="s">
        <v>356</v>
      </c>
      <c r="F148" s="35" t="str">
        <f t="shared" si="12"/>
        <v/>
      </c>
      <c r="G148" s="36" t="str">
        <f t="shared" si="13"/>
        <v>D</v>
      </c>
      <c r="H148" s="51" t="str">
        <f t="shared" si="11"/>
        <v/>
      </c>
      <c r="I148" s="51">
        <f t="shared" si="11"/>
        <v>1</v>
      </c>
      <c r="J148" s="51" t="str">
        <f t="shared" si="11"/>
        <v/>
      </c>
      <c r="K148" s="37"/>
      <c r="L148" s="37" t="s">
        <v>47</v>
      </c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M148" s="38" t="s">
        <v>47</v>
      </c>
      <c r="AN148" s="38"/>
      <c r="AO148" s="38"/>
      <c r="AP148" s="38"/>
      <c r="AQ148" s="38"/>
      <c r="AR148" s="38"/>
      <c r="AS148" s="38" t="s">
        <v>47</v>
      </c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77">
        <f t="shared" si="14"/>
        <v>2</v>
      </c>
      <c r="BF148" s="38"/>
    </row>
    <row r="149" spans="1:58" ht="22.5" hidden="1" customHeight="1">
      <c r="A149" s="33" t="str">
        <f>IF(OR(ISBLANK(E149),ISBLANK(C149)),"",IF(COUNTIF($E$8:E149,E149)&gt;1,"",(MAX($A$7:A148)+1)))</f>
        <v/>
      </c>
      <c r="B149" s="34">
        <f>IF(ISBLANK(C149),"",SUBTOTAL(3,$C$8:C149))</f>
        <v>44</v>
      </c>
      <c r="C149" s="78" t="s">
        <v>373</v>
      </c>
      <c r="D149" s="50" t="s">
        <v>374</v>
      </c>
      <c r="E149" s="50" t="s">
        <v>356</v>
      </c>
      <c r="F149" s="35" t="str">
        <f t="shared" si="12"/>
        <v/>
      </c>
      <c r="G149" s="36" t="str">
        <f t="shared" si="13"/>
        <v>B</v>
      </c>
      <c r="H149" s="51">
        <f t="shared" si="11"/>
        <v>2</v>
      </c>
      <c r="I149" s="51" t="str">
        <f t="shared" si="11"/>
        <v/>
      </c>
      <c r="J149" s="51" t="str">
        <f t="shared" si="11"/>
        <v/>
      </c>
      <c r="K149" s="37" t="s">
        <v>47</v>
      </c>
      <c r="L149" s="37"/>
      <c r="M149" s="37"/>
      <c r="N149" s="37"/>
      <c r="O149" s="37"/>
      <c r="P149" s="37"/>
      <c r="Q149" s="37" t="s">
        <v>47</v>
      </c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M149" s="38"/>
      <c r="AN149" s="38"/>
      <c r="AO149" s="38"/>
      <c r="AP149" s="38"/>
      <c r="AQ149" s="38" t="s">
        <v>47</v>
      </c>
      <c r="AR149" s="38"/>
      <c r="AS149" s="38"/>
      <c r="AT149" s="38" t="s">
        <v>47</v>
      </c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77">
        <f t="shared" si="14"/>
        <v>2</v>
      </c>
      <c r="BF149" s="38"/>
    </row>
    <row r="150" spans="1:58" ht="22.5" hidden="1" customHeight="1">
      <c r="A150" s="33" t="str">
        <f>IF(OR(ISBLANK(E150),ISBLANK(C150)),"",IF(COUNTIF($E$8:E150,E150)&gt;1,"",(MAX($A$7:A149)+1)))</f>
        <v/>
      </c>
      <c r="B150" s="34">
        <f>IF(ISBLANK(C150),"",SUBTOTAL(3,$C$8:C150))</f>
        <v>44</v>
      </c>
      <c r="C150" s="80" t="s">
        <v>375</v>
      </c>
      <c r="D150" s="50" t="s">
        <v>376</v>
      </c>
      <c r="E150" s="50" t="s">
        <v>356</v>
      </c>
      <c r="F150" s="35" t="str">
        <f t="shared" si="12"/>
        <v/>
      </c>
      <c r="G150" s="36" t="str">
        <f t="shared" si="13"/>
        <v>C</v>
      </c>
      <c r="H150" s="51">
        <f t="shared" si="11"/>
        <v>1</v>
      </c>
      <c r="I150" s="51" t="str">
        <f t="shared" si="11"/>
        <v/>
      </c>
      <c r="J150" s="51" t="str">
        <f t="shared" si="11"/>
        <v/>
      </c>
      <c r="K150" s="37" t="s">
        <v>47</v>
      </c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M150" s="38"/>
      <c r="AN150" s="38"/>
      <c r="AO150" s="38"/>
      <c r="AP150" s="38"/>
      <c r="AQ150" s="38" t="s">
        <v>47</v>
      </c>
      <c r="AR150" s="38" t="s">
        <v>47</v>
      </c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77">
        <f t="shared" si="14"/>
        <v>2</v>
      </c>
      <c r="BF150" s="38"/>
    </row>
    <row r="151" spans="1:58" ht="22.5" hidden="1" customHeight="1">
      <c r="A151" s="33" t="str">
        <f>IF(OR(ISBLANK(E151),ISBLANK(C151)),"",IF(COUNTIF($E$8:E151,E151)&gt;1,"",(MAX($A$7:A150)+1)))</f>
        <v/>
      </c>
      <c r="B151" s="34">
        <f>IF(ISBLANK(C151),"",SUBTOTAL(3,$C$8:C151))</f>
        <v>44</v>
      </c>
      <c r="C151" s="80" t="s">
        <v>377</v>
      </c>
      <c r="D151" s="50" t="s">
        <v>378</v>
      </c>
      <c r="E151" s="50" t="s">
        <v>356</v>
      </c>
      <c r="F151" s="35" t="str">
        <f t="shared" si="12"/>
        <v/>
      </c>
      <c r="G151" s="36" t="str">
        <f t="shared" si="13"/>
        <v>C</v>
      </c>
      <c r="H151" s="51" t="str">
        <f t="shared" si="11"/>
        <v/>
      </c>
      <c r="I151" s="51">
        <f t="shared" si="11"/>
        <v>2</v>
      </c>
      <c r="J151" s="51" t="str">
        <f t="shared" si="11"/>
        <v/>
      </c>
      <c r="K151" s="37"/>
      <c r="L151" s="37" t="s">
        <v>47</v>
      </c>
      <c r="M151" s="37"/>
      <c r="N151" s="37"/>
      <c r="O151" s="37"/>
      <c r="P151" s="37"/>
      <c r="Q151" s="37"/>
      <c r="R151" s="37" t="s">
        <v>47</v>
      </c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M151" s="38"/>
      <c r="AN151" s="38"/>
      <c r="AO151" s="38"/>
      <c r="AP151" s="38"/>
      <c r="AQ151" s="38"/>
      <c r="AR151" s="38"/>
      <c r="AS151" s="38" t="s">
        <v>47</v>
      </c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77">
        <f t="shared" si="14"/>
        <v>1</v>
      </c>
      <c r="BF151" s="38"/>
    </row>
    <row r="152" spans="1:58" ht="22.5" hidden="1" customHeight="1">
      <c r="A152" s="33" t="str">
        <f>IF(OR(ISBLANK(E152),ISBLANK(C152)),"",IF(COUNTIF($E$8:E152,E152)&gt;1,"",(MAX($A$7:A151)+1)))</f>
        <v/>
      </c>
      <c r="B152" s="34">
        <f>IF(ISBLANK(C152),"",SUBTOTAL(3,$C$8:C152))</f>
        <v>44</v>
      </c>
      <c r="C152" s="80" t="s">
        <v>379</v>
      </c>
      <c r="D152" s="50" t="s">
        <v>380</v>
      </c>
      <c r="E152" s="50" t="s">
        <v>356</v>
      </c>
      <c r="F152" s="35" t="str">
        <f t="shared" si="12"/>
        <v/>
      </c>
      <c r="G152" s="36" t="str">
        <f t="shared" si="13"/>
        <v>B</v>
      </c>
      <c r="H152" s="51">
        <f t="shared" ref="H152:J215" si="15">IF(OR(ISBLANK($C152),COUNTIFS($K152:$AH152,"X",$K$7:$AH$7,H$7)=0,),"",COUNTIFS($K152:$AH152,"X",$K$7:$AH$7,H$7))</f>
        <v>1</v>
      </c>
      <c r="I152" s="51">
        <f t="shared" si="15"/>
        <v>2</v>
      </c>
      <c r="J152" s="51" t="str">
        <f t="shared" si="15"/>
        <v/>
      </c>
      <c r="K152" s="37" t="s">
        <v>47</v>
      </c>
      <c r="L152" s="37"/>
      <c r="M152" s="37"/>
      <c r="N152" s="37"/>
      <c r="O152" s="37" t="s">
        <v>47</v>
      </c>
      <c r="P152" s="37"/>
      <c r="Q152" s="37"/>
      <c r="R152" s="37" t="s">
        <v>47</v>
      </c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M152" s="38"/>
      <c r="AN152" s="38"/>
      <c r="AO152" s="38"/>
      <c r="AP152" s="38"/>
      <c r="AQ152" s="38"/>
      <c r="AR152" s="38" t="s">
        <v>47</v>
      </c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77">
        <f t="shared" si="14"/>
        <v>1</v>
      </c>
      <c r="BF152" s="38"/>
    </row>
    <row r="153" spans="1:58" ht="22.5" hidden="1" customHeight="1">
      <c r="A153" s="33" t="str">
        <f>IF(OR(ISBLANK(E153),ISBLANK(C153)),"",IF(COUNTIF($E$8:E153,E153)&gt;1,"",(MAX($A$7:A152)+1)))</f>
        <v/>
      </c>
      <c r="B153" s="34">
        <f>IF(ISBLANK(C153),"",SUBTOTAL(3,$C$8:C153))</f>
        <v>44</v>
      </c>
      <c r="C153" s="80" t="s">
        <v>381</v>
      </c>
      <c r="D153" s="50" t="s">
        <v>382</v>
      </c>
      <c r="E153" s="50" t="s">
        <v>356</v>
      </c>
      <c r="F153" s="35" t="str">
        <f t="shared" si="12"/>
        <v/>
      </c>
      <c r="G153" s="36" t="str">
        <f t="shared" si="13"/>
        <v>D</v>
      </c>
      <c r="H153" s="51" t="str">
        <f t="shared" si="15"/>
        <v/>
      </c>
      <c r="I153" s="51" t="str">
        <f t="shared" si="15"/>
        <v/>
      </c>
      <c r="J153" s="51">
        <f t="shared" si="15"/>
        <v>1</v>
      </c>
      <c r="K153" s="37"/>
      <c r="L153" s="37"/>
      <c r="M153" s="37" t="s">
        <v>47</v>
      </c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M153" s="38"/>
      <c r="AN153" s="38" t="s">
        <v>47</v>
      </c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77">
        <f t="shared" si="14"/>
        <v>1</v>
      </c>
      <c r="BF153" s="38"/>
    </row>
    <row r="154" spans="1:58" ht="22.5" hidden="1" customHeight="1">
      <c r="A154" s="33" t="str">
        <f>IF(OR(ISBLANK(E154),ISBLANK(C154)),"",IF(COUNTIF($E$8:E154,E154)&gt;1,"",(MAX($A$7:A153)+1)))</f>
        <v/>
      </c>
      <c r="B154" s="34">
        <f>IF(ISBLANK(C154),"",SUBTOTAL(3,$C$8:C154))</f>
        <v>44</v>
      </c>
      <c r="C154" s="80" t="s">
        <v>383</v>
      </c>
      <c r="D154" s="50" t="s">
        <v>384</v>
      </c>
      <c r="E154" s="50" t="s">
        <v>356</v>
      </c>
      <c r="F154" s="35" t="str">
        <f t="shared" si="12"/>
        <v/>
      </c>
      <c r="G154" s="36" t="str">
        <f t="shared" si="13"/>
        <v>C</v>
      </c>
      <c r="H154" s="51">
        <f t="shared" si="15"/>
        <v>1</v>
      </c>
      <c r="I154" s="51">
        <f t="shared" si="15"/>
        <v>1</v>
      </c>
      <c r="J154" s="51" t="str">
        <f t="shared" si="15"/>
        <v/>
      </c>
      <c r="K154" s="37" t="s">
        <v>47</v>
      </c>
      <c r="L154" s="37"/>
      <c r="M154" s="37"/>
      <c r="N154" s="37"/>
      <c r="O154" s="37"/>
      <c r="P154" s="37"/>
      <c r="Q154" s="37"/>
      <c r="R154" s="37" t="s">
        <v>47</v>
      </c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M154" s="38"/>
      <c r="AN154" s="38"/>
      <c r="AO154" s="38"/>
      <c r="AP154" s="38"/>
      <c r="AQ154" s="38" t="s">
        <v>47</v>
      </c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77">
        <f t="shared" si="14"/>
        <v>1</v>
      </c>
      <c r="BF154" s="38"/>
    </row>
    <row r="155" spans="1:58" ht="22.5" hidden="1" customHeight="1">
      <c r="A155" s="33" t="str">
        <f>IF(OR(ISBLANK(E155),ISBLANK(C155)),"",IF(COUNTIF($E$8:E155,E155)&gt;1,"",(MAX($A$7:A154)+1)))</f>
        <v/>
      </c>
      <c r="B155" s="34">
        <f>IF(ISBLANK(C155),"",SUBTOTAL(3,$C$8:C155))</f>
        <v>44</v>
      </c>
      <c r="C155" s="80" t="s">
        <v>385</v>
      </c>
      <c r="D155" s="50" t="s">
        <v>386</v>
      </c>
      <c r="E155" s="50" t="s">
        <v>356</v>
      </c>
      <c r="F155" s="35" t="str">
        <f t="shared" si="12"/>
        <v/>
      </c>
      <c r="G155" s="36" t="str">
        <f t="shared" si="13"/>
        <v>A</v>
      </c>
      <c r="H155" s="51">
        <f t="shared" si="15"/>
        <v>3</v>
      </c>
      <c r="I155" s="51" t="str">
        <f t="shared" si="15"/>
        <v/>
      </c>
      <c r="J155" s="51" t="str">
        <f t="shared" si="15"/>
        <v/>
      </c>
      <c r="K155" s="37" t="s">
        <v>47</v>
      </c>
      <c r="L155" s="37"/>
      <c r="M155" s="37"/>
      <c r="N155" s="37" t="s">
        <v>47</v>
      </c>
      <c r="O155" s="37"/>
      <c r="P155" s="37"/>
      <c r="Q155" s="37" t="s">
        <v>47</v>
      </c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M155" s="38"/>
      <c r="AN155" s="38"/>
      <c r="AO155" s="38"/>
      <c r="AP155" s="38"/>
      <c r="AQ155" s="38"/>
      <c r="AR155" s="38"/>
      <c r="AS155" s="38"/>
      <c r="AT155" s="38" t="s">
        <v>47</v>
      </c>
      <c r="AU155" s="38"/>
      <c r="AV155" s="38"/>
      <c r="AW155" s="38"/>
      <c r="AX155" s="38"/>
      <c r="AY155" s="38" t="s">
        <v>47</v>
      </c>
      <c r="AZ155" s="38"/>
      <c r="BA155" s="38" t="s">
        <v>47</v>
      </c>
      <c r="BB155" s="38"/>
      <c r="BC155" s="38"/>
      <c r="BD155" s="38" t="s">
        <v>47</v>
      </c>
      <c r="BE155" s="77">
        <f t="shared" si="14"/>
        <v>4</v>
      </c>
      <c r="BF155" s="38"/>
    </row>
    <row r="156" spans="1:58" ht="22.5" hidden="1" customHeight="1">
      <c r="A156" s="33" t="str">
        <f>IF(OR(ISBLANK(E156),ISBLANK(C156)),"",IF(COUNTIF($E$8:E156,E156)&gt;1,"",(MAX($A$7:A155)+1)))</f>
        <v/>
      </c>
      <c r="B156" s="34">
        <f>IF(ISBLANK(C156),"",SUBTOTAL(3,$C$8:C156))</f>
        <v>44</v>
      </c>
      <c r="C156" s="80" t="s">
        <v>387</v>
      </c>
      <c r="D156" s="50" t="s">
        <v>388</v>
      </c>
      <c r="E156" s="50" t="s">
        <v>356</v>
      </c>
      <c r="F156" s="35" t="str">
        <f t="shared" si="12"/>
        <v/>
      </c>
      <c r="G156" s="36" t="str">
        <f t="shared" si="13"/>
        <v>C</v>
      </c>
      <c r="H156" s="51">
        <f t="shared" si="15"/>
        <v>1</v>
      </c>
      <c r="I156" s="51">
        <f t="shared" si="15"/>
        <v>1</v>
      </c>
      <c r="J156" s="51" t="str">
        <f t="shared" si="15"/>
        <v/>
      </c>
      <c r="K156" s="37" t="s">
        <v>47</v>
      </c>
      <c r="L156" s="37"/>
      <c r="M156" s="37"/>
      <c r="N156" s="37"/>
      <c r="O156" s="37"/>
      <c r="P156" s="37"/>
      <c r="Q156" s="37"/>
      <c r="R156" s="37" t="s">
        <v>47</v>
      </c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M156" s="38"/>
      <c r="AN156" s="38"/>
      <c r="AO156" s="38"/>
      <c r="AP156" s="38"/>
      <c r="AQ156" s="38"/>
      <c r="AR156" s="38" t="s">
        <v>47</v>
      </c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77">
        <f t="shared" si="14"/>
        <v>1</v>
      </c>
      <c r="BF156" s="38"/>
    </row>
    <row r="157" spans="1:58" ht="22.5" hidden="1" customHeight="1">
      <c r="A157" s="33" t="str">
        <f>IF(OR(ISBLANK(E157),ISBLANK(C157)),"",IF(COUNTIF($E$8:E157,E157)&gt;1,"",(MAX($A$7:A156)+1)))</f>
        <v/>
      </c>
      <c r="B157" s="34">
        <f>IF(ISBLANK(C157),"",SUBTOTAL(3,$C$8:C157))</f>
        <v>44</v>
      </c>
      <c r="C157" s="80" t="s">
        <v>389</v>
      </c>
      <c r="D157" s="50" t="s">
        <v>390</v>
      </c>
      <c r="E157" s="50" t="s">
        <v>356</v>
      </c>
      <c r="F157" s="35" t="str">
        <f t="shared" si="12"/>
        <v/>
      </c>
      <c r="G157" s="36" t="str">
        <f t="shared" si="13"/>
        <v>B</v>
      </c>
      <c r="H157" s="51">
        <f t="shared" si="15"/>
        <v>1</v>
      </c>
      <c r="I157" s="51">
        <f t="shared" si="15"/>
        <v>2</v>
      </c>
      <c r="J157" s="51" t="str">
        <f t="shared" si="15"/>
        <v/>
      </c>
      <c r="K157" s="37" t="s">
        <v>47</v>
      </c>
      <c r="L157" s="37"/>
      <c r="M157" s="37"/>
      <c r="N157" s="37"/>
      <c r="O157" s="37" t="s">
        <v>47</v>
      </c>
      <c r="P157" s="37"/>
      <c r="Q157" s="37"/>
      <c r="R157" s="37" t="s">
        <v>47</v>
      </c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  <c r="AY157" s="38" t="s">
        <v>47</v>
      </c>
      <c r="AZ157" s="38"/>
      <c r="BA157" s="38"/>
      <c r="BB157" s="38"/>
      <c r="BC157" s="38"/>
      <c r="BD157" s="38"/>
      <c r="BE157" s="77">
        <f t="shared" si="14"/>
        <v>1</v>
      </c>
      <c r="BF157" s="38"/>
    </row>
    <row r="158" spans="1:58" ht="22.5" hidden="1" customHeight="1">
      <c r="A158" s="33" t="str">
        <f>IF(OR(ISBLANK(E158),ISBLANK(C158)),"",IF(COUNTIF($E$8:E158,E158)&gt;1,"",(MAX($A$7:A157)+1)))</f>
        <v/>
      </c>
      <c r="B158" s="34">
        <f>IF(ISBLANK(C158),"",SUBTOTAL(3,$C$8:C158))</f>
        <v>44</v>
      </c>
      <c r="C158" s="80" t="s">
        <v>391</v>
      </c>
      <c r="D158" s="50" t="s">
        <v>392</v>
      </c>
      <c r="E158" s="50" t="s">
        <v>356</v>
      </c>
      <c r="F158" s="35" t="str">
        <f t="shared" si="12"/>
        <v/>
      </c>
      <c r="G158" s="36" t="str">
        <f t="shared" si="13"/>
        <v>B</v>
      </c>
      <c r="H158" s="51">
        <f t="shared" si="15"/>
        <v>2</v>
      </c>
      <c r="I158" s="51">
        <f t="shared" si="15"/>
        <v>1</v>
      </c>
      <c r="J158" s="51" t="str">
        <f t="shared" si="15"/>
        <v/>
      </c>
      <c r="K158" s="37" t="s">
        <v>47</v>
      </c>
      <c r="L158" s="37"/>
      <c r="M158" s="37"/>
      <c r="N158" s="37" t="s">
        <v>47</v>
      </c>
      <c r="O158" s="37"/>
      <c r="P158" s="37"/>
      <c r="Q158" s="37"/>
      <c r="R158" s="37" t="s">
        <v>47</v>
      </c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M158" s="38"/>
      <c r="AN158" s="38"/>
      <c r="AO158" s="38"/>
      <c r="AP158" s="38"/>
      <c r="AQ158" s="38"/>
      <c r="AR158" s="38"/>
      <c r="AS158" s="38"/>
      <c r="AT158" s="38" t="s">
        <v>47</v>
      </c>
      <c r="AU158" s="38" t="s">
        <v>47</v>
      </c>
      <c r="AV158" s="38"/>
      <c r="AW158" s="38"/>
      <c r="AX158" s="38"/>
      <c r="AY158" s="38" t="s">
        <v>47</v>
      </c>
      <c r="AZ158" s="38"/>
      <c r="BA158" s="38"/>
      <c r="BB158" s="38"/>
      <c r="BC158" s="38"/>
      <c r="BD158" s="38"/>
      <c r="BE158" s="77">
        <f t="shared" si="14"/>
        <v>3</v>
      </c>
      <c r="BF158" s="38"/>
    </row>
    <row r="159" spans="1:58" ht="22.5" hidden="1" customHeight="1">
      <c r="A159" s="33" t="str">
        <f>IF(OR(ISBLANK(E159),ISBLANK(C159)),"",IF(COUNTIF($E$8:E159,E159)&gt;1,"",(MAX($A$7:A158)+1)))</f>
        <v/>
      </c>
      <c r="B159" s="34">
        <f>IF(ISBLANK(C159),"",SUBTOTAL(3,$C$8:C159))</f>
        <v>44</v>
      </c>
      <c r="C159" s="80" t="s">
        <v>393</v>
      </c>
      <c r="D159" s="50" t="s">
        <v>394</v>
      </c>
      <c r="E159" s="50" t="s">
        <v>356</v>
      </c>
      <c r="F159" s="35" t="str">
        <f t="shared" si="12"/>
        <v/>
      </c>
      <c r="G159" s="36" t="str">
        <f t="shared" si="13"/>
        <v>B</v>
      </c>
      <c r="H159" s="51">
        <f t="shared" si="15"/>
        <v>1</v>
      </c>
      <c r="I159" s="51">
        <f t="shared" si="15"/>
        <v>2</v>
      </c>
      <c r="J159" s="51" t="str">
        <f t="shared" si="15"/>
        <v/>
      </c>
      <c r="K159" s="37" t="s">
        <v>47</v>
      </c>
      <c r="L159" s="37"/>
      <c r="M159" s="37"/>
      <c r="N159" s="37"/>
      <c r="O159" s="37" t="s">
        <v>47</v>
      </c>
      <c r="P159" s="37"/>
      <c r="Q159" s="37"/>
      <c r="R159" s="37" t="s">
        <v>47</v>
      </c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 t="s">
        <v>47</v>
      </c>
      <c r="AY159" s="38"/>
      <c r="AZ159" s="38"/>
      <c r="BA159" s="38"/>
      <c r="BB159" s="38"/>
      <c r="BC159" s="38"/>
      <c r="BD159" s="38"/>
      <c r="BE159" s="77">
        <f t="shared" si="14"/>
        <v>1</v>
      </c>
      <c r="BF159" s="38"/>
    </row>
    <row r="160" spans="1:58" ht="22.5" hidden="1" customHeight="1">
      <c r="A160" s="33" t="str">
        <f>IF(OR(ISBLANK(E160),ISBLANK(C160)),"",IF(COUNTIF($E$8:E160,E160)&gt;1,"",(MAX($A$7:A159)+1)))</f>
        <v/>
      </c>
      <c r="B160" s="34">
        <f>IF(ISBLANK(C160),"",SUBTOTAL(3,$C$8:C160))</f>
        <v>44</v>
      </c>
      <c r="C160" s="79" t="s">
        <v>395</v>
      </c>
      <c r="D160" s="50" t="s">
        <v>396</v>
      </c>
      <c r="E160" s="50" t="s">
        <v>356</v>
      </c>
      <c r="F160" s="35" t="str">
        <f t="shared" si="12"/>
        <v/>
      </c>
      <c r="G160" s="36" t="str">
        <f t="shared" si="13"/>
        <v>B</v>
      </c>
      <c r="H160" s="51">
        <f t="shared" si="15"/>
        <v>1</v>
      </c>
      <c r="I160" s="51">
        <f t="shared" si="15"/>
        <v>2</v>
      </c>
      <c r="J160" s="51" t="str">
        <f t="shared" si="15"/>
        <v/>
      </c>
      <c r="K160" s="37" t="s">
        <v>47</v>
      </c>
      <c r="L160" s="37"/>
      <c r="M160" s="37"/>
      <c r="N160" s="37"/>
      <c r="O160" s="37" t="s">
        <v>47</v>
      </c>
      <c r="P160" s="37"/>
      <c r="Q160" s="37"/>
      <c r="R160" s="37" t="s">
        <v>47</v>
      </c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 t="s">
        <v>47</v>
      </c>
      <c r="BA160" s="38"/>
      <c r="BB160" s="38"/>
      <c r="BC160" s="38"/>
      <c r="BD160" s="38" t="s">
        <v>47</v>
      </c>
      <c r="BE160" s="77">
        <f t="shared" si="14"/>
        <v>2</v>
      </c>
      <c r="BF160" s="38"/>
    </row>
    <row r="161" spans="1:58" ht="22.5" hidden="1" customHeight="1">
      <c r="A161" s="33" t="str">
        <f>IF(OR(ISBLANK(E161),ISBLANK(C161)),"",IF(COUNTIF($E$8:E161,E161)&gt;1,"",(MAX($A$7:A160)+1)))</f>
        <v/>
      </c>
      <c r="B161" s="34">
        <f>IF(ISBLANK(C161),"",SUBTOTAL(3,$C$8:C161))</f>
        <v>44</v>
      </c>
      <c r="C161" s="79" t="s">
        <v>397</v>
      </c>
      <c r="D161" s="50" t="s">
        <v>398</v>
      </c>
      <c r="E161" s="50" t="s">
        <v>356</v>
      </c>
      <c r="F161" s="35" t="str">
        <f t="shared" si="12"/>
        <v/>
      </c>
      <c r="G161" s="36" t="str">
        <f t="shared" si="13"/>
        <v>B</v>
      </c>
      <c r="H161" s="51">
        <f t="shared" si="15"/>
        <v>2</v>
      </c>
      <c r="I161" s="51" t="str">
        <f t="shared" si="15"/>
        <v/>
      </c>
      <c r="J161" s="51" t="str">
        <f t="shared" si="15"/>
        <v/>
      </c>
      <c r="K161" s="37" t="s">
        <v>47</v>
      </c>
      <c r="L161" s="37"/>
      <c r="M161" s="37"/>
      <c r="N161" s="37" t="s">
        <v>47</v>
      </c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M161" s="38"/>
      <c r="AN161" s="38"/>
      <c r="AO161" s="38"/>
      <c r="AP161" s="38"/>
      <c r="AQ161" s="38"/>
      <c r="AR161" s="38"/>
      <c r="AS161" s="38"/>
      <c r="AT161" s="38"/>
      <c r="AU161" s="38" t="s">
        <v>47</v>
      </c>
      <c r="AV161" s="38"/>
      <c r="AW161" s="38"/>
      <c r="AX161" s="38"/>
      <c r="AY161" s="38" t="s">
        <v>47</v>
      </c>
      <c r="AZ161" s="38"/>
      <c r="BA161" s="38"/>
      <c r="BB161" s="38"/>
      <c r="BC161" s="38"/>
      <c r="BD161" s="38"/>
      <c r="BE161" s="77">
        <f t="shared" si="14"/>
        <v>2</v>
      </c>
      <c r="BF161" s="38"/>
    </row>
    <row r="162" spans="1:58" ht="22.5" hidden="1" customHeight="1">
      <c r="A162" s="33" t="str">
        <f>IF(OR(ISBLANK(E162),ISBLANK(C162)),"",IF(COUNTIF($E$8:E162,E162)&gt;1,"",(MAX($A$7:A161)+1)))</f>
        <v/>
      </c>
      <c r="B162" s="34">
        <f>IF(ISBLANK(C162),"",SUBTOTAL(3,$C$8:C162))</f>
        <v>44</v>
      </c>
      <c r="C162" s="79" t="s">
        <v>399</v>
      </c>
      <c r="D162" s="50" t="s">
        <v>400</v>
      </c>
      <c r="E162" s="50" t="s">
        <v>356</v>
      </c>
      <c r="F162" s="35" t="str">
        <f t="shared" si="12"/>
        <v/>
      </c>
      <c r="G162" s="36" t="str">
        <f t="shared" si="13"/>
        <v>C</v>
      </c>
      <c r="H162" s="51">
        <f t="shared" si="15"/>
        <v>1</v>
      </c>
      <c r="I162" s="51" t="str">
        <f t="shared" si="15"/>
        <v/>
      </c>
      <c r="J162" s="51" t="str">
        <f t="shared" si="15"/>
        <v/>
      </c>
      <c r="K162" s="37" t="s">
        <v>47</v>
      </c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 t="s">
        <v>47</v>
      </c>
      <c r="AX162" s="38"/>
      <c r="AY162" s="38"/>
      <c r="AZ162" s="38"/>
      <c r="BA162" s="38"/>
      <c r="BB162" s="38"/>
      <c r="BC162" s="38"/>
      <c r="BD162" s="38"/>
      <c r="BE162" s="77">
        <f t="shared" si="14"/>
        <v>1</v>
      </c>
      <c r="BF162" s="38"/>
    </row>
    <row r="163" spans="1:58" ht="22.5" hidden="1" customHeight="1">
      <c r="A163" s="33" t="str">
        <f>IF(OR(ISBLANK(E163),ISBLANK(C163)),"",IF(COUNTIF($E$8:E163,E163)&gt;1,"",(MAX($A$7:A162)+1)))</f>
        <v/>
      </c>
      <c r="B163" s="34">
        <f>IF(ISBLANK(C163),"",SUBTOTAL(3,$C$8:C163))</f>
        <v>44</v>
      </c>
      <c r="C163" s="78" t="s">
        <v>401</v>
      </c>
      <c r="D163" s="50" t="s">
        <v>402</v>
      </c>
      <c r="E163" s="50" t="s">
        <v>356</v>
      </c>
      <c r="F163" s="35" t="str">
        <f t="shared" si="12"/>
        <v/>
      </c>
      <c r="G163" s="36" t="str">
        <f t="shared" si="13"/>
        <v>D</v>
      </c>
      <c r="H163" s="51" t="str">
        <f t="shared" si="15"/>
        <v/>
      </c>
      <c r="I163" s="51" t="str">
        <f t="shared" si="15"/>
        <v/>
      </c>
      <c r="J163" s="51">
        <f t="shared" si="15"/>
        <v>1</v>
      </c>
      <c r="K163" s="37"/>
      <c r="L163" s="37"/>
      <c r="M163" s="37" t="s">
        <v>47</v>
      </c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M163" s="38" t="s">
        <v>47</v>
      </c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77">
        <f t="shared" si="14"/>
        <v>1</v>
      </c>
      <c r="BF163" s="38"/>
    </row>
    <row r="164" spans="1:58" ht="22.5" hidden="1" customHeight="1">
      <c r="A164" s="33" t="str">
        <f>IF(OR(ISBLANK(E164),ISBLANK(C164)),"",IF(COUNTIF($E$8:E164,E164)&gt;1,"",(MAX($A$7:A163)+1)))</f>
        <v/>
      </c>
      <c r="B164" s="34">
        <f>IF(ISBLANK(C164),"",SUBTOTAL(3,$C$8:C164))</f>
        <v>44</v>
      </c>
      <c r="C164" s="78" t="s">
        <v>403</v>
      </c>
      <c r="D164" s="50" t="s">
        <v>404</v>
      </c>
      <c r="E164" s="50" t="s">
        <v>356</v>
      </c>
      <c r="F164" s="35" t="str">
        <f t="shared" si="12"/>
        <v/>
      </c>
      <c r="G164" s="36" t="str">
        <f t="shared" si="13"/>
        <v>B</v>
      </c>
      <c r="H164" s="51">
        <f t="shared" si="15"/>
        <v>2</v>
      </c>
      <c r="I164" s="51" t="str">
        <f t="shared" si="15"/>
        <v/>
      </c>
      <c r="J164" s="51" t="str">
        <f t="shared" si="15"/>
        <v/>
      </c>
      <c r="K164" s="37" t="s">
        <v>47</v>
      </c>
      <c r="L164" s="37"/>
      <c r="M164" s="37"/>
      <c r="N164" s="37"/>
      <c r="O164" s="37"/>
      <c r="P164" s="37"/>
      <c r="Q164" s="37" t="s">
        <v>47</v>
      </c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 t="s">
        <v>47</v>
      </c>
      <c r="AW164" s="38"/>
      <c r="AX164" s="38"/>
      <c r="AY164" s="38"/>
      <c r="AZ164" s="38"/>
      <c r="BA164" s="38"/>
      <c r="BB164" s="38"/>
      <c r="BC164" s="38"/>
      <c r="BD164" s="38"/>
      <c r="BE164" s="77">
        <f t="shared" si="14"/>
        <v>1</v>
      </c>
      <c r="BF164" s="38"/>
    </row>
    <row r="165" spans="1:58" ht="22.5" hidden="1" customHeight="1">
      <c r="A165" s="33" t="str">
        <f>IF(OR(ISBLANK(E165),ISBLANK(C165)),"",IF(COUNTIF($E$8:E165,E165)&gt;1,"",(MAX($A$7:A164)+1)))</f>
        <v/>
      </c>
      <c r="B165" s="34">
        <f>IF(ISBLANK(C165),"",SUBTOTAL(3,$C$8:C165))</f>
        <v>44</v>
      </c>
      <c r="C165" s="78" t="s">
        <v>405</v>
      </c>
      <c r="D165" s="50" t="s">
        <v>406</v>
      </c>
      <c r="E165" s="50" t="s">
        <v>356</v>
      </c>
      <c r="F165" s="35" t="str">
        <f t="shared" si="12"/>
        <v/>
      </c>
      <c r="G165" s="36" t="str">
        <f t="shared" si="13"/>
        <v>B</v>
      </c>
      <c r="H165" s="51">
        <f t="shared" si="15"/>
        <v>1</v>
      </c>
      <c r="I165" s="51">
        <f t="shared" si="15"/>
        <v>2</v>
      </c>
      <c r="J165" s="51" t="str">
        <f t="shared" si="15"/>
        <v/>
      </c>
      <c r="K165" s="37" t="s">
        <v>47</v>
      </c>
      <c r="L165" s="37"/>
      <c r="M165" s="37"/>
      <c r="N165" s="37"/>
      <c r="O165" s="37" t="s">
        <v>47</v>
      </c>
      <c r="P165" s="37"/>
      <c r="Q165" s="37"/>
      <c r="R165" s="37" t="s">
        <v>47</v>
      </c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M165" s="38"/>
      <c r="AN165" s="38"/>
      <c r="AO165" s="38"/>
      <c r="AP165" s="38"/>
      <c r="AQ165" s="38"/>
      <c r="AR165" s="38"/>
      <c r="AS165" s="38"/>
      <c r="AT165" s="38" t="s">
        <v>47</v>
      </c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77">
        <f t="shared" si="14"/>
        <v>1</v>
      </c>
      <c r="BF165" s="38"/>
    </row>
    <row r="166" spans="1:58" ht="22.5" hidden="1" customHeight="1">
      <c r="A166" s="33" t="str">
        <f>IF(OR(ISBLANK(E166),ISBLANK(C166)),"",IF(COUNTIF($E$8:E166,E166)&gt;1,"",(MAX($A$7:A165)+1)))</f>
        <v/>
      </c>
      <c r="B166" s="34">
        <f>IF(ISBLANK(C166),"",SUBTOTAL(3,$C$8:C166))</f>
        <v>44</v>
      </c>
      <c r="C166" s="80" t="s">
        <v>407</v>
      </c>
      <c r="D166" s="50" t="s">
        <v>408</v>
      </c>
      <c r="E166" s="50" t="s">
        <v>356</v>
      </c>
      <c r="F166" s="35" t="str">
        <f t="shared" si="12"/>
        <v/>
      </c>
      <c r="G166" s="36" t="str">
        <f t="shared" si="13"/>
        <v>D</v>
      </c>
      <c r="H166" s="51" t="str">
        <f t="shared" si="15"/>
        <v/>
      </c>
      <c r="I166" s="51" t="str">
        <f t="shared" si="15"/>
        <v/>
      </c>
      <c r="J166" s="51">
        <f t="shared" si="15"/>
        <v>1</v>
      </c>
      <c r="K166" s="37"/>
      <c r="L166" s="37"/>
      <c r="M166" s="37" t="s">
        <v>47</v>
      </c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M166" s="38"/>
      <c r="AN166" s="38"/>
      <c r="AO166" s="38"/>
      <c r="AP166" s="38"/>
      <c r="AQ166" s="38"/>
      <c r="AR166" s="38" t="s">
        <v>47</v>
      </c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77">
        <f t="shared" si="14"/>
        <v>1</v>
      </c>
      <c r="BF166" s="38"/>
    </row>
    <row r="167" spans="1:58" ht="22.5" hidden="1" customHeight="1">
      <c r="A167" s="33" t="str">
        <f>IF(OR(ISBLANK(E167),ISBLANK(C167)),"",IF(COUNTIF($E$8:E167,E167)&gt;1,"",(MAX($A$7:A166)+1)))</f>
        <v/>
      </c>
      <c r="B167" s="34">
        <f>IF(ISBLANK(C167),"",SUBTOTAL(3,$C$8:C167))</f>
        <v>44</v>
      </c>
      <c r="C167" s="80" t="s">
        <v>409</v>
      </c>
      <c r="D167" s="50" t="s">
        <v>410</v>
      </c>
      <c r="E167" s="50" t="s">
        <v>356</v>
      </c>
      <c r="F167" s="35" t="str">
        <f t="shared" si="12"/>
        <v/>
      </c>
      <c r="G167" s="36" t="str">
        <f t="shared" si="13"/>
        <v>B</v>
      </c>
      <c r="H167" s="51">
        <f t="shared" si="15"/>
        <v>1</v>
      </c>
      <c r="I167" s="51">
        <f t="shared" si="15"/>
        <v>2</v>
      </c>
      <c r="J167" s="51" t="str">
        <f t="shared" si="15"/>
        <v/>
      </c>
      <c r="K167" s="37" t="s">
        <v>47</v>
      </c>
      <c r="L167" s="37"/>
      <c r="M167" s="37"/>
      <c r="N167" s="37"/>
      <c r="O167" s="37" t="s">
        <v>47</v>
      </c>
      <c r="P167" s="37"/>
      <c r="Q167" s="37"/>
      <c r="R167" s="37" t="s">
        <v>47</v>
      </c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/>
      <c r="AX167" s="38"/>
      <c r="AY167" s="38" t="s">
        <v>47</v>
      </c>
      <c r="AZ167" s="38"/>
      <c r="BA167" s="38"/>
      <c r="BB167" s="38" t="s">
        <v>47</v>
      </c>
      <c r="BC167" s="38"/>
      <c r="BD167" s="38"/>
      <c r="BE167" s="77">
        <f t="shared" si="14"/>
        <v>2</v>
      </c>
      <c r="BF167" s="38"/>
    </row>
    <row r="168" spans="1:58" ht="22.5" hidden="1" customHeight="1">
      <c r="A168" s="33" t="str">
        <f>IF(OR(ISBLANK(E168),ISBLANK(C168)),"",IF(COUNTIF($E$8:E168,E168)&gt;1,"",(MAX($A$7:A167)+1)))</f>
        <v/>
      </c>
      <c r="B168" s="34">
        <f>IF(ISBLANK(C168),"",SUBTOTAL(3,$C$8:C168))</f>
        <v>44</v>
      </c>
      <c r="C168" s="80" t="s">
        <v>411</v>
      </c>
      <c r="D168" s="50" t="s">
        <v>204</v>
      </c>
      <c r="E168" s="50" t="s">
        <v>356</v>
      </c>
      <c r="F168" s="35" t="str">
        <f t="shared" si="12"/>
        <v/>
      </c>
      <c r="G168" s="36" t="str">
        <f t="shared" si="13"/>
        <v>D</v>
      </c>
      <c r="H168" s="51" t="str">
        <f t="shared" si="15"/>
        <v/>
      </c>
      <c r="I168" s="51">
        <f t="shared" si="15"/>
        <v>1</v>
      </c>
      <c r="J168" s="51" t="str">
        <f t="shared" si="15"/>
        <v/>
      </c>
      <c r="K168" s="37"/>
      <c r="L168" s="37" t="s">
        <v>47</v>
      </c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M168" s="38"/>
      <c r="AN168" s="38"/>
      <c r="AO168" s="38"/>
      <c r="AP168" s="38"/>
      <c r="AQ168" s="38"/>
      <c r="AR168" s="38" t="s">
        <v>47</v>
      </c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77">
        <f t="shared" si="14"/>
        <v>1</v>
      </c>
      <c r="BF168" s="38"/>
    </row>
    <row r="169" spans="1:58" ht="22.5" hidden="1" customHeight="1">
      <c r="A169" s="33" t="str">
        <f>IF(OR(ISBLANK(E169),ISBLANK(C169)),"",IF(COUNTIF($E$8:E169,E169)&gt;1,"",(MAX($A$7:A168)+1)))</f>
        <v/>
      </c>
      <c r="B169" s="34">
        <f>IF(ISBLANK(C169),"",SUBTOTAL(3,$C$8:C169))</f>
        <v>44</v>
      </c>
      <c r="C169" s="80" t="s">
        <v>412</v>
      </c>
      <c r="D169" s="50" t="s">
        <v>413</v>
      </c>
      <c r="E169" s="50" t="s">
        <v>356</v>
      </c>
      <c r="F169" s="35" t="str">
        <f t="shared" si="12"/>
        <v/>
      </c>
      <c r="G169" s="36" t="str">
        <f t="shared" si="13"/>
        <v>C</v>
      </c>
      <c r="H169" s="51">
        <f t="shared" si="15"/>
        <v>1</v>
      </c>
      <c r="I169" s="51">
        <f t="shared" si="15"/>
        <v>1</v>
      </c>
      <c r="J169" s="51" t="str">
        <f t="shared" si="15"/>
        <v/>
      </c>
      <c r="K169" s="37"/>
      <c r="L169" s="37" t="s">
        <v>47</v>
      </c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 t="s">
        <v>47</v>
      </c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M169" s="38"/>
      <c r="AN169" s="38"/>
      <c r="AO169" s="38" t="s">
        <v>47</v>
      </c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77">
        <f t="shared" si="14"/>
        <v>1</v>
      </c>
      <c r="BF169" s="38"/>
    </row>
    <row r="170" spans="1:58" ht="22.5" hidden="1" customHeight="1">
      <c r="A170" s="33" t="str">
        <f>IF(OR(ISBLANK(E170),ISBLANK(C170)),"",IF(COUNTIF($E$8:E170,E170)&gt;1,"",(MAX($A$7:A169)+1)))</f>
        <v/>
      </c>
      <c r="B170" s="34">
        <f>IF(ISBLANK(C170),"",SUBTOTAL(3,$C$8:C170))</f>
        <v>44</v>
      </c>
      <c r="C170" s="78" t="s">
        <v>414</v>
      </c>
      <c r="D170" s="50" t="s">
        <v>415</v>
      </c>
      <c r="E170" s="50" t="s">
        <v>356</v>
      </c>
      <c r="F170" s="35" t="str">
        <f t="shared" si="12"/>
        <v/>
      </c>
      <c r="G170" s="36" t="str">
        <f t="shared" si="13"/>
        <v>C</v>
      </c>
      <c r="H170" s="51" t="str">
        <f t="shared" si="15"/>
        <v/>
      </c>
      <c r="I170" s="51">
        <f t="shared" si="15"/>
        <v>2</v>
      </c>
      <c r="J170" s="51" t="str">
        <f t="shared" si="15"/>
        <v/>
      </c>
      <c r="K170" s="37"/>
      <c r="L170" s="37" t="s">
        <v>47</v>
      </c>
      <c r="M170" s="37"/>
      <c r="N170" s="37"/>
      <c r="O170" s="37" t="s">
        <v>47</v>
      </c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M170" s="38"/>
      <c r="AN170" s="38"/>
      <c r="AO170" s="38"/>
      <c r="AP170" s="38"/>
      <c r="AQ170" s="38"/>
      <c r="AR170" s="38"/>
      <c r="AS170" s="38" t="s">
        <v>47</v>
      </c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77">
        <f t="shared" si="14"/>
        <v>1</v>
      </c>
      <c r="BF170" s="38"/>
    </row>
    <row r="171" spans="1:58" ht="22.5" hidden="1" customHeight="1">
      <c r="A171" s="33" t="str">
        <f>IF(OR(ISBLANK(E171),ISBLANK(C171)),"",IF(COUNTIF($E$8:E171,E171)&gt;1,"",(MAX($A$7:A170)+1)))</f>
        <v/>
      </c>
      <c r="B171" s="34">
        <f>IF(ISBLANK(C171),"",SUBTOTAL(3,$C$8:C171))</f>
        <v>44</v>
      </c>
      <c r="C171" s="78" t="s">
        <v>416</v>
      </c>
      <c r="D171" s="50" t="s">
        <v>417</v>
      </c>
      <c r="E171" s="50" t="s">
        <v>356</v>
      </c>
      <c r="F171" s="35" t="str">
        <f t="shared" si="12"/>
        <v/>
      </c>
      <c r="G171" s="36" t="str">
        <f t="shared" si="13"/>
        <v>B</v>
      </c>
      <c r="H171" s="51">
        <f t="shared" si="15"/>
        <v>2</v>
      </c>
      <c r="I171" s="51">
        <f t="shared" si="15"/>
        <v>1</v>
      </c>
      <c r="J171" s="51" t="str">
        <f t="shared" si="15"/>
        <v/>
      </c>
      <c r="K171" s="37" t="s">
        <v>47</v>
      </c>
      <c r="L171" s="37"/>
      <c r="M171" s="37"/>
      <c r="N171" s="37"/>
      <c r="O171" s="37" t="s">
        <v>47</v>
      </c>
      <c r="P171" s="37"/>
      <c r="Q171" s="37" t="s">
        <v>47</v>
      </c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M171" s="38"/>
      <c r="AN171" s="38"/>
      <c r="AO171" s="38"/>
      <c r="AP171" s="38"/>
      <c r="AQ171" s="38"/>
      <c r="AR171" s="38"/>
      <c r="AS171" s="38"/>
      <c r="AT171" s="38" t="s">
        <v>47</v>
      </c>
      <c r="AU171" s="38"/>
      <c r="AV171" s="38"/>
      <c r="AW171" s="38"/>
      <c r="AX171" s="38" t="s">
        <v>47</v>
      </c>
      <c r="AY171" s="38"/>
      <c r="AZ171" s="38"/>
      <c r="BA171" s="38"/>
      <c r="BB171" s="38" t="s">
        <v>47</v>
      </c>
      <c r="BC171" s="38"/>
      <c r="BD171" s="38"/>
      <c r="BE171" s="77">
        <f t="shared" si="14"/>
        <v>3</v>
      </c>
      <c r="BF171" s="38"/>
    </row>
    <row r="172" spans="1:58" ht="22.5" hidden="1" customHeight="1">
      <c r="A172" s="33" t="str">
        <f>IF(OR(ISBLANK(E172),ISBLANK(C172)),"",IF(COUNTIF($E$8:E172,E172)&gt;1,"",(MAX($A$7:A171)+1)))</f>
        <v/>
      </c>
      <c r="B172" s="34">
        <f>IF(ISBLANK(C172),"",SUBTOTAL(3,$C$8:C172))</f>
        <v>44</v>
      </c>
      <c r="C172" s="78" t="s">
        <v>418</v>
      </c>
      <c r="D172" s="50" t="s">
        <v>419</v>
      </c>
      <c r="E172" s="50" t="s">
        <v>356</v>
      </c>
      <c r="F172" s="35" t="str">
        <f t="shared" si="12"/>
        <v/>
      </c>
      <c r="G172" s="36" t="str">
        <f t="shared" si="13"/>
        <v>B</v>
      </c>
      <c r="H172" s="51">
        <f t="shared" si="15"/>
        <v>1</v>
      </c>
      <c r="I172" s="51">
        <f t="shared" si="15"/>
        <v>2</v>
      </c>
      <c r="J172" s="51" t="str">
        <f t="shared" si="15"/>
        <v/>
      </c>
      <c r="K172" s="37"/>
      <c r="L172" s="37" t="s">
        <v>47</v>
      </c>
      <c r="M172" s="37"/>
      <c r="N172" s="37"/>
      <c r="O172" s="37"/>
      <c r="P172" s="37"/>
      <c r="Q172" s="37"/>
      <c r="R172" s="37" t="s">
        <v>47</v>
      </c>
      <c r="S172" s="37"/>
      <c r="T172" s="37"/>
      <c r="U172" s="37"/>
      <c r="V172" s="37"/>
      <c r="W172" s="37"/>
      <c r="X172" s="37"/>
      <c r="Y172" s="37"/>
      <c r="Z172" s="37" t="s">
        <v>47</v>
      </c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M172" s="38"/>
      <c r="AN172" s="38"/>
      <c r="AO172" s="38" t="s">
        <v>47</v>
      </c>
      <c r="AP172" s="38" t="s">
        <v>47</v>
      </c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77">
        <f t="shared" si="14"/>
        <v>2</v>
      </c>
      <c r="BF172" s="38"/>
    </row>
    <row r="173" spans="1:58" ht="22.5" hidden="1" customHeight="1">
      <c r="A173" s="33" t="str">
        <f>IF(OR(ISBLANK(E173),ISBLANK(C173)),"",IF(COUNTIF($E$8:E173,E173)&gt;1,"",(MAX($A$7:A172)+1)))</f>
        <v/>
      </c>
      <c r="B173" s="34">
        <f>IF(ISBLANK(C173),"",SUBTOTAL(3,$C$8:C173))</f>
        <v>44</v>
      </c>
      <c r="C173" s="78" t="s">
        <v>420</v>
      </c>
      <c r="D173" s="50" t="s">
        <v>421</v>
      </c>
      <c r="E173" s="50" t="s">
        <v>356</v>
      </c>
      <c r="F173" s="35" t="str">
        <f t="shared" si="12"/>
        <v/>
      </c>
      <c r="G173" s="36" t="str">
        <f t="shared" si="13"/>
        <v>C</v>
      </c>
      <c r="H173" s="51" t="str">
        <f t="shared" si="15"/>
        <v/>
      </c>
      <c r="I173" s="51">
        <f t="shared" si="15"/>
        <v>2</v>
      </c>
      <c r="J173" s="51" t="str">
        <f t="shared" si="15"/>
        <v/>
      </c>
      <c r="K173" s="37"/>
      <c r="L173" s="37" t="s">
        <v>47</v>
      </c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 t="s">
        <v>47</v>
      </c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M173" s="38"/>
      <c r="AN173" s="38"/>
      <c r="AO173" s="38" t="s">
        <v>47</v>
      </c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77">
        <f t="shared" si="14"/>
        <v>1</v>
      </c>
      <c r="BF173" s="38"/>
    </row>
    <row r="174" spans="1:58" ht="22.5" hidden="1" customHeight="1">
      <c r="A174" s="33" t="str">
        <f>IF(OR(ISBLANK(E174),ISBLANK(C174)),"",IF(COUNTIF($E$8:E174,E174)&gt;1,"",(MAX($A$7:A173)+1)))</f>
        <v/>
      </c>
      <c r="B174" s="34">
        <f>IF(ISBLANK(C174),"",SUBTOTAL(3,$C$8:C174))</f>
        <v>44</v>
      </c>
      <c r="C174" s="78" t="s">
        <v>422</v>
      </c>
      <c r="D174" s="50" t="s">
        <v>423</v>
      </c>
      <c r="E174" s="50" t="s">
        <v>356</v>
      </c>
      <c r="F174" s="35" t="str">
        <f t="shared" si="12"/>
        <v/>
      </c>
      <c r="G174" s="36" t="str">
        <f t="shared" si="13"/>
        <v>C</v>
      </c>
      <c r="H174" s="51" t="str">
        <f t="shared" si="15"/>
        <v/>
      </c>
      <c r="I174" s="51">
        <f t="shared" si="15"/>
        <v>2</v>
      </c>
      <c r="J174" s="51" t="str">
        <f t="shared" si="15"/>
        <v/>
      </c>
      <c r="K174" s="37"/>
      <c r="L174" s="37" t="s">
        <v>47</v>
      </c>
      <c r="M174" s="37"/>
      <c r="N174" s="37"/>
      <c r="O174" s="37"/>
      <c r="P174" s="37"/>
      <c r="Q174" s="37"/>
      <c r="R174" s="37" t="s">
        <v>47</v>
      </c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M174" s="38"/>
      <c r="AN174" s="38"/>
      <c r="AO174" s="38"/>
      <c r="AP174" s="38" t="s">
        <v>47</v>
      </c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77">
        <f t="shared" si="14"/>
        <v>1</v>
      </c>
      <c r="BF174" s="38"/>
    </row>
    <row r="175" spans="1:58" ht="22.5" hidden="1" customHeight="1">
      <c r="A175" s="33" t="str">
        <f>IF(OR(ISBLANK(E175),ISBLANK(C175)),"",IF(COUNTIF($E$8:E175,E175)&gt;1,"",(MAX($A$7:A174)+1)))</f>
        <v/>
      </c>
      <c r="B175" s="34">
        <f>IF(ISBLANK(C175),"",SUBTOTAL(3,$C$8:C175))</f>
        <v>44</v>
      </c>
      <c r="C175" s="78" t="s">
        <v>424</v>
      </c>
      <c r="D175" s="50" t="s">
        <v>425</v>
      </c>
      <c r="E175" s="50" t="s">
        <v>356</v>
      </c>
      <c r="F175" s="35" t="str">
        <f t="shared" si="12"/>
        <v/>
      </c>
      <c r="G175" s="36" t="str">
        <f t="shared" si="13"/>
        <v>D</v>
      </c>
      <c r="H175" s="51" t="str">
        <f t="shared" si="15"/>
        <v/>
      </c>
      <c r="I175" s="51">
        <f t="shared" si="15"/>
        <v>1</v>
      </c>
      <c r="J175" s="51" t="str">
        <f t="shared" si="15"/>
        <v/>
      </c>
      <c r="K175" s="37"/>
      <c r="L175" s="37" t="s">
        <v>47</v>
      </c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M175" s="38"/>
      <c r="AN175" s="38"/>
      <c r="AO175" s="38"/>
      <c r="AP175" s="38"/>
      <c r="AQ175" s="38"/>
      <c r="AR175" s="38" t="s">
        <v>47</v>
      </c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77">
        <f t="shared" si="14"/>
        <v>1</v>
      </c>
      <c r="BF175" s="38"/>
    </row>
    <row r="176" spans="1:58" ht="22.5" hidden="1" customHeight="1">
      <c r="A176" s="33" t="str">
        <f>IF(OR(ISBLANK(E176),ISBLANK(C176)),"",IF(COUNTIF($E$8:E176,E176)&gt;1,"",(MAX($A$7:A175)+1)))</f>
        <v/>
      </c>
      <c r="B176" s="34">
        <f>IF(ISBLANK(C176),"",SUBTOTAL(3,$C$8:C176))</f>
        <v>44</v>
      </c>
      <c r="C176" s="78" t="s">
        <v>426</v>
      </c>
      <c r="D176" s="50" t="s">
        <v>427</v>
      </c>
      <c r="E176" s="50" t="s">
        <v>356</v>
      </c>
      <c r="F176" s="35" t="str">
        <f t="shared" si="12"/>
        <v/>
      </c>
      <c r="G176" s="36" t="str">
        <f t="shared" si="13"/>
        <v>C</v>
      </c>
      <c r="H176" s="51">
        <f t="shared" si="15"/>
        <v>1</v>
      </c>
      <c r="I176" s="51">
        <f t="shared" si="15"/>
        <v>1</v>
      </c>
      <c r="J176" s="51" t="str">
        <f t="shared" si="15"/>
        <v/>
      </c>
      <c r="K176" s="37"/>
      <c r="L176" s="37" t="s">
        <v>47</v>
      </c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 t="s">
        <v>47</v>
      </c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M176" s="38"/>
      <c r="AN176" s="38"/>
      <c r="AO176" s="38" t="s">
        <v>47</v>
      </c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77">
        <f t="shared" si="14"/>
        <v>1</v>
      </c>
      <c r="BF176" s="38"/>
    </row>
    <row r="177" spans="1:58" ht="22.5" hidden="1" customHeight="1">
      <c r="A177" s="33" t="str">
        <f>IF(OR(ISBLANK(E177),ISBLANK(C177)),"",IF(COUNTIF($E$8:E177,E177)&gt;1,"",(MAX($A$7:A176)+1)))</f>
        <v/>
      </c>
      <c r="B177" s="34">
        <f>IF(ISBLANK(C177),"",SUBTOTAL(3,$C$8:C177))</f>
        <v>44</v>
      </c>
      <c r="C177" s="78" t="s">
        <v>428</v>
      </c>
      <c r="D177" s="50" t="s">
        <v>429</v>
      </c>
      <c r="E177" s="50" t="s">
        <v>356</v>
      </c>
      <c r="F177" s="35" t="str">
        <f t="shared" si="12"/>
        <v/>
      </c>
      <c r="G177" s="36" t="str">
        <f t="shared" si="13"/>
        <v>C</v>
      </c>
      <c r="H177" s="51" t="str">
        <f t="shared" si="15"/>
        <v/>
      </c>
      <c r="I177" s="51">
        <f t="shared" si="15"/>
        <v>2</v>
      </c>
      <c r="J177" s="51">
        <f t="shared" si="15"/>
        <v>1</v>
      </c>
      <c r="K177" s="37"/>
      <c r="L177" s="37" t="s">
        <v>47</v>
      </c>
      <c r="M177" s="37"/>
      <c r="N177" s="37"/>
      <c r="O177" s="37"/>
      <c r="P177" s="37" t="s">
        <v>47</v>
      </c>
      <c r="Q177" s="37"/>
      <c r="R177" s="37" t="s">
        <v>47</v>
      </c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M177" s="38"/>
      <c r="AN177" s="38"/>
      <c r="AO177" s="38"/>
      <c r="AP177" s="38"/>
      <c r="AQ177" s="38"/>
      <c r="AR177" s="38" t="s">
        <v>47</v>
      </c>
      <c r="AS177" s="38" t="s">
        <v>47</v>
      </c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77">
        <f t="shared" si="14"/>
        <v>2</v>
      </c>
      <c r="BF177" s="38"/>
    </row>
    <row r="178" spans="1:58" ht="22.5" hidden="1" customHeight="1">
      <c r="A178" s="33" t="str">
        <f>IF(OR(ISBLANK(E178),ISBLANK(C178)),"",IF(COUNTIF($E$8:E178,E178)&gt;1,"",(MAX($A$7:A177)+1)))</f>
        <v/>
      </c>
      <c r="B178" s="34">
        <f>IF(ISBLANK(C178),"",SUBTOTAL(3,$C$8:C178))</f>
        <v>44</v>
      </c>
      <c r="C178" s="78" t="s">
        <v>430</v>
      </c>
      <c r="D178" s="50" t="s">
        <v>431</v>
      </c>
      <c r="E178" s="50" t="s">
        <v>356</v>
      </c>
      <c r="F178" s="35" t="str">
        <f t="shared" si="12"/>
        <v/>
      </c>
      <c r="G178" s="36" t="str">
        <f t="shared" si="13"/>
        <v>B</v>
      </c>
      <c r="H178" s="51">
        <f t="shared" si="15"/>
        <v>2</v>
      </c>
      <c r="I178" s="51">
        <f t="shared" si="15"/>
        <v>1</v>
      </c>
      <c r="J178" s="51" t="str">
        <f t="shared" si="15"/>
        <v/>
      </c>
      <c r="K178" s="37" t="s">
        <v>47</v>
      </c>
      <c r="L178" s="37"/>
      <c r="M178" s="37"/>
      <c r="N178" s="37" t="s">
        <v>47</v>
      </c>
      <c r="O178" s="37"/>
      <c r="P178" s="37"/>
      <c r="Q178" s="37"/>
      <c r="R178" s="37" t="s">
        <v>47</v>
      </c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 t="s">
        <v>47</v>
      </c>
      <c r="AZ178" s="38"/>
      <c r="BA178" s="38"/>
      <c r="BB178" s="38"/>
      <c r="BC178" s="38" t="s">
        <v>47</v>
      </c>
      <c r="BD178" s="38"/>
      <c r="BE178" s="77">
        <f t="shared" si="14"/>
        <v>2</v>
      </c>
      <c r="BF178" s="38"/>
    </row>
    <row r="179" spans="1:58" ht="22.5" hidden="1" customHeight="1">
      <c r="A179" s="33">
        <f>IF(OR(ISBLANK(E179),ISBLANK(C179)),"",IF(COUNTIF($E$8:E179,E179)&gt;1,"",(MAX($A$7:A178)+1)))</f>
        <v>5</v>
      </c>
      <c r="B179" s="34">
        <f>IF(ISBLANK(C179),"",SUBTOTAL(3,$C$8:C179))</f>
        <v>44</v>
      </c>
      <c r="C179" s="78" t="s">
        <v>432</v>
      </c>
      <c r="D179" s="50" t="s">
        <v>433</v>
      </c>
      <c r="E179" s="50" t="s">
        <v>434</v>
      </c>
      <c r="F179" s="35" t="str">
        <f t="shared" si="12"/>
        <v/>
      </c>
      <c r="G179" s="36" t="str">
        <f t="shared" si="13"/>
        <v/>
      </c>
      <c r="H179" s="51" t="str">
        <f t="shared" si="15"/>
        <v/>
      </c>
      <c r="I179" s="51" t="str">
        <f t="shared" si="15"/>
        <v/>
      </c>
      <c r="J179" s="51" t="str">
        <f t="shared" si="15"/>
        <v/>
      </c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77">
        <f t="shared" si="14"/>
        <v>0</v>
      </c>
      <c r="BF179" s="38"/>
    </row>
    <row r="180" spans="1:58" ht="22.5" hidden="1" customHeight="1">
      <c r="A180" s="33" t="str">
        <f>IF(OR(ISBLANK(E180),ISBLANK(C180)),"",IF(COUNTIF($E$8:E180,E180)&gt;1,"",(MAX($A$7:A179)+1)))</f>
        <v/>
      </c>
      <c r="B180" s="34">
        <f>IF(ISBLANK(C180),"",SUBTOTAL(3,$C$8:C180))</f>
        <v>44</v>
      </c>
      <c r="C180" s="78" t="s">
        <v>435</v>
      </c>
      <c r="D180" s="50" t="s">
        <v>436</v>
      </c>
      <c r="E180" s="50" t="s">
        <v>434</v>
      </c>
      <c r="F180" s="35" t="str">
        <f t="shared" si="12"/>
        <v/>
      </c>
      <c r="G180" s="36" t="str">
        <f t="shared" si="13"/>
        <v/>
      </c>
      <c r="H180" s="51" t="str">
        <f t="shared" si="15"/>
        <v/>
      </c>
      <c r="I180" s="51" t="str">
        <f t="shared" si="15"/>
        <v/>
      </c>
      <c r="J180" s="51" t="str">
        <f t="shared" si="15"/>
        <v/>
      </c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77">
        <f t="shared" si="14"/>
        <v>0</v>
      </c>
      <c r="BF180" s="38"/>
    </row>
    <row r="181" spans="1:58" ht="22.5" hidden="1" customHeight="1">
      <c r="A181" s="33" t="str">
        <f>IF(OR(ISBLANK(E181),ISBLANK(C181)),"",IF(COUNTIF($E$8:E181,E181)&gt;1,"",(MAX($A$7:A180)+1)))</f>
        <v/>
      </c>
      <c r="B181" s="34">
        <f>IF(ISBLANK(C181),"",SUBTOTAL(3,$C$8:C181))</f>
        <v>44</v>
      </c>
      <c r="C181" s="78" t="s">
        <v>437</v>
      </c>
      <c r="D181" s="50" t="s">
        <v>438</v>
      </c>
      <c r="E181" s="50" t="s">
        <v>434</v>
      </c>
      <c r="F181" s="35" t="str">
        <f t="shared" si="12"/>
        <v/>
      </c>
      <c r="G181" s="36" t="str">
        <f t="shared" si="13"/>
        <v>D</v>
      </c>
      <c r="H181" s="51" t="str">
        <f t="shared" si="15"/>
        <v/>
      </c>
      <c r="I181" s="51">
        <f t="shared" si="15"/>
        <v>1</v>
      </c>
      <c r="J181" s="51" t="str">
        <f t="shared" si="15"/>
        <v/>
      </c>
      <c r="K181" s="37"/>
      <c r="L181" s="37" t="s">
        <v>47</v>
      </c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M181" s="38"/>
      <c r="AN181" s="38"/>
      <c r="AO181" s="38"/>
      <c r="AP181" s="38"/>
      <c r="AQ181" s="38"/>
      <c r="AR181" s="38" t="s">
        <v>47</v>
      </c>
      <c r="AS181" s="38" t="s">
        <v>47</v>
      </c>
      <c r="AT181" s="38"/>
      <c r="AU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77">
        <f t="shared" si="14"/>
        <v>2</v>
      </c>
      <c r="BF181" s="38"/>
    </row>
    <row r="182" spans="1:58" ht="22.5" hidden="1" customHeight="1">
      <c r="A182" s="33" t="str">
        <f>IF(OR(ISBLANK(E182),ISBLANK(C182)),"",IF(COUNTIF($E$8:E182,E182)&gt;1,"",(MAX($A$7:A181)+1)))</f>
        <v/>
      </c>
      <c r="B182" s="34">
        <f>IF(ISBLANK(C182),"",SUBTOTAL(3,$C$8:C182))</f>
        <v>44</v>
      </c>
      <c r="C182" s="78" t="s">
        <v>439</v>
      </c>
      <c r="D182" s="50" t="s">
        <v>440</v>
      </c>
      <c r="E182" s="50" t="s">
        <v>434</v>
      </c>
      <c r="F182" s="35" t="str">
        <f t="shared" si="12"/>
        <v/>
      </c>
      <c r="G182" s="36" t="str">
        <f t="shared" si="13"/>
        <v>A</v>
      </c>
      <c r="H182" s="51">
        <f t="shared" si="15"/>
        <v>3</v>
      </c>
      <c r="I182" s="51">
        <f t="shared" si="15"/>
        <v>2</v>
      </c>
      <c r="J182" s="51" t="str">
        <f t="shared" si="15"/>
        <v/>
      </c>
      <c r="K182" s="37" t="s">
        <v>47</v>
      </c>
      <c r="L182" s="37"/>
      <c r="M182" s="37"/>
      <c r="N182" s="37"/>
      <c r="O182" s="37" t="s">
        <v>47</v>
      </c>
      <c r="P182" s="37"/>
      <c r="Q182" s="37" t="s">
        <v>47</v>
      </c>
      <c r="R182" s="37"/>
      <c r="S182" s="37"/>
      <c r="T182" s="37"/>
      <c r="U182" s="37" t="s">
        <v>47</v>
      </c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 t="s">
        <v>47</v>
      </c>
      <c r="AG182" s="37"/>
      <c r="AH182" s="37"/>
      <c r="AI182" s="37"/>
      <c r="AJ182" s="37"/>
      <c r="AK182" s="37"/>
      <c r="AM182" s="38"/>
      <c r="AN182" s="38"/>
      <c r="AO182" s="38"/>
      <c r="AP182" s="38"/>
      <c r="AQ182" s="38"/>
      <c r="AR182" s="38"/>
      <c r="AS182" s="38"/>
      <c r="AT182" s="38"/>
      <c r="AU182" s="38" t="s">
        <v>47</v>
      </c>
      <c r="AV182" s="38"/>
      <c r="AW182" s="38" t="s">
        <v>47</v>
      </c>
      <c r="AX182" s="38"/>
      <c r="AY182" s="38"/>
      <c r="AZ182" s="38"/>
      <c r="BA182" s="38"/>
      <c r="BB182" s="38"/>
      <c r="BC182" s="38"/>
      <c r="BD182" s="38"/>
      <c r="BE182" s="77">
        <f t="shared" si="14"/>
        <v>2</v>
      </c>
      <c r="BF182" s="38"/>
    </row>
    <row r="183" spans="1:58" ht="22.5" hidden="1" customHeight="1">
      <c r="A183" s="33" t="str">
        <f>IF(OR(ISBLANK(E183),ISBLANK(C183)),"",IF(COUNTIF($E$8:E183,E183)&gt;1,"",(MAX($A$7:A182)+1)))</f>
        <v/>
      </c>
      <c r="B183" s="34">
        <f>IF(ISBLANK(C183),"",SUBTOTAL(3,$C$8:C183))</f>
        <v>44</v>
      </c>
      <c r="C183" s="78" t="s">
        <v>441</v>
      </c>
      <c r="D183" s="50" t="s">
        <v>442</v>
      </c>
      <c r="E183" s="50" t="s">
        <v>434</v>
      </c>
      <c r="F183" s="35" t="str">
        <f t="shared" si="12"/>
        <v/>
      </c>
      <c r="G183" s="36" t="str">
        <f t="shared" si="13"/>
        <v>C</v>
      </c>
      <c r="H183" s="51" t="str">
        <f t="shared" si="15"/>
        <v/>
      </c>
      <c r="I183" s="51">
        <f t="shared" si="15"/>
        <v>2</v>
      </c>
      <c r="J183" s="51" t="str">
        <f t="shared" si="15"/>
        <v/>
      </c>
      <c r="K183" s="37"/>
      <c r="L183" s="37" t="s">
        <v>47</v>
      </c>
      <c r="M183" s="37"/>
      <c r="N183" s="37"/>
      <c r="O183" s="37"/>
      <c r="P183" s="37"/>
      <c r="Q183" s="37"/>
      <c r="R183" s="37" t="s">
        <v>47</v>
      </c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M183" s="38"/>
      <c r="AN183" s="38"/>
      <c r="AO183" s="38"/>
      <c r="AP183" s="38"/>
      <c r="AQ183" s="38"/>
      <c r="AR183" s="38"/>
      <c r="AS183" s="38" t="s">
        <v>47</v>
      </c>
      <c r="AT183" s="38"/>
      <c r="AU183" s="38"/>
      <c r="AV183" s="38"/>
      <c r="AW183" s="38"/>
      <c r="AX183" s="38"/>
      <c r="AY183" s="38"/>
      <c r="AZ183" s="38"/>
      <c r="BA183" s="38"/>
      <c r="BB183" s="38"/>
      <c r="BC183" s="38"/>
      <c r="BD183" s="38"/>
      <c r="BE183" s="77">
        <f t="shared" si="14"/>
        <v>1</v>
      </c>
      <c r="BF183" s="38"/>
    </row>
    <row r="184" spans="1:58" ht="22.5" hidden="1" customHeight="1">
      <c r="A184" s="33" t="str">
        <f>IF(OR(ISBLANK(E184),ISBLANK(C184)),"",IF(COUNTIF($E$8:E184,E184)&gt;1,"",(MAX($A$7:A183)+1)))</f>
        <v/>
      </c>
      <c r="B184" s="34">
        <f>IF(ISBLANK(C184),"",SUBTOTAL(3,$C$8:C184))</f>
        <v>44</v>
      </c>
      <c r="C184" s="78" t="s">
        <v>443</v>
      </c>
      <c r="D184" s="50" t="s">
        <v>444</v>
      </c>
      <c r="E184" s="50" t="s">
        <v>434</v>
      </c>
      <c r="F184" s="35" t="str">
        <f t="shared" si="12"/>
        <v/>
      </c>
      <c r="G184" s="36" t="str">
        <f t="shared" si="13"/>
        <v>C</v>
      </c>
      <c r="H184" s="51">
        <f t="shared" si="15"/>
        <v>1</v>
      </c>
      <c r="I184" s="51">
        <f t="shared" si="15"/>
        <v>1</v>
      </c>
      <c r="J184" s="51">
        <f t="shared" si="15"/>
        <v>1</v>
      </c>
      <c r="K184" s="37" t="s">
        <v>47</v>
      </c>
      <c r="L184" s="37"/>
      <c r="M184" s="37"/>
      <c r="N184" s="37"/>
      <c r="O184" s="37"/>
      <c r="P184" s="37" t="s">
        <v>47</v>
      </c>
      <c r="Q184" s="37"/>
      <c r="R184" s="37" t="s">
        <v>47</v>
      </c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M184" s="38"/>
      <c r="AN184" s="38"/>
      <c r="AO184" s="38"/>
      <c r="AP184" s="38"/>
      <c r="AQ184" s="38"/>
      <c r="AR184" s="38"/>
      <c r="AS184" s="38"/>
      <c r="AT184" s="38" t="s">
        <v>47</v>
      </c>
      <c r="AU184" s="38"/>
      <c r="AV184" s="38"/>
      <c r="AW184" s="38" t="s">
        <v>47</v>
      </c>
      <c r="AX184" s="38"/>
      <c r="AY184" s="38"/>
      <c r="AZ184" s="38"/>
      <c r="BA184" s="38"/>
      <c r="BB184" s="38"/>
      <c r="BC184" s="38"/>
      <c r="BD184" s="38"/>
      <c r="BE184" s="77">
        <f t="shared" si="14"/>
        <v>2</v>
      </c>
      <c r="BF184" s="38"/>
    </row>
    <row r="185" spans="1:58" ht="22.5" hidden="1" customHeight="1">
      <c r="A185" s="33" t="str">
        <f>IF(OR(ISBLANK(E185),ISBLANK(C185)),"",IF(COUNTIF($E$8:E185,E185)&gt;1,"",(MAX($A$7:A184)+1)))</f>
        <v/>
      </c>
      <c r="B185" s="34">
        <f>IF(ISBLANK(C185),"",SUBTOTAL(3,$C$8:C185))</f>
        <v>44</v>
      </c>
      <c r="C185" s="78" t="s">
        <v>445</v>
      </c>
      <c r="D185" s="50" t="s">
        <v>446</v>
      </c>
      <c r="E185" s="50" t="s">
        <v>434</v>
      </c>
      <c r="F185" s="35" t="str">
        <f t="shared" si="12"/>
        <v/>
      </c>
      <c r="G185" s="36" t="str">
        <f t="shared" si="13"/>
        <v>A</v>
      </c>
      <c r="H185" s="51">
        <f t="shared" si="15"/>
        <v>4</v>
      </c>
      <c r="I185" s="51" t="str">
        <f t="shared" si="15"/>
        <v/>
      </c>
      <c r="J185" s="51" t="str">
        <f t="shared" si="15"/>
        <v/>
      </c>
      <c r="K185" s="37" t="s">
        <v>47</v>
      </c>
      <c r="L185" s="37"/>
      <c r="M185" s="37"/>
      <c r="N185" s="37" t="s">
        <v>47</v>
      </c>
      <c r="O185" s="37"/>
      <c r="P185" s="37"/>
      <c r="Q185" s="37" t="s">
        <v>47</v>
      </c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 t="s">
        <v>47</v>
      </c>
      <c r="AG185" s="37"/>
      <c r="AH185" s="37"/>
      <c r="AI185" s="37"/>
      <c r="AJ185" s="37"/>
      <c r="AK185" s="37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 t="s">
        <v>47</v>
      </c>
      <c r="AX185" s="38"/>
      <c r="AY185" s="38" t="s">
        <v>47</v>
      </c>
      <c r="AZ185" s="38"/>
      <c r="BA185" s="38"/>
      <c r="BB185" s="38" t="s">
        <v>47</v>
      </c>
      <c r="BC185" s="38"/>
      <c r="BD185" s="38"/>
      <c r="BE185" s="77">
        <f t="shared" si="14"/>
        <v>3</v>
      </c>
      <c r="BF185" s="38"/>
    </row>
    <row r="186" spans="1:58" ht="22.5" hidden="1" customHeight="1">
      <c r="A186" s="33" t="str">
        <f>IF(OR(ISBLANK(E186),ISBLANK(C186)),"",IF(COUNTIF($E$8:E186,E186)&gt;1,"",(MAX($A$7:A185)+1)))</f>
        <v/>
      </c>
      <c r="B186" s="34">
        <f>IF(ISBLANK(C186),"",SUBTOTAL(3,$C$8:C186))</f>
        <v>44</v>
      </c>
      <c r="C186" s="78" t="s">
        <v>447</v>
      </c>
      <c r="D186" s="50" t="s">
        <v>448</v>
      </c>
      <c r="E186" s="50" t="s">
        <v>434</v>
      </c>
      <c r="F186" s="35" t="str">
        <f t="shared" si="12"/>
        <v/>
      </c>
      <c r="G186" s="36" t="str">
        <f t="shared" si="13"/>
        <v>D</v>
      </c>
      <c r="H186" s="51" t="str">
        <f t="shared" si="15"/>
        <v/>
      </c>
      <c r="I186" s="51">
        <f t="shared" si="15"/>
        <v>1</v>
      </c>
      <c r="J186" s="51" t="str">
        <f t="shared" si="15"/>
        <v/>
      </c>
      <c r="K186" s="37"/>
      <c r="L186" s="37" t="s">
        <v>47</v>
      </c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 t="s">
        <v>47</v>
      </c>
      <c r="AX186" s="38"/>
      <c r="AY186" s="38"/>
      <c r="AZ186" s="38"/>
      <c r="BA186" s="38"/>
      <c r="BB186" s="38"/>
      <c r="BC186" s="38"/>
      <c r="BD186" s="38"/>
      <c r="BE186" s="77">
        <f t="shared" si="14"/>
        <v>1</v>
      </c>
      <c r="BF186" s="38"/>
    </row>
    <row r="187" spans="1:58" ht="22.5" hidden="1" customHeight="1">
      <c r="A187" s="33" t="str">
        <f>IF(OR(ISBLANK(E187),ISBLANK(C187)),"",IF(COUNTIF($E$8:E187,E187)&gt;1,"",(MAX($A$7:A186)+1)))</f>
        <v/>
      </c>
      <c r="B187" s="34">
        <f>IF(ISBLANK(C187),"",SUBTOTAL(3,$C$8:C187))</f>
        <v>44</v>
      </c>
      <c r="C187" s="78" t="s">
        <v>449</v>
      </c>
      <c r="D187" s="50" t="s">
        <v>450</v>
      </c>
      <c r="E187" s="50" t="s">
        <v>434</v>
      </c>
      <c r="F187" s="35" t="str">
        <f t="shared" si="12"/>
        <v/>
      </c>
      <c r="G187" s="36" t="str">
        <f t="shared" si="13"/>
        <v>C</v>
      </c>
      <c r="H187" s="51">
        <f t="shared" si="15"/>
        <v>1</v>
      </c>
      <c r="I187" s="51">
        <f t="shared" si="15"/>
        <v>1</v>
      </c>
      <c r="J187" s="51" t="str">
        <f t="shared" si="15"/>
        <v/>
      </c>
      <c r="K187" s="37"/>
      <c r="L187" s="37" t="s">
        <v>47</v>
      </c>
      <c r="M187" s="37"/>
      <c r="N187" s="37"/>
      <c r="O187" s="37"/>
      <c r="P187" s="37"/>
      <c r="Q187" s="37" t="s">
        <v>47</v>
      </c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M187" s="38"/>
      <c r="AN187" s="38"/>
      <c r="AO187" s="38"/>
      <c r="AP187" s="38"/>
      <c r="AQ187" s="38"/>
      <c r="AR187" s="38"/>
      <c r="AS187" s="38" t="s">
        <v>47</v>
      </c>
      <c r="AT187" s="38"/>
      <c r="AU187" s="38"/>
      <c r="AV187" s="38" t="s">
        <v>47</v>
      </c>
      <c r="AW187" s="38" t="s">
        <v>47</v>
      </c>
      <c r="AX187" s="38"/>
      <c r="AY187" s="38"/>
      <c r="AZ187" s="38"/>
      <c r="BA187" s="38"/>
      <c r="BB187" s="38"/>
      <c r="BC187" s="38"/>
      <c r="BD187" s="38"/>
      <c r="BE187" s="77">
        <f t="shared" si="14"/>
        <v>3</v>
      </c>
      <c r="BF187" s="38"/>
    </row>
    <row r="188" spans="1:58" ht="22.5" hidden="1" customHeight="1">
      <c r="A188" s="33" t="str">
        <f>IF(OR(ISBLANK(E188),ISBLANK(C188)),"",IF(COUNTIF($E$8:E188,E188)&gt;1,"",(MAX($A$7:A187)+1)))</f>
        <v/>
      </c>
      <c r="B188" s="34">
        <f>IF(ISBLANK(C188),"",SUBTOTAL(3,$C$8:C188))</f>
        <v>44</v>
      </c>
      <c r="C188" s="78" t="s">
        <v>451</v>
      </c>
      <c r="D188" s="50" t="s">
        <v>452</v>
      </c>
      <c r="E188" s="50" t="s">
        <v>434</v>
      </c>
      <c r="F188" s="35" t="str">
        <f t="shared" si="12"/>
        <v/>
      </c>
      <c r="G188" s="36" t="str">
        <f t="shared" si="13"/>
        <v>C</v>
      </c>
      <c r="H188" s="51" t="str">
        <f t="shared" si="15"/>
        <v/>
      </c>
      <c r="I188" s="51">
        <f t="shared" si="15"/>
        <v>3</v>
      </c>
      <c r="J188" s="51" t="str">
        <f t="shared" si="15"/>
        <v/>
      </c>
      <c r="K188" s="37"/>
      <c r="L188" s="37" t="s">
        <v>47</v>
      </c>
      <c r="M188" s="37"/>
      <c r="N188" s="37"/>
      <c r="O188" s="37" t="s">
        <v>47</v>
      </c>
      <c r="P188" s="37"/>
      <c r="Q188" s="37"/>
      <c r="R188" s="37" t="s">
        <v>47</v>
      </c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M188" s="38"/>
      <c r="AN188" s="38"/>
      <c r="AO188" s="38"/>
      <c r="AP188" s="38"/>
      <c r="AQ188" s="38"/>
      <c r="AR188" s="38"/>
      <c r="AS188" s="38" t="s">
        <v>47</v>
      </c>
      <c r="AT188" s="38"/>
      <c r="AU188" s="38"/>
      <c r="AV188" s="38"/>
      <c r="AW188" s="38"/>
      <c r="AX188" s="38"/>
      <c r="AY188" s="38"/>
      <c r="AZ188" s="38"/>
      <c r="BA188" s="38"/>
      <c r="BB188" s="38"/>
      <c r="BC188" s="38"/>
      <c r="BD188" s="38"/>
      <c r="BE188" s="77">
        <f t="shared" si="14"/>
        <v>1</v>
      </c>
      <c r="BF188" s="38"/>
    </row>
    <row r="189" spans="1:58" ht="22.5" hidden="1" customHeight="1">
      <c r="A189" s="33" t="str">
        <f>IF(OR(ISBLANK(E189),ISBLANK(C189)),"",IF(COUNTIF($E$8:E189,E189)&gt;1,"",(MAX($A$7:A188)+1)))</f>
        <v/>
      </c>
      <c r="B189" s="34">
        <f>IF(ISBLANK(C189),"",SUBTOTAL(3,$C$8:C189))</f>
        <v>44</v>
      </c>
      <c r="C189" s="78" t="s">
        <v>453</v>
      </c>
      <c r="D189" s="50" t="s">
        <v>454</v>
      </c>
      <c r="E189" s="50" t="s">
        <v>434</v>
      </c>
      <c r="F189" s="35" t="str">
        <f t="shared" si="12"/>
        <v/>
      </c>
      <c r="G189" s="36" t="str">
        <f t="shared" si="13"/>
        <v>A</v>
      </c>
      <c r="H189" s="51">
        <f t="shared" si="15"/>
        <v>3</v>
      </c>
      <c r="I189" s="51" t="str">
        <f t="shared" si="15"/>
        <v/>
      </c>
      <c r="J189" s="51" t="str">
        <f t="shared" si="15"/>
        <v/>
      </c>
      <c r="K189" s="37" t="s">
        <v>47</v>
      </c>
      <c r="L189" s="37"/>
      <c r="M189" s="37"/>
      <c r="N189" s="37"/>
      <c r="O189" s="37"/>
      <c r="P189" s="37"/>
      <c r="Q189" s="37" t="s">
        <v>47</v>
      </c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 t="s">
        <v>47</v>
      </c>
      <c r="AG189" s="37"/>
      <c r="AH189" s="37"/>
      <c r="AI189" s="37"/>
      <c r="AJ189" s="37"/>
      <c r="AK189" s="37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 t="s">
        <v>47</v>
      </c>
      <c r="AX189" s="38" t="s">
        <v>47</v>
      </c>
      <c r="AY189" s="38"/>
      <c r="AZ189" s="38"/>
      <c r="BA189" s="38"/>
      <c r="BB189" s="38"/>
      <c r="BC189" s="38"/>
      <c r="BD189" s="38"/>
      <c r="BE189" s="77">
        <f t="shared" si="14"/>
        <v>2</v>
      </c>
      <c r="BF189" s="38"/>
    </row>
    <row r="190" spans="1:58" ht="22.5" hidden="1" customHeight="1">
      <c r="A190" s="33" t="str">
        <f>IF(OR(ISBLANK(E190),ISBLANK(C190)),"",IF(COUNTIF($E$8:E190,E190)&gt;1,"",(MAX($A$7:A189)+1)))</f>
        <v/>
      </c>
      <c r="B190" s="34">
        <f>IF(ISBLANK(C190),"",SUBTOTAL(3,$C$8:C190))</f>
        <v>44</v>
      </c>
      <c r="C190" s="78" t="s">
        <v>455</v>
      </c>
      <c r="D190" s="50" t="s">
        <v>456</v>
      </c>
      <c r="E190" s="50" t="s">
        <v>434</v>
      </c>
      <c r="F190" s="35" t="str">
        <f t="shared" si="12"/>
        <v/>
      </c>
      <c r="G190" s="36" t="str">
        <f t="shared" si="13"/>
        <v>A</v>
      </c>
      <c r="H190" s="51">
        <f t="shared" si="15"/>
        <v>2</v>
      </c>
      <c r="I190" s="51">
        <f t="shared" si="15"/>
        <v>3</v>
      </c>
      <c r="J190" s="51" t="str">
        <f t="shared" si="15"/>
        <v/>
      </c>
      <c r="K190" s="37"/>
      <c r="L190" s="37" t="s">
        <v>47</v>
      </c>
      <c r="M190" s="37"/>
      <c r="N190" s="37"/>
      <c r="O190" s="37" t="s">
        <v>47</v>
      </c>
      <c r="P190" s="37"/>
      <c r="Q190" s="37" t="s">
        <v>47</v>
      </c>
      <c r="R190" s="37"/>
      <c r="S190" s="37"/>
      <c r="T190" s="37"/>
      <c r="U190" s="37" t="s">
        <v>47</v>
      </c>
      <c r="V190" s="37"/>
      <c r="W190" s="37" t="s">
        <v>47</v>
      </c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M190" s="38"/>
      <c r="AN190" s="38"/>
      <c r="AO190" s="38"/>
      <c r="AP190" s="38"/>
      <c r="AQ190" s="38"/>
      <c r="AR190" s="38" t="s">
        <v>47</v>
      </c>
      <c r="AS190" s="38" t="s">
        <v>47</v>
      </c>
      <c r="AT190" s="38"/>
      <c r="AU190" s="38"/>
      <c r="AV190" s="38"/>
      <c r="AW190" s="38" t="s">
        <v>47</v>
      </c>
      <c r="AX190" s="38"/>
      <c r="AY190" s="38"/>
      <c r="AZ190" s="38"/>
      <c r="BA190" s="38"/>
      <c r="BB190" s="38"/>
      <c r="BC190" s="38"/>
      <c r="BD190" s="38"/>
      <c r="BE190" s="77">
        <f t="shared" si="14"/>
        <v>3</v>
      </c>
      <c r="BF190" s="38"/>
    </row>
    <row r="191" spans="1:58" ht="22.5" hidden="1" customHeight="1">
      <c r="A191" s="33" t="str">
        <f>IF(OR(ISBLANK(E191),ISBLANK(C191)),"",IF(COUNTIF($E$8:E191,E191)&gt;1,"",(MAX($A$7:A190)+1)))</f>
        <v/>
      </c>
      <c r="B191" s="34">
        <f>IF(ISBLANK(C191),"",SUBTOTAL(3,$C$8:C191))</f>
        <v>44</v>
      </c>
      <c r="C191" s="78" t="s">
        <v>457</v>
      </c>
      <c r="D191" s="50" t="s">
        <v>458</v>
      </c>
      <c r="E191" s="50" t="s">
        <v>434</v>
      </c>
      <c r="F191" s="35" t="str">
        <f t="shared" si="12"/>
        <v/>
      </c>
      <c r="G191" s="36" t="str">
        <f t="shared" si="13"/>
        <v>D</v>
      </c>
      <c r="H191" s="51" t="str">
        <f t="shared" si="15"/>
        <v/>
      </c>
      <c r="I191" s="51" t="str">
        <f t="shared" si="15"/>
        <v/>
      </c>
      <c r="J191" s="51">
        <f t="shared" si="15"/>
        <v>1</v>
      </c>
      <c r="K191" s="37"/>
      <c r="L191" s="37"/>
      <c r="M191" s="37" t="s">
        <v>47</v>
      </c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M191" s="38"/>
      <c r="AN191" s="38"/>
      <c r="AO191" s="38"/>
      <c r="AP191" s="38"/>
      <c r="AQ191" s="38"/>
      <c r="AR191" s="38" t="s">
        <v>47</v>
      </c>
      <c r="AS191" s="38" t="s">
        <v>47</v>
      </c>
      <c r="AT191" s="38"/>
      <c r="AU191" s="38"/>
      <c r="AV191" s="38"/>
      <c r="AW191" s="38"/>
      <c r="AX191" s="38"/>
      <c r="AY191" s="38"/>
      <c r="AZ191" s="38"/>
      <c r="BA191" s="38"/>
      <c r="BB191" s="38"/>
      <c r="BC191" s="38"/>
      <c r="BD191" s="38"/>
      <c r="BE191" s="77">
        <f t="shared" si="14"/>
        <v>2</v>
      </c>
      <c r="BF191" s="38"/>
    </row>
    <row r="192" spans="1:58" ht="22.5" hidden="1" customHeight="1">
      <c r="A192" s="33" t="str">
        <f>IF(OR(ISBLANK(E192),ISBLANK(C192)),"",IF(COUNTIF($E$8:E192,E192)&gt;1,"",(MAX($A$7:A191)+1)))</f>
        <v/>
      </c>
      <c r="B192" s="34">
        <f>IF(ISBLANK(C192),"",SUBTOTAL(3,$C$8:C192))</f>
        <v>44</v>
      </c>
      <c r="C192" s="78" t="s">
        <v>459</v>
      </c>
      <c r="D192" s="50" t="s">
        <v>460</v>
      </c>
      <c r="E192" s="50" t="s">
        <v>434</v>
      </c>
      <c r="F192" s="35" t="str">
        <f t="shared" si="12"/>
        <v/>
      </c>
      <c r="G192" s="36" t="str">
        <f t="shared" si="13"/>
        <v>D</v>
      </c>
      <c r="H192" s="51" t="str">
        <f t="shared" si="15"/>
        <v/>
      </c>
      <c r="I192" s="51">
        <f t="shared" si="15"/>
        <v>1</v>
      </c>
      <c r="J192" s="51">
        <f t="shared" si="15"/>
        <v>1</v>
      </c>
      <c r="K192" s="37"/>
      <c r="L192" s="37" t="s">
        <v>47</v>
      </c>
      <c r="M192" s="37"/>
      <c r="N192" s="37"/>
      <c r="O192" s="37"/>
      <c r="P192" s="37"/>
      <c r="Q192" s="37"/>
      <c r="R192" s="37"/>
      <c r="S192" s="37" t="s">
        <v>47</v>
      </c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M192" s="38"/>
      <c r="AN192" s="38"/>
      <c r="AO192" s="38"/>
      <c r="AP192" s="38"/>
      <c r="AQ192" s="38"/>
      <c r="AR192" s="38" t="s">
        <v>47</v>
      </c>
      <c r="AS192" s="38" t="s">
        <v>47</v>
      </c>
      <c r="AT192" s="38"/>
      <c r="AU192" s="38"/>
      <c r="AV192" s="38"/>
      <c r="AW192" s="38"/>
      <c r="AX192" s="38"/>
      <c r="AY192" s="38"/>
      <c r="AZ192" s="38"/>
      <c r="BA192" s="38"/>
      <c r="BB192" s="38"/>
      <c r="BC192" s="38"/>
      <c r="BD192" s="38"/>
      <c r="BE192" s="77">
        <f t="shared" si="14"/>
        <v>2</v>
      </c>
      <c r="BF192" s="38"/>
    </row>
    <row r="193" spans="1:58" ht="22.5" hidden="1" customHeight="1">
      <c r="A193" s="33" t="str">
        <f>IF(OR(ISBLANK(E193),ISBLANK(C193)),"",IF(COUNTIF($E$8:E193,E193)&gt;1,"",(MAX($A$7:A192)+1)))</f>
        <v/>
      </c>
      <c r="B193" s="34">
        <f>IF(ISBLANK(C193),"",SUBTOTAL(3,$C$8:C193))</f>
        <v>44</v>
      </c>
      <c r="C193" s="80" t="s">
        <v>461</v>
      </c>
      <c r="D193" s="52" t="s">
        <v>462</v>
      </c>
      <c r="E193" s="50" t="s">
        <v>434</v>
      </c>
      <c r="F193" s="35" t="str">
        <f t="shared" si="12"/>
        <v/>
      </c>
      <c r="G193" s="36" t="str">
        <f t="shared" si="13"/>
        <v>D</v>
      </c>
      <c r="H193" s="51" t="str">
        <f t="shared" si="15"/>
        <v/>
      </c>
      <c r="I193" s="51">
        <f t="shared" si="15"/>
        <v>1</v>
      </c>
      <c r="J193" s="51" t="str">
        <f t="shared" si="15"/>
        <v/>
      </c>
      <c r="K193" s="37"/>
      <c r="L193" s="37" t="s">
        <v>47</v>
      </c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M193" s="38"/>
      <c r="AN193" s="38"/>
      <c r="AO193" s="38"/>
      <c r="AP193" s="38"/>
      <c r="AQ193" s="38"/>
      <c r="AR193" s="38" t="s">
        <v>47</v>
      </c>
      <c r="AS193" s="38" t="s">
        <v>47</v>
      </c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77">
        <f t="shared" si="14"/>
        <v>2</v>
      </c>
      <c r="BF193" s="38"/>
    </row>
    <row r="194" spans="1:58" ht="22.5" hidden="1" customHeight="1">
      <c r="A194" s="33" t="str">
        <f>IF(OR(ISBLANK(E194),ISBLANK(C194)),"",IF(COUNTIF($E$8:E194,E194)&gt;1,"",(MAX($A$7:A193)+1)))</f>
        <v/>
      </c>
      <c r="B194" s="34">
        <f>IF(ISBLANK(C194),"",SUBTOTAL(3,$C$8:C194))</f>
        <v>44</v>
      </c>
      <c r="C194" s="80" t="s">
        <v>463</v>
      </c>
      <c r="D194" s="52" t="s">
        <v>464</v>
      </c>
      <c r="E194" s="50" t="s">
        <v>434</v>
      </c>
      <c r="F194" s="35" t="str">
        <f t="shared" si="12"/>
        <v/>
      </c>
      <c r="G194" s="36" t="str">
        <f t="shared" si="13"/>
        <v>C</v>
      </c>
      <c r="H194" s="51" t="str">
        <f t="shared" si="15"/>
        <v/>
      </c>
      <c r="I194" s="51">
        <f t="shared" si="15"/>
        <v>2</v>
      </c>
      <c r="J194" s="51" t="str">
        <f t="shared" si="15"/>
        <v/>
      </c>
      <c r="K194" s="37"/>
      <c r="L194" s="37" t="s">
        <v>47</v>
      </c>
      <c r="M194" s="37"/>
      <c r="N194" s="37"/>
      <c r="O194" s="37"/>
      <c r="P194" s="37"/>
      <c r="Q194" s="37"/>
      <c r="R194" s="37" t="s">
        <v>47</v>
      </c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 t="s">
        <v>47</v>
      </c>
      <c r="AX194" s="38"/>
      <c r="AY194" s="38"/>
      <c r="AZ194" s="38"/>
      <c r="BA194" s="38"/>
      <c r="BB194" s="38"/>
      <c r="BC194" s="38"/>
      <c r="BD194" s="38"/>
      <c r="BE194" s="77">
        <f t="shared" si="14"/>
        <v>1</v>
      </c>
      <c r="BF194" s="38"/>
    </row>
    <row r="195" spans="1:58" ht="22.5" hidden="1" customHeight="1">
      <c r="A195" s="33" t="str">
        <f>IF(OR(ISBLANK(E195),ISBLANK(C195)),"",IF(COUNTIF($E$8:E195,E195)&gt;1,"",(MAX($A$7:A194)+1)))</f>
        <v/>
      </c>
      <c r="B195" s="34">
        <f>IF(ISBLANK(C195),"",SUBTOTAL(3,$C$8:C195))</f>
        <v>44</v>
      </c>
      <c r="C195" s="78" t="s">
        <v>465</v>
      </c>
      <c r="D195" s="50" t="s">
        <v>466</v>
      </c>
      <c r="E195" s="50" t="s">
        <v>434</v>
      </c>
      <c r="F195" s="35" t="str">
        <f t="shared" si="12"/>
        <v/>
      </c>
      <c r="G195" s="36" t="str">
        <f t="shared" si="13"/>
        <v>A</v>
      </c>
      <c r="H195" s="51">
        <f t="shared" si="15"/>
        <v>4</v>
      </c>
      <c r="I195" s="51" t="str">
        <f t="shared" si="15"/>
        <v/>
      </c>
      <c r="J195" s="51" t="str">
        <f t="shared" si="15"/>
        <v/>
      </c>
      <c r="K195" s="37" t="s">
        <v>47</v>
      </c>
      <c r="L195" s="37"/>
      <c r="M195" s="37"/>
      <c r="N195" s="37" t="s">
        <v>47</v>
      </c>
      <c r="O195" s="37"/>
      <c r="P195" s="37"/>
      <c r="Q195" s="37" t="s">
        <v>47</v>
      </c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 t="s">
        <v>47</v>
      </c>
      <c r="AG195" s="37"/>
      <c r="AH195" s="37"/>
      <c r="AI195" s="37"/>
      <c r="AJ195" s="37"/>
      <c r="AK195" s="37"/>
      <c r="AM195" s="38"/>
      <c r="AN195" s="38"/>
      <c r="AO195" s="38"/>
      <c r="AP195" s="38"/>
      <c r="AQ195" s="38"/>
      <c r="AR195" s="38"/>
      <c r="AS195" s="38"/>
      <c r="AT195" s="38"/>
      <c r="AU195" s="38" t="s">
        <v>47</v>
      </c>
      <c r="AV195" s="38" t="s">
        <v>47</v>
      </c>
      <c r="AW195" s="38" t="s">
        <v>47</v>
      </c>
      <c r="AX195" s="38"/>
      <c r="AY195" s="38" t="s">
        <v>47</v>
      </c>
      <c r="AZ195" s="38"/>
      <c r="BA195" s="38" t="s">
        <v>47</v>
      </c>
      <c r="BB195" s="38"/>
      <c r="BC195" s="38"/>
      <c r="BD195" s="38" t="s">
        <v>47</v>
      </c>
      <c r="BE195" s="77">
        <f t="shared" si="14"/>
        <v>6</v>
      </c>
      <c r="BF195" s="38"/>
    </row>
    <row r="196" spans="1:58" ht="22.5" hidden="1" customHeight="1">
      <c r="A196" s="33" t="str">
        <f>IF(OR(ISBLANK(E196),ISBLANK(C196)),"",IF(COUNTIF($E$8:E196,E196)&gt;1,"",(MAX($A$7:A195)+1)))</f>
        <v/>
      </c>
      <c r="B196" s="34">
        <f>IF(ISBLANK(C196),"",SUBTOTAL(3,$C$8:C196))</f>
        <v>44</v>
      </c>
      <c r="C196" s="80" t="s">
        <v>467</v>
      </c>
      <c r="D196" s="50" t="s">
        <v>468</v>
      </c>
      <c r="E196" s="50" t="s">
        <v>434</v>
      </c>
      <c r="F196" s="35" t="str">
        <f t="shared" si="12"/>
        <v/>
      </c>
      <c r="G196" s="36" t="str">
        <f t="shared" si="13"/>
        <v>D</v>
      </c>
      <c r="H196" s="51" t="str">
        <f t="shared" si="15"/>
        <v/>
      </c>
      <c r="I196" s="51">
        <f t="shared" si="15"/>
        <v>1</v>
      </c>
      <c r="J196" s="51" t="str">
        <f t="shared" si="15"/>
        <v/>
      </c>
      <c r="K196" s="37"/>
      <c r="L196" s="37" t="s">
        <v>47</v>
      </c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M196" s="38"/>
      <c r="AN196" s="38"/>
      <c r="AO196" s="38"/>
      <c r="AP196" s="38"/>
      <c r="AQ196" s="38"/>
      <c r="AR196" s="38" t="s">
        <v>47</v>
      </c>
      <c r="AS196" s="38"/>
      <c r="AT196" s="38"/>
      <c r="AU196" s="38"/>
      <c r="AV196" s="38"/>
      <c r="AW196" s="38" t="s">
        <v>47</v>
      </c>
      <c r="AX196" s="38"/>
      <c r="AY196" s="38"/>
      <c r="AZ196" s="38"/>
      <c r="BA196" s="38"/>
      <c r="BB196" s="38"/>
      <c r="BC196" s="38"/>
      <c r="BD196" s="38"/>
      <c r="BE196" s="77">
        <f t="shared" si="14"/>
        <v>2</v>
      </c>
      <c r="BF196" s="38"/>
    </row>
    <row r="197" spans="1:58" ht="22.5" hidden="1" customHeight="1">
      <c r="A197" s="33" t="str">
        <f>IF(OR(ISBLANK(E197),ISBLANK(C197)),"",IF(COUNTIF($E$8:E197,E197)&gt;1,"",(MAX($A$7:A196)+1)))</f>
        <v/>
      </c>
      <c r="B197" s="34">
        <f>IF(ISBLANK(C197),"",SUBTOTAL(3,$C$8:C197))</f>
        <v>44</v>
      </c>
      <c r="C197" s="80" t="s">
        <v>469</v>
      </c>
      <c r="D197" s="50" t="s">
        <v>470</v>
      </c>
      <c r="E197" s="50" t="s">
        <v>434</v>
      </c>
      <c r="F197" s="35" t="str">
        <f t="shared" si="12"/>
        <v/>
      </c>
      <c r="G197" s="36" t="str">
        <f t="shared" si="13"/>
        <v>D</v>
      </c>
      <c r="H197" s="51" t="str">
        <f t="shared" si="15"/>
        <v/>
      </c>
      <c r="I197" s="51">
        <f t="shared" si="15"/>
        <v>1</v>
      </c>
      <c r="J197" s="51">
        <f t="shared" si="15"/>
        <v>1</v>
      </c>
      <c r="K197" s="37"/>
      <c r="L197" s="37"/>
      <c r="M197" s="37" t="s">
        <v>47</v>
      </c>
      <c r="N197" s="37"/>
      <c r="O197" s="37"/>
      <c r="P197" s="37"/>
      <c r="Q197" s="37"/>
      <c r="R197" s="37" t="s">
        <v>47</v>
      </c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M197" s="38"/>
      <c r="AN197" s="38"/>
      <c r="AO197" s="38"/>
      <c r="AP197" s="38"/>
      <c r="AQ197" s="38"/>
      <c r="AR197" s="38"/>
      <c r="AS197" s="38" t="s">
        <v>47</v>
      </c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77">
        <f t="shared" si="14"/>
        <v>1</v>
      </c>
      <c r="BF197" s="38"/>
    </row>
    <row r="198" spans="1:58" ht="22.5" hidden="1" customHeight="1">
      <c r="A198" s="33" t="str">
        <f>IF(OR(ISBLANK(E198),ISBLANK(C198)),"",IF(COUNTIF($E$8:E198,E198)&gt;1,"",(MAX($A$7:A197)+1)))</f>
        <v/>
      </c>
      <c r="B198" s="34">
        <f>IF(ISBLANK(C198),"",SUBTOTAL(3,$C$8:C198))</f>
        <v>44</v>
      </c>
      <c r="C198" s="80" t="s">
        <v>471</v>
      </c>
      <c r="D198" s="50" t="s">
        <v>472</v>
      </c>
      <c r="E198" s="50" t="s">
        <v>434</v>
      </c>
      <c r="F198" s="35" t="str">
        <f t="shared" si="12"/>
        <v/>
      </c>
      <c r="G198" s="36" t="str">
        <f t="shared" si="13"/>
        <v>C</v>
      </c>
      <c r="H198" s="51" t="str">
        <f t="shared" si="15"/>
        <v/>
      </c>
      <c r="I198" s="51">
        <f t="shared" si="15"/>
        <v>2</v>
      </c>
      <c r="J198" s="51" t="str">
        <f t="shared" si="15"/>
        <v/>
      </c>
      <c r="K198" s="37"/>
      <c r="L198" s="37" t="s">
        <v>47</v>
      </c>
      <c r="M198" s="37"/>
      <c r="N198" s="37"/>
      <c r="O198" s="37"/>
      <c r="P198" s="37"/>
      <c r="Q198" s="37"/>
      <c r="R198" s="37" t="s">
        <v>47</v>
      </c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M198" s="38"/>
      <c r="AN198" s="38"/>
      <c r="AO198" s="38"/>
      <c r="AP198" s="38"/>
      <c r="AQ198" s="38"/>
      <c r="AR198" s="38"/>
      <c r="AS198" s="38" t="s">
        <v>47</v>
      </c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77">
        <f t="shared" si="14"/>
        <v>1</v>
      </c>
      <c r="BF198" s="38"/>
    </row>
    <row r="199" spans="1:58" ht="22.5" hidden="1" customHeight="1">
      <c r="A199" s="33" t="str">
        <f>IF(OR(ISBLANK(E199),ISBLANK(C199)),"",IF(COUNTIF($E$8:E199,E199)&gt;1,"",(MAX($A$7:A198)+1)))</f>
        <v/>
      </c>
      <c r="B199" s="34">
        <f>IF(ISBLANK(C199),"",SUBTOTAL(3,$C$8:C199))</f>
        <v>44</v>
      </c>
      <c r="C199" s="80" t="s">
        <v>473</v>
      </c>
      <c r="D199" s="50" t="s">
        <v>474</v>
      </c>
      <c r="E199" s="50" t="s">
        <v>434</v>
      </c>
      <c r="F199" s="35" t="str">
        <f t="shared" si="12"/>
        <v/>
      </c>
      <c r="G199" s="36" t="str">
        <f t="shared" si="13"/>
        <v>A</v>
      </c>
      <c r="H199" s="51">
        <f t="shared" si="15"/>
        <v>3</v>
      </c>
      <c r="I199" s="51">
        <f t="shared" si="15"/>
        <v>2</v>
      </c>
      <c r="J199" s="51" t="str">
        <f t="shared" si="15"/>
        <v/>
      </c>
      <c r="K199" s="37" t="s">
        <v>47</v>
      </c>
      <c r="L199" s="37"/>
      <c r="M199" s="37"/>
      <c r="N199" s="37"/>
      <c r="O199" s="37" t="s">
        <v>47</v>
      </c>
      <c r="P199" s="37"/>
      <c r="Q199" s="37" t="s">
        <v>47</v>
      </c>
      <c r="R199" s="37"/>
      <c r="S199" s="37"/>
      <c r="T199" s="37"/>
      <c r="U199" s="37"/>
      <c r="V199" s="37"/>
      <c r="W199" s="37"/>
      <c r="X199" s="37" t="s">
        <v>47</v>
      </c>
      <c r="Y199" s="37"/>
      <c r="Z199" s="37"/>
      <c r="AA199" s="37"/>
      <c r="AB199" s="37"/>
      <c r="AC199" s="37"/>
      <c r="AD199" s="37"/>
      <c r="AE199" s="37"/>
      <c r="AF199" s="37" t="s">
        <v>47</v>
      </c>
      <c r="AG199" s="37"/>
      <c r="AH199" s="37"/>
      <c r="AI199" s="37"/>
      <c r="AJ199" s="37"/>
      <c r="AK199" s="37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 t="s">
        <v>47</v>
      </c>
      <c r="AX199" s="38"/>
      <c r="AY199" s="38" t="s">
        <v>47</v>
      </c>
      <c r="AZ199" s="38"/>
      <c r="BA199" s="38"/>
      <c r="BB199" s="38" t="s">
        <v>47</v>
      </c>
      <c r="BC199" s="38" t="s">
        <v>47</v>
      </c>
      <c r="BD199" s="38"/>
      <c r="BE199" s="77">
        <f t="shared" si="14"/>
        <v>4</v>
      </c>
      <c r="BF199" s="38"/>
    </row>
    <row r="200" spans="1:58" ht="22.5" hidden="1" customHeight="1">
      <c r="A200" s="33" t="str">
        <f>IF(OR(ISBLANK(E200),ISBLANK(C200)),"",IF(COUNTIF($E$8:E200,E200)&gt;1,"",(MAX($A$7:A199)+1)))</f>
        <v/>
      </c>
      <c r="B200" s="34">
        <f>IF(ISBLANK(C200),"",SUBTOTAL(3,$C$8:C200))</f>
        <v>44</v>
      </c>
      <c r="C200" s="80" t="s">
        <v>475</v>
      </c>
      <c r="D200" s="50" t="s">
        <v>476</v>
      </c>
      <c r="E200" s="50" t="s">
        <v>434</v>
      </c>
      <c r="F200" s="35" t="str">
        <f t="shared" ref="F200:F263" si="16">IFERROR(IF(OR(ISBLANK($C200),B200=""),"",INDEX(Luonggio,MATCH($C200,MaNVLuong,0))),"")</f>
        <v/>
      </c>
      <c r="G200" s="36" t="str">
        <f t="shared" si="13"/>
        <v>A</v>
      </c>
      <c r="H200" s="51">
        <f t="shared" si="15"/>
        <v>3</v>
      </c>
      <c r="I200" s="51">
        <f t="shared" si="15"/>
        <v>1</v>
      </c>
      <c r="J200" s="51" t="str">
        <f t="shared" si="15"/>
        <v/>
      </c>
      <c r="K200" s="37" t="s">
        <v>47</v>
      </c>
      <c r="L200" s="37"/>
      <c r="M200" s="37"/>
      <c r="N200" s="37" t="s">
        <v>47</v>
      </c>
      <c r="O200" s="37"/>
      <c r="P200" s="37"/>
      <c r="Q200" s="37"/>
      <c r="R200" s="37" t="s">
        <v>47</v>
      </c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 t="s">
        <v>47</v>
      </c>
      <c r="AG200" s="37"/>
      <c r="AH200" s="37"/>
      <c r="AI200" s="37"/>
      <c r="AJ200" s="37"/>
      <c r="AK200" s="37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 t="s">
        <v>47</v>
      </c>
      <c r="AX200" s="38"/>
      <c r="AY200" s="38" t="s">
        <v>47</v>
      </c>
      <c r="AZ200" s="38"/>
      <c r="BA200" s="38"/>
      <c r="BB200" s="38"/>
      <c r="BC200" s="38"/>
      <c r="BD200" s="38" t="s">
        <v>47</v>
      </c>
      <c r="BE200" s="77">
        <f t="shared" si="14"/>
        <v>3</v>
      </c>
      <c r="BF200" s="38"/>
    </row>
    <row r="201" spans="1:58" ht="22.5" hidden="1" customHeight="1">
      <c r="A201" s="33" t="str">
        <f>IF(OR(ISBLANK(E201),ISBLANK(C201)),"",IF(COUNTIF($E$8:E201,E201)&gt;1,"",(MAX($A$7:A200)+1)))</f>
        <v/>
      </c>
      <c r="B201" s="34">
        <f>IF(ISBLANK(C201),"",SUBTOTAL(3,$C$8:C201))</f>
        <v>44</v>
      </c>
      <c r="C201" s="80" t="s">
        <v>477</v>
      </c>
      <c r="D201" s="50" t="s">
        <v>478</v>
      </c>
      <c r="E201" s="50" t="s">
        <v>434</v>
      </c>
      <c r="F201" s="35" t="str">
        <f t="shared" si="16"/>
        <v/>
      </c>
      <c r="G201" s="36" t="str">
        <f t="shared" ref="G201:G264" si="17">IF(COUNTIF(H201:J201,"&gt;0")=0,"",IF(AND(OR(OR(SUM(H201)&gt;=2)),SUM(H201:J201)&gt;=4,OR(OR(SUM(I201)&gt;=1))),"A",IF(OR(OR(SUM(H201)&gt;=3)),"A",IF(AND(SUM(I201)&gt;=2,SUM(H201)=1),"B",IF(AND(SUM(I201)&gt;=1,SUM(H201)=2),"B",IF(H201=2,"B",IF(SUM(I201)&gt;=2,"C",IF(H201=1,"C",IF(AND(H201=1,I201=1),"C",IF(AND(SUM(H201:I201)=0,SUM(J201)&lt;=1),"D","D"))))))))))</f>
        <v>C</v>
      </c>
      <c r="H201" s="51">
        <f t="shared" si="15"/>
        <v>1</v>
      </c>
      <c r="I201" s="51" t="str">
        <f t="shared" si="15"/>
        <v/>
      </c>
      <c r="J201" s="51" t="str">
        <f t="shared" si="15"/>
        <v/>
      </c>
      <c r="K201" s="37" t="s">
        <v>47</v>
      </c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 t="s">
        <v>47</v>
      </c>
      <c r="AX201" s="38"/>
      <c r="AY201" s="38"/>
      <c r="AZ201" s="38"/>
      <c r="BA201" s="38" t="s">
        <v>47</v>
      </c>
      <c r="BB201" s="38"/>
      <c r="BC201" s="38"/>
      <c r="BD201" s="38"/>
      <c r="BE201" s="77">
        <f t="shared" ref="BE201:BE264" si="18">COUNTIF(AM201:BD201,"X")</f>
        <v>2</v>
      </c>
      <c r="BF201" s="38"/>
    </row>
    <row r="202" spans="1:58" ht="22.5" hidden="1" customHeight="1">
      <c r="A202" s="33" t="str">
        <f>IF(OR(ISBLANK(E202),ISBLANK(C202)),"",IF(COUNTIF($E$8:E202,E202)&gt;1,"",(MAX($A$7:A201)+1)))</f>
        <v/>
      </c>
      <c r="B202" s="34">
        <f>IF(ISBLANK(C202),"",SUBTOTAL(3,$C$8:C202))</f>
        <v>44</v>
      </c>
      <c r="C202" s="80" t="s">
        <v>479</v>
      </c>
      <c r="D202" s="50" t="s">
        <v>480</v>
      </c>
      <c r="E202" s="50" t="s">
        <v>434</v>
      </c>
      <c r="F202" s="35" t="str">
        <f t="shared" si="16"/>
        <v/>
      </c>
      <c r="G202" s="36" t="str">
        <f t="shared" si="17"/>
        <v>D</v>
      </c>
      <c r="H202" s="51" t="str">
        <f t="shared" si="15"/>
        <v/>
      </c>
      <c r="I202" s="51">
        <f t="shared" si="15"/>
        <v>1</v>
      </c>
      <c r="J202" s="51" t="str">
        <f t="shared" si="15"/>
        <v/>
      </c>
      <c r="K202" s="37"/>
      <c r="L202" s="37" t="s">
        <v>47</v>
      </c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 t="s">
        <v>47</v>
      </c>
      <c r="BD202" s="38"/>
      <c r="BE202" s="77">
        <f t="shared" si="18"/>
        <v>1</v>
      </c>
      <c r="BF202" s="38"/>
    </row>
    <row r="203" spans="1:58" ht="22.5" hidden="1" customHeight="1">
      <c r="A203" s="33" t="str">
        <f>IF(OR(ISBLANK(E203),ISBLANK(C203)),"",IF(COUNTIF($E$8:E203,E203)&gt;1,"",(MAX($A$7:A202)+1)))</f>
        <v/>
      </c>
      <c r="B203" s="34">
        <f>IF(ISBLANK(C203),"",SUBTOTAL(3,$C$8:C203))</f>
        <v>44</v>
      </c>
      <c r="C203" s="79" t="s">
        <v>481</v>
      </c>
      <c r="D203" s="50" t="s">
        <v>482</v>
      </c>
      <c r="E203" s="50" t="s">
        <v>434</v>
      </c>
      <c r="F203" s="35" t="str">
        <f t="shared" si="16"/>
        <v/>
      </c>
      <c r="G203" s="36" t="str">
        <f t="shared" si="17"/>
        <v>D</v>
      </c>
      <c r="H203" s="51" t="str">
        <f t="shared" si="15"/>
        <v/>
      </c>
      <c r="I203" s="51" t="str">
        <f t="shared" si="15"/>
        <v/>
      </c>
      <c r="J203" s="51">
        <f t="shared" si="15"/>
        <v>1</v>
      </c>
      <c r="K203" s="37"/>
      <c r="L203" s="37"/>
      <c r="M203" s="37" t="s">
        <v>47</v>
      </c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M203" s="38" t="s">
        <v>47</v>
      </c>
      <c r="AN203" s="38"/>
      <c r="AO203" s="38"/>
      <c r="AP203" s="38"/>
      <c r="AQ203" s="38"/>
      <c r="AR203" s="38" t="s">
        <v>47</v>
      </c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77">
        <f t="shared" si="18"/>
        <v>2</v>
      </c>
      <c r="BF203" s="38"/>
    </row>
    <row r="204" spans="1:58" ht="22.5" hidden="1" customHeight="1">
      <c r="A204" s="33" t="str">
        <f>IF(OR(ISBLANK(E204),ISBLANK(C204)),"",IF(COUNTIF($E$8:E204,E204)&gt;1,"",(MAX($A$7:A203)+1)))</f>
        <v/>
      </c>
      <c r="B204" s="34">
        <f>IF(ISBLANK(C204),"",SUBTOTAL(3,$C$8:C204))</f>
        <v>44</v>
      </c>
      <c r="C204" s="79" t="s">
        <v>483</v>
      </c>
      <c r="D204" s="50" t="s">
        <v>484</v>
      </c>
      <c r="E204" s="50" t="s">
        <v>434</v>
      </c>
      <c r="F204" s="35" t="str">
        <f t="shared" si="16"/>
        <v/>
      </c>
      <c r="G204" s="36" t="str">
        <f t="shared" si="17"/>
        <v>D</v>
      </c>
      <c r="H204" s="51" t="str">
        <f t="shared" si="15"/>
        <v/>
      </c>
      <c r="I204" s="51" t="str">
        <f t="shared" si="15"/>
        <v/>
      </c>
      <c r="J204" s="51">
        <f t="shared" si="15"/>
        <v>1</v>
      </c>
      <c r="K204" s="37"/>
      <c r="L204" s="37"/>
      <c r="M204" s="37" t="s">
        <v>47</v>
      </c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M204" s="38"/>
      <c r="AN204" s="38" t="s">
        <v>47</v>
      </c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77">
        <f t="shared" si="18"/>
        <v>1</v>
      </c>
      <c r="BF204" s="38"/>
    </row>
    <row r="205" spans="1:58" ht="22.5" hidden="1" customHeight="1">
      <c r="A205" s="33" t="str">
        <f>IF(OR(ISBLANK(E205),ISBLANK(C205)),"",IF(COUNTIF($E$8:E205,E205)&gt;1,"",(MAX($A$7:A204)+1)))</f>
        <v/>
      </c>
      <c r="B205" s="34">
        <f>IF(ISBLANK(C205),"",SUBTOTAL(3,$C$8:C205))</f>
        <v>44</v>
      </c>
      <c r="C205" s="79" t="s">
        <v>485</v>
      </c>
      <c r="D205" s="50" t="s">
        <v>486</v>
      </c>
      <c r="E205" s="50" t="s">
        <v>434</v>
      </c>
      <c r="F205" s="35" t="str">
        <f t="shared" si="16"/>
        <v/>
      </c>
      <c r="G205" s="36" t="str">
        <f t="shared" si="17"/>
        <v>C</v>
      </c>
      <c r="H205" s="51" t="str">
        <f t="shared" si="15"/>
        <v/>
      </c>
      <c r="I205" s="51">
        <f t="shared" si="15"/>
        <v>2</v>
      </c>
      <c r="J205" s="51">
        <f t="shared" si="15"/>
        <v>1</v>
      </c>
      <c r="K205" s="37"/>
      <c r="L205" s="37" t="s">
        <v>47</v>
      </c>
      <c r="M205" s="37"/>
      <c r="N205" s="37"/>
      <c r="O205" s="37" t="s">
        <v>47</v>
      </c>
      <c r="P205" s="37"/>
      <c r="Q205" s="37"/>
      <c r="R205" s="37"/>
      <c r="S205" s="37" t="s">
        <v>47</v>
      </c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 t="s">
        <v>47</v>
      </c>
      <c r="AZ205" s="38"/>
      <c r="BA205" s="38"/>
      <c r="BB205" s="38"/>
      <c r="BC205" s="38"/>
      <c r="BD205" s="38"/>
      <c r="BE205" s="77">
        <f t="shared" si="18"/>
        <v>1</v>
      </c>
      <c r="BF205" s="38"/>
    </row>
    <row r="206" spans="1:58" ht="22.5" hidden="1" customHeight="1">
      <c r="A206" s="33" t="str">
        <f>IF(OR(ISBLANK(E206),ISBLANK(C206)),"",IF(COUNTIF($E$8:E206,E206)&gt;1,"",(MAX($A$7:A205)+1)))</f>
        <v/>
      </c>
      <c r="B206" s="34">
        <f>IF(ISBLANK(C206),"",SUBTOTAL(3,$C$8:C206))</f>
        <v>44</v>
      </c>
      <c r="C206" s="78" t="s">
        <v>487</v>
      </c>
      <c r="D206" s="50" t="s">
        <v>488</v>
      </c>
      <c r="E206" s="50" t="s">
        <v>434</v>
      </c>
      <c r="F206" s="35" t="str">
        <f t="shared" si="16"/>
        <v/>
      </c>
      <c r="G206" s="36" t="str">
        <f t="shared" si="17"/>
        <v>A</v>
      </c>
      <c r="H206" s="51">
        <f t="shared" si="15"/>
        <v>2</v>
      </c>
      <c r="I206" s="51">
        <f t="shared" si="15"/>
        <v>2</v>
      </c>
      <c r="J206" s="51" t="str">
        <f t="shared" si="15"/>
        <v/>
      </c>
      <c r="K206" s="37" t="s">
        <v>47</v>
      </c>
      <c r="L206" s="37"/>
      <c r="M206" s="37"/>
      <c r="N206" s="37" t="s">
        <v>47</v>
      </c>
      <c r="O206" s="37"/>
      <c r="P206" s="37"/>
      <c r="Q206" s="37"/>
      <c r="R206" s="37" t="s">
        <v>47</v>
      </c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 t="s">
        <v>47</v>
      </c>
      <c r="AH206" s="37"/>
      <c r="AI206" s="37"/>
      <c r="AJ206" s="37"/>
      <c r="AK206" s="37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8"/>
      <c r="AY206" s="38" t="s">
        <v>47</v>
      </c>
      <c r="AZ206" s="38"/>
      <c r="BA206" s="38" t="s">
        <v>47</v>
      </c>
      <c r="BB206" s="38"/>
      <c r="BC206" s="38"/>
      <c r="BD206" s="38"/>
      <c r="BE206" s="77">
        <f t="shared" si="18"/>
        <v>2</v>
      </c>
      <c r="BF206" s="38"/>
    </row>
    <row r="207" spans="1:58" ht="22.5" hidden="1" customHeight="1">
      <c r="A207" s="33" t="str">
        <f>IF(OR(ISBLANK(E207),ISBLANK(C207)),"",IF(COUNTIF($E$8:E207,E207)&gt;1,"",(MAX($A$7:A206)+1)))</f>
        <v/>
      </c>
      <c r="B207" s="34">
        <f>IF(ISBLANK(C207),"",SUBTOTAL(3,$C$8:C207))</f>
        <v>44</v>
      </c>
      <c r="C207" s="79" t="s">
        <v>489</v>
      </c>
      <c r="D207" s="50" t="s">
        <v>490</v>
      </c>
      <c r="E207" s="50" t="s">
        <v>434</v>
      </c>
      <c r="F207" s="35" t="str">
        <f t="shared" si="16"/>
        <v/>
      </c>
      <c r="G207" s="36" t="str">
        <f t="shared" si="17"/>
        <v>C</v>
      </c>
      <c r="H207" s="51">
        <f t="shared" si="15"/>
        <v>1</v>
      </c>
      <c r="I207" s="51" t="str">
        <f t="shared" si="15"/>
        <v/>
      </c>
      <c r="J207" s="51" t="str">
        <f t="shared" si="15"/>
        <v/>
      </c>
      <c r="K207" s="37" t="s">
        <v>47</v>
      </c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M207" s="38"/>
      <c r="AN207" s="38"/>
      <c r="AO207" s="38"/>
      <c r="AP207" s="38"/>
      <c r="AQ207" s="38"/>
      <c r="AR207" s="38"/>
      <c r="AS207" s="38"/>
      <c r="AT207" s="38" t="s">
        <v>47</v>
      </c>
      <c r="AU207" s="38"/>
      <c r="AV207" s="38"/>
      <c r="AW207" s="38"/>
      <c r="AX207" s="38"/>
      <c r="AY207" s="38"/>
      <c r="AZ207" s="38"/>
      <c r="BA207" s="38"/>
      <c r="BB207" s="38"/>
      <c r="BC207" s="38"/>
      <c r="BD207" s="38"/>
      <c r="BE207" s="77">
        <f t="shared" si="18"/>
        <v>1</v>
      </c>
      <c r="BF207" s="38"/>
    </row>
    <row r="208" spans="1:58" ht="22.5" hidden="1" customHeight="1">
      <c r="A208" s="33" t="str">
        <f>IF(OR(ISBLANK(E208),ISBLANK(C208)),"",IF(COUNTIF($E$8:E208,E208)&gt;1,"",(MAX($A$7:A207)+1)))</f>
        <v/>
      </c>
      <c r="B208" s="34">
        <f>IF(ISBLANK(C208),"",SUBTOTAL(3,$C$8:C208))</f>
        <v>44</v>
      </c>
      <c r="C208" s="78" t="s">
        <v>491</v>
      </c>
      <c r="D208" s="50" t="s">
        <v>492</v>
      </c>
      <c r="E208" s="50" t="s">
        <v>434</v>
      </c>
      <c r="F208" s="35" t="str">
        <f t="shared" si="16"/>
        <v/>
      </c>
      <c r="G208" s="36" t="str">
        <f t="shared" si="17"/>
        <v>C</v>
      </c>
      <c r="H208" s="51">
        <f t="shared" si="15"/>
        <v>1</v>
      </c>
      <c r="I208" s="51" t="str">
        <f t="shared" si="15"/>
        <v/>
      </c>
      <c r="J208" s="51" t="str">
        <f t="shared" si="15"/>
        <v/>
      </c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 t="s">
        <v>47</v>
      </c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M208" s="38"/>
      <c r="AN208" s="38"/>
      <c r="AO208" s="38" t="s">
        <v>47</v>
      </c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77">
        <f t="shared" si="18"/>
        <v>1</v>
      </c>
      <c r="BF208" s="38"/>
    </row>
    <row r="209" spans="1:58" ht="22.5" hidden="1" customHeight="1">
      <c r="A209" s="33" t="str">
        <f>IF(OR(ISBLANK(E209),ISBLANK(C209)),"",IF(COUNTIF($E$8:E209,E209)&gt;1,"",(MAX($A$7:A208)+1)))</f>
        <v/>
      </c>
      <c r="B209" s="34">
        <f>IF(ISBLANK(C209),"",SUBTOTAL(3,$C$8:C209))</f>
        <v>44</v>
      </c>
      <c r="C209" s="78" t="s">
        <v>493</v>
      </c>
      <c r="D209" s="50" t="s">
        <v>494</v>
      </c>
      <c r="E209" s="50" t="s">
        <v>434</v>
      </c>
      <c r="F209" s="35" t="str">
        <f t="shared" si="16"/>
        <v/>
      </c>
      <c r="G209" s="36" t="str">
        <f t="shared" si="17"/>
        <v>C</v>
      </c>
      <c r="H209" s="51">
        <f t="shared" si="15"/>
        <v>1</v>
      </c>
      <c r="I209" s="51">
        <f t="shared" si="15"/>
        <v>1</v>
      </c>
      <c r="J209" s="51">
        <f t="shared" si="15"/>
        <v>1</v>
      </c>
      <c r="K209" s="37" t="s">
        <v>47</v>
      </c>
      <c r="L209" s="37"/>
      <c r="M209" s="37"/>
      <c r="N209" s="37"/>
      <c r="O209" s="37" t="s">
        <v>47</v>
      </c>
      <c r="P209" s="37"/>
      <c r="Q209" s="37"/>
      <c r="R209" s="37"/>
      <c r="S209" s="37" t="s">
        <v>47</v>
      </c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8"/>
      <c r="AY209" s="38" t="s">
        <v>47</v>
      </c>
      <c r="AZ209" s="38"/>
      <c r="BA209" s="38"/>
      <c r="BB209" s="38"/>
      <c r="BC209" s="38"/>
      <c r="BD209" s="38"/>
      <c r="BE209" s="77">
        <f t="shared" si="18"/>
        <v>1</v>
      </c>
      <c r="BF209" s="38"/>
    </row>
    <row r="210" spans="1:58" ht="22.5" hidden="1" customHeight="1">
      <c r="A210" s="33" t="str">
        <f>IF(OR(ISBLANK(E210),ISBLANK(C210)),"",IF(COUNTIF($E$8:E210,E210)&gt;1,"",(MAX($A$7:A209)+1)))</f>
        <v/>
      </c>
      <c r="B210" s="34">
        <f>IF(ISBLANK(C210),"",SUBTOTAL(3,$C$8:C210))</f>
        <v>44</v>
      </c>
      <c r="C210" s="78" t="s">
        <v>495</v>
      </c>
      <c r="D210" s="50" t="s">
        <v>496</v>
      </c>
      <c r="E210" s="50" t="s">
        <v>434</v>
      </c>
      <c r="F210" s="35" t="str">
        <f t="shared" si="16"/>
        <v/>
      </c>
      <c r="G210" s="36" t="str">
        <f t="shared" si="17"/>
        <v>B</v>
      </c>
      <c r="H210" s="51">
        <f t="shared" si="15"/>
        <v>1</v>
      </c>
      <c r="I210" s="51">
        <f t="shared" si="15"/>
        <v>2</v>
      </c>
      <c r="J210" s="51" t="str">
        <f t="shared" si="15"/>
        <v/>
      </c>
      <c r="K210" s="37" t="s">
        <v>47</v>
      </c>
      <c r="L210" s="37"/>
      <c r="M210" s="37"/>
      <c r="N210" s="37"/>
      <c r="O210" s="37" t="s">
        <v>47</v>
      </c>
      <c r="P210" s="37"/>
      <c r="Q210" s="37"/>
      <c r="R210" s="37" t="s">
        <v>47</v>
      </c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8"/>
      <c r="AY210" s="38"/>
      <c r="AZ210" s="38"/>
      <c r="BA210" s="38"/>
      <c r="BB210" s="38"/>
      <c r="BC210" s="38"/>
      <c r="BD210" s="38"/>
      <c r="BE210" s="77">
        <f t="shared" si="18"/>
        <v>0</v>
      </c>
      <c r="BF210" s="38"/>
    </row>
    <row r="211" spans="1:58" ht="22.5" hidden="1" customHeight="1">
      <c r="A211" s="33" t="str">
        <f>IF(OR(ISBLANK(E211),ISBLANK(C211)),"",IF(COUNTIF($E$8:E211,E211)&gt;1,"",(MAX($A$7:A210)+1)))</f>
        <v/>
      </c>
      <c r="B211" s="34">
        <f>IF(ISBLANK(C211),"",SUBTOTAL(3,$C$8:C211))</f>
        <v>44</v>
      </c>
      <c r="C211" s="78" t="s">
        <v>497</v>
      </c>
      <c r="D211" s="50" t="s">
        <v>498</v>
      </c>
      <c r="E211" s="50" t="s">
        <v>434</v>
      </c>
      <c r="F211" s="35" t="str">
        <f t="shared" si="16"/>
        <v/>
      </c>
      <c r="G211" s="36" t="str">
        <f t="shared" si="17"/>
        <v>D</v>
      </c>
      <c r="H211" s="51" t="str">
        <f t="shared" si="15"/>
        <v/>
      </c>
      <c r="I211" s="51">
        <f t="shared" si="15"/>
        <v>1</v>
      </c>
      <c r="J211" s="51">
        <f t="shared" si="15"/>
        <v>1</v>
      </c>
      <c r="K211" s="37"/>
      <c r="L211" s="37" t="s">
        <v>47</v>
      </c>
      <c r="M211" s="37"/>
      <c r="N211" s="37"/>
      <c r="O211" s="37"/>
      <c r="P211" s="37"/>
      <c r="Q211" s="37"/>
      <c r="R211" s="37"/>
      <c r="S211" s="37" t="s">
        <v>47</v>
      </c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M211" s="38"/>
      <c r="AN211" s="38"/>
      <c r="AO211" s="38"/>
      <c r="AP211" s="38"/>
      <c r="AQ211" s="38"/>
      <c r="AR211" s="38"/>
      <c r="AS211" s="38" t="s">
        <v>47</v>
      </c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77">
        <f t="shared" si="18"/>
        <v>1</v>
      </c>
      <c r="BF211" s="38"/>
    </row>
    <row r="212" spans="1:58" ht="22.5" hidden="1" customHeight="1">
      <c r="A212" s="33" t="str">
        <f>IF(OR(ISBLANK(E212),ISBLANK(C212)),"",IF(COUNTIF($E$8:E212,E212)&gt;1,"",(MAX($A$7:A211)+1)))</f>
        <v/>
      </c>
      <c r="B212" s="34">
        <f>IF(ISBLANK(C212),"",SUBTOTAL(3,$C$8:C212))</f>
        <v>44</v>
      </c>
      <c r="C212" s="78" t="s">
        <v>499</v>
      </c>
      <c r="D212" s="50" t="s">
        <v>500</v>
      </c>
      <c r="E212" s="50" t="s">
        <v>434</v>
      </c>
      <c r="F212" s="35" t="str">
        <f t="shared" si="16"/>
        <v/>
      </c>
      <c r="G212" s="36" t="str">
        <f t="shared" si="17"/>
        <v>D</v>
      </c>
      <c r="H212" s="51" t="str">
        <f t="shared" si="15"/>
        <v/>
      </c>
      <c r="I212" s="51">
        <f t="shared" si="15"/>
        <v>1</v>
      </c>
      <c r="J212" s="51" t="str">
        <f t="shared" si="15"/>
        <v/>
      </c>
      <c r="K212" s="37"/>
      <c r="L212" s="37" t="s">
        <v>47</v>
      </c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M212" s="38"/>
      <c r="AN212" s="38"/>
      <c r="AO212" s="38"/>
      <c r="AP212" s="38"/>
      <c r="AQ212" s="38"/>
      <c r="AR212" s="38"/>
      <c r="AS212" s="38" t="s">
        <v>47</v>
      </c>
      <c r="AT212" s="38"/>
      <c r="AU212" s="38"/>
      <c r="AV212" s="38"/>
      <c r="AW212" s="38"/>
      <c r="AX212" s="38"/>
      <c r="AY212" s="38"/>
      <c r="AZ212" s="38"/>
      <c r="BA212" s="38"/>
      <c r="BB212" s="38"/>
      <c r="BC212" s="38"/>
      <c r="BD212" s="38"/>
      <c r="BE212" s="77">
        <f t="shared" si="18"/>
        <v>1</v>
      </c>
      <c r="BF212" s="38"/>
    </row>
    <row r="213" spans="1:58" ht="22.5" hidden="1" customHeight="1">
      <c r="A213" s="33" t="str">
        <f>IF(OR(ISBLANK(E213),ISBLANK(C213)),"",IF(COUNTIF($E$8:E213,E213)&gt;1,"",(MAX($A$7:A212)+1)))</f>
        <v/>
      </c>
      <c r="B213" s="34">
        <f>IF(ISBLANK(C213),"",SUBTOTAL(3,$C$8:C213))</f>
        <v>44</v>
      </c>
      <c r="C213" s="78" t="s">
        <v>501</v>
      </c>
      <c r="D213" s="50" t="s">
        <v>502</v>
      </c>
      <c r="E213" s="50" t="s">
        <v>434</v>
      </c>
      <c r="F213" s="35" t="str">
        <f t="shared" si="16"/>
        <v/>
      </c>
      <c r="G213" s="36" t="str">
        <f t="shared" si="17"/>
        <v>C</v>
      </c>
      <c r="H213" s="51" t="str">
        <f t="shared" si="15"/>
        <v/>
      </c>
      <c r="I213" s="51">
        <f t="shared" si="15"/>
        <v>2</v>
      </c>
      <c r="J213" s="51" t="str">
        <f t="shared" si="15"/>
        <v/>
      </c>
      <c r="K213" s="37"/>
      <c r="L213" s="37" t="s">
        <v>47</v>
      </c>
      <c r="M213" s="37"/>
      <c r="N213" s="37"/>
      <c r="O213" s="37"/>
      <c r="P213" s="37"/>
      <c r="Q213" s="37"/>
      <c r="R213" s="37" t="s">
        <v>47</v>
      </c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M213" s="38"/>
      <c r="AN213" s="38"/>
      <c r="AO213" s="38"/>
      <c r="AP213" s="38"/>
      <c r="AQ213" s="38"/>
      <c r="AR213" s="38"/>
      <c r="AS213" s="38" t="s">
        <v>47</v>
      </c>
      <c r="AT213" s="38"/>
      <c r="AU213" s="38"/>
      <c r="AV213" s="38"/>
      <c r="AW213" s="38"/>
      <c r="AX213" s="38"/>
      <c r="AY213" s="38"/>
      <c r="AZ213" s="38"/>
      <c r="BA213" s="38"/>
      <c r="BB213" s="38"/>
      <c r="BC213" s="38"/>
      <c r="BD213" s="38"/>
      <c r="BE213" s="77">
        <f t="shared" si="18"/>
        <v>1</v>
      </c>
      <c r="BF213" s="38"/>
    </row>
    <row r="214" spans="1:58" ht="22.5" hidden="1" customHeight="1">
      <c r="A214" s="33" t="str">
        <f>IF(OR(ISBLANK(E214),ISBLANK(C214)),"",IF(COUNTIF($E$8:E214,E214)&gt;1,"",(MAX($A$7:A213)+1)))</f>
        <v/>
      </c>
      <c r="B214" s="34">
        <f>IF(ISBLANK(C214),"",SUBTOTAL(3,$C$8:C214))</f>
        <v>44</v>
      </c>
      <c r="C214" s="78" t="s">
        <v>503</v>
      </c>
      <c r="D214" s="50" t="s">
        <v>504</v>
      </c>
      <c r="E214" s="50" t="s">
        <v>434</v>
      </c>
      <c r="F214" s="35" t="str">
        <f t="shared" si="16"/>
        <v/>
      </c>
      <c r="G214" s="36" t="str">
        <f t="shared" si="17"/>
        <v>D</v>
      </c>
      <c r="H214" s="51" t="str">
        <f t="shared" si="15"/>
        <v/>
      </c>
      <c r="I214" s="51" t="str">
        <f t="shared" si="15"/>
        <v/>
      </c>
      <c r="J214" s="51">
        <f t="shared" si="15"/>
        <v>2</v>
      </c>
      <c r="K214" s="37"/>
      <c r="L214" s="37"/>
      <c r="M214" s="37" t="s">
        <v>47</v>
      </c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 t="s">
        <v>47</v>
      </c>
      <c r="AC214" s="37"/>
      <c r="AD214" s="37"/>
      <c r="AE214" s="37"/>
      <c r="AF214" s="37"/>
      <c r="AG214" s="37"/>
      <c r="AH214" s="37"/>
      <c r="AI214" s="37"/>
      <c r="AJ214" s="37"/>
      <c r="AK214" s="37"/>
      <c r="AM214" s="38"/>
      <c r="AN214" s="38"/>
      <c r="AO214" s="38"/>
      <c r="AP214" s="38"/>
      <c r="AQ214" s="38"/>
      <c r="AR214" s="38"/>
      <c r="AS214" s="38" t="s">
        <v>47</v>
      </c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77">
        <f t="shared" si="18"/>
        <v>1</v>
      </c>
      <c r="BF214" s="38"/>
    </row>
    <row r="215" spans="1:58" ht="22.5" hidden="1" customHeight="1">
      <c r="A215" s="33" t="str">
        <f>IF(OR(ISBLANK(E215),ISBLANK(C215)),"",IF(COUNTIF($E$8:E215,E215)&gt;1,"",(MAX($A$7:A214)+1)))</f>
        <v/>
      </c>
      <c r="B215" s="34">
        <f>IF(ISBLANK(C215),"",SUBTOTAL(3,$C$8:C215))</f>
        <v>44</v>
      </c>
      <c r="C215" s="78" t="s">
        <v>505</v>
      </c>
      <c r="D215" s="50" t="s">
        <v>506</v>
      </c>
      <c r="E215" s="50" t="s">
        <v>434</v>
      </c>
      <c r="F215" s="35" t="str">
        <f t="shared" si="16"/>
        <v/>
      </c>
      <c r="G215" s="36" t="str">
        <f t="shared" si="17"/>
        <v>D</v>
      </c>
      <c r="H215" s="51" t="str">
        <f t="shared" si="15"/>
        <v/>
      </c>
      <c r="I215" s="51">
        <f t="shared" si="15"/>
        <v>1</v>
      </c>
      <c r="J215" s="51" t="str">
        <f t="shared" si="15"/>
        <v/>
      </c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 t="s">
        <v>47</v>
      </c>
      <c r="AH215" s="37"/>
      <c r="AI215" s="37"/>
      <c r="AJ215" s="37"/>
      <c r="AK215" s="37"/>
      <c r="AM215" s="38"/>
      <c r="AN215" s="38"/>
      <c r="AO215" s="38"/>
      <c r="AP215" s="38" t="s">
        <v>47</v>
      </c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77">
        <f t="shared" si="18"/>
        <v>1</v>
      </c>
      <c r="BF215" s="38"/>
    </row>
    <row r="216" spans="1:58" ht="22.5" hidden="1" customHeight="1">
      <c r="A216" s="33" t="str">
        <f>IF(OR(ISBLANK(E216),ISBLANK(C216)),"",IF(COUNTIF($E$8:E216,E216)&gt;1,"",(MAX($A$7:A215)+1)))</f>
        <v/>
      </c>
      <c r="B216" s="34">
        <f>IF(ISBLANK(C216),"",SUBTOTAL(3,$C$8:C216))</f>
        <v>44</v>
      </c>
      <c r="C216" s="78" t="s">
        <v>507</v>
      </c>
      <c r="D216" s="50" t="s">
        <v>508</v>
      </c>
      <c r="E216" s="50" t="s">
        <v>434</v>
      </c>
      <c r="F216" s="35" t="str">
        <f t="shared" si="16"/>
        <v/>
      </c>
      <c r="G216" s="36" t="str">
        <f t="shared" si="17"/>
        <v>D</v>
      </c>
      <c r="H216" s="51" t="str">
        <f t="shared" ref="H216:J279" si="19">IF(OR(ISBLANK($C216),COUNTIFS($K216:$AH216,"X",$K$7:$AH$7,H$7)=0,),"",COUNTIFS($K216:$AH216,"X",$K$7:$AH$7,H$7))</f>
        <v/>
      </c>
      <c r="I216" s="51">
        <f t="shared" si="19"/>
        <v>1</v>
      </c>
      <c r="J216" s="51">
        <f t="shared" si="19"/>
        <v>1</v>
      </c>
      <c r="K216" s="37"/>
      <c r="L216" s="37" t="s">
        <v>47</v>
      </c>
      <c r="M216" s="37"/>
      <c r="N216" s="37"/>
      <c r="O216" s="37"/>
      <c r="P216" s="37"/>
      <c r="Q216" s="37"/>
      <c r="R216" s="37"/>
      <c r="S216" s="37" t="s">
        <v>47</v>
      </c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M216" s="38"/>
      <c r="AN216" s="38"/>
      <c r="AO216" s="38"/>
      <c r="AP216" s="38"/>
      <c r="AQ216" s="38"/>
      <c r="AR216" s="38"/>
      <c r="AS216" s="38" t="s">
        <v>47</v>
      </c>
      <c r="AT216" s="38"/>
      <c r="AU216" s="38"/>
      <c r="AV216" s="38"/>
      <c r="AW216" s="38"/>
      <c r="AX216" s="38"/>
      <c r="AY216" s="38"/>
      <c r="AZ216" s="38"/>
      <c r="BA216" s="38"/>
      <c r="BB216" s="38"/>
      <c r="BC216" s="38"/>
      <c r="BD216" s="38"/>
      <c r="BE216" s="77">
        <f t="shared" si="18"/>
        <v>1</v>
      </c>
      <c r="BF216" s="38"/>
    </row>
    <row r="217" spans="1:58" ht="22.5" hidden="1" customHeight="1">
      <c r="A217" s="33" t="str">
        <f>IF(OR(ISBLANK(E217),ISBLANK(C217)),"",IF(COUNTIF($E$8:E217,E217)&gt;1,"",(MAX($A$7:A216)+1)))</f>
        <v/>
      </c>
      <c r="B217" s="34">
        <f>IF(ISBLANK(C217),"",SUBTOTAL(3,$C$8:C217))</f>
        <v>44</v>
      </c>
      <c r="C217" s="78" t="s">
        <v>509</v>
      </c>
      <c r="D217" s="50" t="s">
        <v>510</v>
      </c>
      <c r="E217" s="50" t="s">
        <v>434</v>
      </c>
      <c r="F217" s="35" t="str">
        <f t="shared" si="16"/>
        <v/>
      </c>
      <c r="G217" s="36" t="str">
        <f t="shared" si="17"/>
        <v>C</v>
      </c>
      <c r="H217" s="51" t="str">
        <f t="shared" si="19"/>
        <v/>
      </c>
      <c r="I217" s="51">
        <f t="shared" si="19"/>
        <v>2</v>
      </c>
      <c r="J217" s="51" t="str">
        <f t="shared" si="19"/>
        <v/>
      </c>
      <c r="K217" s="37"/>
      <c r="L217" s="37" t="s">
        <v>47</v>
      </c>
      <c r="M217" s="37"/>
      <c r="N217" s="37"/>
      <c r="O217" s="37"/>
      <c r="P217" s="37"/>
      <c r="Q217" s="37"/>
      <c r="R217" s="37" t="s">
        <v>47</v>
      </c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 t="s">
        <v>47</v>
      </c>
      <c r="BB217" s="38"/>
      <c r="BC217" s="38"/>
      <c r="BD217" s="38"/>
      <c r="BE217" s="77">
        <f t="shared" si="18"/>
        <v>1</v>
      </c>
      <c r="BF217" s="38"/>
    </row>
    <row r="218" spans="1:58" ht="22.5" hidden="1" customHeight="1">
      <c r="A218" s="33" t="str">
        <f>IF(OR(ISBLANK(E218),ISBLANK(C218)),"",IF(COUNTIF($E$8:E218,E218)&gt;1,"",(MAX($A$7:A217)+1)))</f>
        <v/>
      </c>
      <c r="B218" s="34">
        <f>IF(ISBLANK(C218),"",SUBTOTAL(3,$C$8:C218))</f>
        <v>44</v>
      </c>
      <c r="C218" s="78" t="s">
        <v>511</v>
      </c>
      <c r="D218" s="50" t="s">
        <v>512</v>
      </c>
      <c r="E218" s="50" t="s">
        <v>434</v>
      </c>
      <c r="F218" s="35" t="str">
        <f t="shared" si="16"/>
        <v/>
      </c>
      <c r="G218" s="36" t="str">
        <f t="shared" si="17"/>
        <v>C</v>
      </c>
      <c r="H218" s="51">
        <f t="shared" si="19"/>
        <v>1</v>
      </c>
      <c r="I218" s="51" t="str">
        <f t="shared" si="19"/>
        <v/>
      </c>
      <c r="J218" s="51">
        <f t="shared" si="19"/>
        <v>1</v>
      </c>
      <c r="K218" s="37" t="s">
        <v>47</v>
      </c>
      <c r="L218" s="37"/>
      <c r="M218" s="37"/>
      <c r="N218" s="37"/>
      <c r="O218" s="37"/>
      <c r="P218" s="37"/>
      <c r="Q218" s="37"/>
      <c r="R218" s="37"/>
      <c r="S218" s="37" t="s">
        <v>47</v>
      </c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 t="s">
        <v>47</v>
      </c>
      <c r="BA218" s="38"/>
      <c r="BB218" s="38"/>
      <c r="BC218" s="38"/>
      <c r="BD218" s="38"/>
      <c r="BE218" s="77">
        <f t="shared" si="18"/>
        <v>1</v>
      </c>
      <c r="BF218" s="38"/>
    </row>
    <row r="219" spans="1:58" ht="22.5" hidden="1" customHeight="1">
      <c r="A219" s="33" t="str">
        <f>IF(OR(ISBLANK(E219),ISBLANK(C219)),"",IF(COUNTIF($E$8:E219,E219)&gt;1,"",(MAX($A$7:A218)+1)))</f>
        <v/>
      </c>
      <c r="B219" s="34">
        <f>IF(ISBLANK(C219),"",SUBTOTAL(3,$C$8:C219))</f>
        <v>44</v>
      </c>
      <c r="C219" s="78" t="s">
        <v>513</v>
      </c>
      <c r="D219" s="50" t="s">
        <v>514</v>
      </c>
      <c r="E219" s="50" t="s">
        <v>434</v>
      </c>
      <c r="F219" s="35" t="str">
        <f t="shared" si="16"/>
        <v/>
      </c>
      <c r="G219" s="36" t="str">
        <f t="shared" si="17"/>
        <v>C</v>
      </c>
      <c r="H219" s="51">
        <f t="shared" si="19"/>
        <v>1</v>
      </c>
      <c r="I219" s="51">
        <f t="shared" si="19"/>
        <v>1</v>
      </c>
      <c r="J219" s="51" t="str">
        <f t="shared" si="19"/>
        <v/>
      </c>
      <c r="K219" s="37"/>
      <c r="L219" s="37" t="s">
        <v>47</v>
      </c>
      <c r="M219" s="37"/>
      <c r="N219" s="37"/>
      <c r="O219" s="37"/>
      <c r="P219" s="37"/>
      <c r="Q219" s="37" t="s">
        <v>47</v>
      </c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 t="s">
        <v>47</v>
      </c>
      <c r="AW219" s="38" t="s">
        <v>47</v>
      </c>
      <c r="AX219" s="38"/>
      <c r="AY219" s="38"/>
      <c r="AZ219" s="38"/>
      <c r="BA219" s="38"/>
      <c r="BB219" s="38"/>
      <c r="BC219" s="38"/>
      <c r="BD219" s="38"/>
      <c r="BE219" s="77">
        <f t="shared" si="18"/>
        <v>2</v>
      </c>
      <c r="BF219" s="38"/>
    </row>
    <row r="220" spans="1:58" ht="22.5" hidden="1" customHeight="1">
      <c r="A220" s="33">
        <f>IF(OR(ISBLANK(E220),ISBLANK(C220)),"",IF(COUNTIF($E$8:E220,E220)&gt;1,"",(MAX($A$7:A219)+1)))</f>
        <v>6</v>
      </c>
      <c r="B220" s="34">
        <f>IF(ISBLANK(C220),"",SUBTOTAL(3,$C$8:C220))</f>
        <v>44</v>
      </c>
      <c r="C220" s="78" t="s">
        <v>515</v>
      </c>
      <c r="D220" s="50" t="s">
        <v>516</v>
      </c>
      <c r="E220" s="50" t="s">
        <v>517</v>
      </c>
      <c r="F220" s="35" t="str">
        <f t="shared" si="16"/>
        <v/>
      </c>
      <c r="G220" s="36" t="str">
        <f t="shared" si="17"/>
        <v/>
      </c>
      <c r="H220" s="51" t="str">
        <f t="shared" si="19"/>
        <v/>
      </c>
      <c r="I220" s="51" t="str">
        <f t="shared" si="19"/>
        <v/>
      </c>
      <c r="J220" s="51" t="str">
        <f t="shared" si="19"/>
        <v/>
      </c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77">
        <f t="shared" si="18"/>
        <v>0</v>
      </c>
      <c r="BF220" s="38"/>
    </row>
    <row r="221" spans="1:58" ht="22.5" hidden="1" customHeight="1">
      <c r="A221" s="33" t="str">
        <f>IF(OR(ISBLANK(E221),ISBLANK(C221)),"",IF(COUNTIF($E$8:E221,E221)&gt;1,"",(MAX($A$7:A220)+1)))</f>
        <v/>
      </c>
      <c r="B221" s="34">
        <f>IF(ISBLANK(C221),"",SUBTOTAL(3,$C$8:C221))</f>
        <v>44</v>
      </c>
      <c r="C221" s="78" t="s">
        <v>518</v>
      </c>
      <c r="D221" s="50" t="s">
        <v>519</v>
      </c>
      <c r="E221" s="50" t="s">
        <v>517</v>
      </c>
      <c r="F221" s="35" t="str">
        <f t="shared" si="16"/>
        <v/>
      </c>
      <c r="G221" s="36" t="str">
        <f t="shared" si="17"/>
        <v/>
      </c>
      <c r="H221" s="51" t="str">
        <f t="shared" si="19"/>
        <v/>
      </c>
      <c r="I221" s="51" t="str">
        <f t="shared" si="19"/>
        <v/>
      </c>
      <c r="J221" s="51" t="str">
        <f t="shared" si="19"/>
        <v/>
      </c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77">
        <f t="shared" si="18"/>
        <v>0</v>
      </c>
      <c r="BF221" s="38"/>
    </row>
    <row r="222" spans="1:58" ht="22.5" hidden="1" customHeight="1">
      <c r="A222" s="33" t="str">
        <f>IF(OR(ISBLANK(E222),ISBLANK(C222)),"",IF(COUNTIF($E$8:E222,E222)&gt;1,"",(MAX($A$7:A221)+1)))</f>
        <v/>
      </c>
      <c r="B222" s="34">
        <f>IF(ISBLANK(C222),"",SUBTOTAL(3,$C$8:C222))</f>
        <v>44</v>
      </c>
      <c r="C222" s="78" t="s">
        <v>520</v>
      </c>
      <c r="D222" s="50" t="s">
        <v>521</v>
      </c>
      <c r="E222" s="50" t="s">
        <v>517</v>
      </c>
      <c r="F222" s="35" t="str">
        <f t="shared" si="16"/>
        <v/>
      </c>
      <c r="G222" s="36" t="str">
        <f t="shared" si="17"/>
        <v>D</v>
      </c>
      <c r="H222" s="51" t="str">
        <f t="shared" si="19"/>
        <v/>
      </c>
      <c r="I222" s="51">
        <f t="shared" si="19"/>
        <v>1</v>
      </c>
      <c r="J222" s="51" t="str">
        <f t="shared" si="19"/>
        <v/>
      </c>
      <c r="K222" s="37"/>
      <c r="L222" s="37" t="s">
        <v>47</v>
      </c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77">
        <f t="shared" si="18"/>
        <v>0</v>
      </c>
      <c r="BF222" s="38"/>
    </row>
    <row r="223" spans="1:58" ht="22.5" hidden="1" customHeight="1">
      <c r="A223" s="33" t="str">
        <f>IF(OR(ISBLANK(E223),ISBLANK(C223)),"",IF(COUNTIF($E$8:E223,E223)&gt;1,"",(MAX($A$7:A222)+1)))</f>
        <v/>
      </c>
      <c r="B223" s="34">
        <f>IF(ISBLANK(C223),"",SUBTOTAL(3,$C$8:C223))</f>
        <v>44</v>
      </c>
      <c r="C223" s="78" t="s">
        <v>522</v>
      </c>
      <c r="D223" s="50" t="s">
        <v>523</v>
      </c>
      <c r="E223" s="50" t="s">
        <v>517</v>
      </c>
      <c r="F223" s="35" t="str">
        <f t="shared" si="16"/>
        <v/>
      </c>
      <c r="G223" s="36" t="str">
        <f t="shared" si="17"/>
        <v>B</v>
      </c>
      <c r="H223" s="51">
        <f t="shared" si="19"/>
        <v>1</v>
      </c>
      <c r="I223" s="51">
        <f t="shared" si="19"/>
        <v>2</v>
      </c>
      <c r="J223" s="51" t="str">
        <f t="shared" si="19"/>
        <v/>
      </c>
      <c r="K223" s="37" t="s">
        <v>47</v>
      </c>
      <c r="L223" s="37"/>
      <c r="M223" s="37"/>
      <c r="N223" s="37"/>
      <c r="O223" s="37" t="s">
        <v>47</v>
      </c>
      <c r="P223" s="37"/>
      <c r="Q223" s="37"/>
      <c r="R223" s="37" t="s">
        <v>47</v>
      </c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M223" s="38"/>
      <c r="AN223" s="38"/>
      <c r="AO223" s="38"/>
      <c r="AP223" s="38"/>
      <c r="AQ223" s="38"/>
      <c r="AR223" s="38" t="s">
        <v>47</v>
      </c>
      <c r="AS223" s="38"/>
      <c r="AT223" s="38"/>
      <c r="AU223" s="38"/>
      <c r="AV223" s="38"/>
      <c r="AW223" s="38"/>
      <c r="AX223" s="38"/>
      <c r="AY223" s="38" t="s">
        <v>47</v>
      </c>
      <c r="AZ223" s="38"/>
      <c r="BA223" s="38"/>
      <c r="BB223" s="38"/>
      <c r="BC223" s="38"/>
      <c r="BD223" s="38"/>
      <c r="BE223" s="77">
        <f t="shared" si="18"/>
        <v>2</v>
      </c>
      <c r="BF223" s="38"/>
    </row>
    <row r="224" spans="1:58" ht="22.5" hidden="1" customHeight="1">
      <c r="A224" s="33" t="str">
        <f>IF(OR(ISBLANK(E224),ISBLANK(C224)),"",IF(COUNTIF($E$8:E224,E224)&gt;1,"",(MAX($A$7:A223)+1)))</f>
        <v/>
      </c>
      <c r="B224" s="34">
        <f>IF(ISBLANK(C224),"",SUBTOTAL(3,$C$8:C224))</f>
        <v>44</v>
      </c>
      <c r="C224" s="80" t="s">
        <v>524</v>
      </c>
      <c r="D224" s="52" t="s">
        <v>525</v>
      </c>
      <c r="E224" s="50" t="s">
        <v>517</v>
      </c>
      <c r="F224" s="35" t="str">
        <f t="shared" si="16"/>
        <v/>
      </c>
      <c r="G224" s="36" t="str">
        <f t="shared" si="17"/>
        <v>C</v>
      </c>
      <c r="H224" s="51">
        <f t="shared" si="19"/>
        <v>1</v>
      </c>
      <c r="I224" s="51">
        <f t="shared" si="19"/>
        <v>1</v>
      </c>
      <c r="J224" s="51" t="str">
        <f t="shared" si="19"/>
        <v/>
      </c>
      <c r="K224" s="37" t="s">
        <v>47</v>
      </c>
      <c r="L224" s="37"/>
      <c r="M224" s="37"/>
      <c r="N224" s="37"/>
      <c r="O224" s="37"/>
      <c r="P224" s="37"/>
      <c r="Q224" s="37"/>
      <c r="R224" s="37" t="s">
        <v>47</v>
      </c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M224" s="38"/>
      <c r="AN224" s="38"/>
      <c r="AO224" s="38"/>
      <c r="AP224" s="38"/>
      <c r="AQ224" s="38"/>
      <c r="AR224" s="38"/>
      <c r="AS224" s="38"/>
      <c r="AT224" s="38"/>
      <c r="AU224" s="38" t="s">
        <v>47</v>
      </c>
      <c r="AV224" s="38"/>
      <c r="AW224" s="38"/>
      <c r="AX224" s="38"/>
      <c r="AY224" s="38"/>
      <c r="AZ224" s="38"/>
      <c r="BA224" s="38"/>
      <c r="BB224" s="38"/>
      <c r="BC224" s="38"/>
      <c r="BD224" s="38"/>
      <c r="BE224" s="77">
        <f t="shared" si="18"/>
        <v>1</v>
      </c>
      <c r="BF224" s="38"/>
    </row>
    <row r="225" spans="1:58" ht="22.5" hidden="1" customHeight="1">
      <c r="A225" s="33" t="str">
        <f>IF(OR(ISBLANK(E225),ISBLANK(C225)),"",IF(COUNTIF($E$8:E225,E225)&gt;1,"",(MAX($A$7:A224)+1)))</f>
        <v/>
      </c>
      <c r="B225" s="34">
        <f>IF(ISBLANK(C225),"",SUBTOTAL(3,$C$8:C225))</f>
        <v>44</v>
      </c>
      <c r="C225" s="78" t="s">
        <v>526</v>
      </c>
      <c r="D225" s="50" t="s">
        <v>527</v>
      </c>
      <c r="E225" s="50" t="s">
        <v>517</v>
      </c>
      <c r="F225" s="35" t="str">
        <f t="shared" si="16"/>
        <v/>
      </c>
      <c r="G225" s="36" t="str">
        <f t="shared" si="17"/>
        <v>C</v>
      </c>
      <c r="H225" s="51">
        <f t="shared" si="19"/>
        <v>1</v>
      </c>
      <c r="I225" s="51" t="str">
        <f t="shared" si="19"/>
        <v/>
      </c>
      <c r="J225" s="51">
        <f t="shared" si="19"/>
        <v>1</v>
      </c>
      <c r="K225" s="37"/>
      <c r="L225" s="37"/>
      <c r="M225" s="37" t="s">
        <v>47</v>
      </c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 t="s">
        <v>47</v>
      </c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77">
        <f t="shared" si="18"/>
        <v>0</v>
      </c>
      <c r="BF225" s="38"/>
    </row>
    <row r="226" spans="1:58" ht="22.5" hidden="1" customHeight="1">
      <c r="A226" s="33" t="str">
        <f>IF(OR(ISBLANK(E226),ISBLANK(C226)),"",IF(COUNTIF($E$8:E226,E226)&gt;1,"",(MAX($A$7:A225)+1)))</f>
        <v/>
      </c>
      <c r="B226" s="34">
        <f>IF(ISBLANK(C226),"",SUBTOTAL(3,$C$8:C226))</f>
        <v>44</v>
      </c>
      <c r="C226" s="78" t="s">
        <v>528</v>
      </c>
      <c r="D226" s="50" t="s">
        <v>529</v>
      </c>
      <c r="E226" s="50" t="s">
        <v>517</v>
      </c>
      <c r="F226" s="35" t="str">
        <f t="shared" si="16"/>
        <v/>
      </c>
      <c r="G226" s="36" t="str">
        <f t="shared" si="17"/>
        <v>D</v>
      </c>
      <c r="H226" s="51" t="str">
        <f t="shared" si="19"/>
        <v/>
      </c>
      <c r="I226" s="51">
        <f t="shared" si="19"/>
        <v>1</v>
      </c>
      <c r="J226" s="51" t="str">
        <f t="shared" si="19"/>
        <v/>
      </c>
      <c r="K226" s="37"/>
      <c r="L226" s="37" t="s">
        <v>47</v>
      </c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M226" s="38"/>
      <c r="AN226" s="38"/>
      <c r="AO226" s="38"/>
      <c r="AP226" s="38"/>
      <c r="AQ226" s="38"/>
      <c r="AR226" s="38"/>
      <c r="AS226" s="38" t="s">
        <v>47</v>
      </c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77">
        <f t="shared" si="18"/>
        <v>1</v>
      </c>
      <c r="BF226" s="38"/>
    </row>
    <row r="227" spans="1:58" ht="22.5" hidden="1" customHeight="1">
      <c r="A227" s="33" t="str">
        <f>IF(OR(ISBLANK(E227),ISBLANK(C227)),"",IF(COUNTIF($E$8:E227,E227)&gt;1,"",(MAX($A$7:A226)+1)))</f>
        <v/>
      </c>
      <c r="B227" s="34">
        <f>IF(ISBLANK(C227),"",SUBTOTAL(3,$C$8:C227))</f>
        <v>44</v>
      </c>
      <c r="C227" s="78" t="s">
        <v>530</v>
      </c>
      <c r="D227" s="50" t="s">
        <v>531</v>
      </c>
      <c r="E227" s="50" t="s">
        <v>517</v>
      </c>
      <c r="F227" s="35" t="str">
        <f t="shared" si="16"/>
        <v/>
      </c>
      <c r="G227" s="36" t="str">
        <f t="shared" si="17"/>
        <v>D</v>
      </c>
      <c r="H227" s="51" t="str">
        <f t="shared" si="19"/>
        <v/>
      </c>
      <c r="I227" s="51">
        <f t="shared" si="19"/>
        <v>1</v>
      </c>
      <c r="J227" s="51" t="str">
        <f t="shared" si="19"/>
        <v/>
      </c>
      <c r="K227" s="37"/>
      <c r="L227" s="37" t="s">
        <v>47</v>
      </c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77">
        <f t="shared" si="18"/>
        <v>0</v>
      </c>
      <c r="BF227" s="38"/>
    </row>
    <row r="228" spans="1:58" ht="22.5" hidden="1" customHeight="1">
      <c r="A228" s="33" t="str">
        <f>IF(OR(ISBLANK(E228),ISBLANK(C228)),"",IF(COUNTIF($E$8:E228,E228)&gt;1,"",(MAX($A$7:A227)+1)))</f>
        <v/>
      </c>
      <c r="B228" s="34">
        <f>IF(ISBLANK(C228),"",SUBTOTAL(3,$C$8:C228))</f>
        <v>44</v>
      </c>
      <c r="C228" s="78" t="s">
        <v>532</v>
      </c>
      <c r="D228" s="50" t="s">
        <v>533</v>
      </c>
      <c r="E228" s="50" t="s">
        <v>517</v>
      </c>
      <c r="F228" s="35" t="str">
        <f t="shared" si="16"/>
        <v/>
      </c>
      <c r="G228" s="36" t="str">
        <f t="shared" si="17"/>
        <v>C</v>
      </c>
      <c r="H228" s="51">
        <f t="shared" si="19"/>
        <v>1</v>
      </c>
      <c r="I228" s="51" t="str">
        <f t="shared" si="19"/>
        <v/>
      </c>
      <c r="J228" s="51">
        <f t="shared" si="19"/>
        <v>1</v>
      </c>
      <c r="K228" s="37"/>
      <c r="L228" s="37"/>
      <c r="M228" s="37" t="s">
        <v>47</v>
      </c>
      <c r="N228" s="37"/>
      <c r="O228" s="37"/>
      <c r="P228" s="37"/>
      <c r="Q228" s="37" t="s">
        <v>47</v>
      </c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 t="s">
        <v>47</v>
      </c>
      <c r="AW228" s="38" t="s">
        <v>47</v>
      </c>
      <c r="AX228" s="38"/>
      <c r="AY228" s="38"/>
      <c r="AZ228" s="38"/>
      <c r="BA228" s="38"/>
      <c r="BB228" s="38"/>
      <c r="BC228" s="38"/>
      <c r="BD228" s="38"/>
      <c r="BE228" s="77">
        <f t="shared" si="18"/>
        <v>2</v>
      </c>
      <c r="BF228" s="38"/>
    </row>
    <row r="229" spans="1:58" ht="22.5" hidden="1" customHeight="1">
      <c r="A229" s="33" t="str">
        <f>IF(OR(ISBLANK(E229),ISBLANK(C229)),"",IF(COUNTIF($E$8:E229,E229)&gt;1,"",(MAX($A$7:A228)+1)))</f>
        <v/>
      </c>
      <c r="B229" s="34">
        <f>IF(ISBLANK(C229),"",SUBTOTAL(3,$C$8:C229))</f>
        <v>44</v>
      </c>
      <c r="C229" s="78" t="s">
        <v>534</v>
      </c>
      <c r="D229" s="50" t="s">
        <v>535</v>
      </c>
      <c r="E229" s="50" t="s">
        <v>517</v>
      </c>
      <c r="F229" s="35" t="str">
        <f t="shared" si="16"/>
        <v/>
      </c>
      <c r="G229" s="36" t="str">
        <f t="shared" si="17"/>
        <v>B</v>
      </c>
      <c r="H229" s="51">
        <f t="shared" si="19"/>
        <v>1</v>
      </c>
      <c r="I229" s="51">
        <f t="shared" si="19"/>
        <v>2</v>
      </c>
      <c r="J229" s="51" t="str">
        <f t="shared" si="19"/>
        <v/>
      </c>
      <c r="K229" s="37"/>
      <c r="L229" s="37" t="s">
        <v>47</v>
      </c>
      <c r="M229" s="37"/>
      <c r="N229" s="37"/>
      <c r="O229" s="37"/>
      <c r="P229" s="37"/>
      <c r="Q229" s="37" t="s">
        <v>47</v>
      </c>
      <c r="R229" s="37"/>
      <c r="S229" s="37"/>
      <c r="T229" s="37"/>
      <c r="U229" s="37"/>
      <c r="V229" s="37"/>
      <c r="W229" s="37"/>
      <c r="X229" s="37"/>
      <c r="Y229" s="37"/>
      <c r="Z229" s="37"/>
      <c r="AA229" s="37" t="s">
        <v>47</v>
      </c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M229" s="38"/>
      <c r="AN229" s="38"/>
      <c r="AO229" s="38"/>
      <c r="AP229" s="38"/>
      <c r="AQ229" s="38"/>
      <c r="AR229" s="38"/>
      <c r="AS229" s="38" t="s">
        <v>47</v>
      </c>
      <c r="AT229" s="38"/>
      <c r="AU229" s="38"/>
      <c r="AV229" s="38"/>
      <c r="AW229" s="38"/>
      <c r="AX229" s="38"/>
      <c r="AY229" s="38"/>
      <c r="AZ229" s="38"/>
      <c r="BA229" s="38"/>
      <c r="BB229" s="38"/>
      <c r="BC229" s="38"/>
      <c r="BD229" s="38"/>
      <c r="BE229" s="77">
        <f t="shared" si="18"/>
        <v>1</v>
      </c>
      <c r="BF229" s="38"/>
    </row>
    <row r="230" spans="1:58" ht="22.5" hidden="1" customHeight="1">
      <c r="A230" s="33" t="str">
        <f>IF(OR(ISBLANK(E230),ISBLANK(C230)),"",IF(COUNTIF($E$8:E230,E230)&gt;1,"",(MAX($A$7:A229)+1)))</f>
        <v/>
      </c>
      <c r="B230" s="34">
        <f>IF(ISBLANK(C230),"",SUBTOTAL(3,$C$8:C230))</f>
        <v>44</v>
      </c>
      <c r="C230" s="78" t="s">
        <v>536</v>
      </c>
      <c r="D230" s="50" t="s">
        <v>537</v>
      </c>
      <c r="E230" s="50" t="s">
        <v>517</v>
      </c>
      <c r="F230" s="35" t="str">
        <f t="shared" si="16"/>
        <v/>
      </c>
      <c r="G230" s="36" t="str">
        <f t="shared" si="17"/>
        <v>C</v>
      </c>
      <c r="H230" s="51">
        <f t="shared" si="19"/>
        <v>1</v>
      </c>
      <c r="I230" s="51" t="str">
        <f t="shared" si="19"/>
        <v/>
      </c>
      <c r="J230" s="51" t="str">
        <f t="shared" si="19"/>
        <v/>
      </c>
      <c r="K230" s="37" t="s">
        <v>47</v>
      </c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M230" s="38"/>
      <c r="AN230" s="38"/>
      <c r="AO230" s="38"/>
      <c r="AP230" s="38"/>
      <c r="AQ230" s="38"/>
      <c r="AR230" s="38"/>
      <c r="AS230" s="38"/>
      <c r="AT230" s="38"/>
      <c r="AU230" s="38" t="s">
        <v>47</v>
      </c>
      <c r="AV230" s="38"/>
      <c r="AW230" s="38"/>
      <c r="AX230" s="38"/>
      <c r="AY230" s="38"/>
      <c r="AZ230" s="38"/>
      <c r="BA230" s="38"/>
      <c r="BB230" s="38"/>
      <c r="BC230" s="38"/>
      <c r="BD230" s="38"/>
      <c r="BE230" s="77">
        <f t="shared" si="18"/>
        <v>1</v>
      </c>
      <c r="BF230" s="38"/>
    </row>
    <row r="231" spans="1:58" ht="22.5" hidden="1" customHeight="1">
      <c r="A231" s="33" t="str">
        <f>IF(OR(ISBLANK(E231),ISBLANK(C231)),"",IF(COUNTIF($E$8:E231,E231)&gt;1,"",(MAX($A$7:A230)+1)))</f>
        <v/>
      </c>
      <c r="B231" s="34">
        <f>IF(ISBLANK(C231),"",SUBTOTAL(3,$C$8:C231))</f>
        <v>44</v>
      </c>
      <c r="C231" s="78" t="s">
        <v>538</v>
      </c>
      <c r="D231" s="50" t="s">
        <v>539</v>
      </c>
      <c r="E231" s="50" t="s">
        <v>517</v>
      </c>
      <c r="F231" s="35" t="str">
        <f t="shared" si="16"/>
        <v/>
      </c>
      <c r="G231" s="36" t="str">
        <f t="shared" si="17"/>
        <v>A</v>
      </c>
      <c r="H231" s="51">
        <f t="shared" si="19"/>
        <v>3</v>
      </c>
      <c r="I231" s="51">
        <f t="shared" si="19"/>
        <v>2</v>
      </c>
      <c r="J231" s="51" t="str">
        <f t="shared" si="19"/>
        <v/>
      </c>
      <c r="K231" s="37" t="s">
        <v>47</v>
      </c>
      <c r="L231" s="37"/>
      <c r="M231" s="37"/>
      <c r="N231" s="37" t="s">
        <v>47</v>
      </c>
      <c r="O231" s="37"/>
      <c r="P231" s="37"/>
      <c r="Q231" s="37" t="s">
        <v>47</v>
      </c>
      <c r="R231" s="37"/>
      <c r="S231" s="37"/>
      <c r="T231" s="37"/>
      <c r="U231" s="37" t="s">
        <v>47</v>
      </c>
      <c r="V231" s="37"/>
      <c r="W231" s="37"/>
      <c r="X231" s="37" t="s">
        <v>47</v>
      </c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M231" s="38"/>
      <c r="AN231" s="38"/>
      <c r="AO231" s="38"/>
      <c r="AP231" s="38"/>
      <c r="AQ231" s="38"/>
      <c r="AR231" s="38"/>
      <c r="AS231" s="38"/>
      <c r="AT231" s="38"/>
      <c r="AU231" s="38"/>
      <c r="AV231" s="38"/>
      <c r="AW231" s="38"/>
      <c r="AX231" s="38"/>
      <c r="AY231" s="38"/>
      <c r="AZ231" s="38"/>
      <c r="BA231" s="38"/>
      <c r="BB231" s="38"/>
      <c r="BC231" s="38"/>
      <c r="BD231" s="38" t="s">
        <v>47</v>
      </c>
      <c r="BE231" s="77">
        <f t="shared" si="18"/>
        <v>1</v>
      </c>
      <c r="BF231" s="38"/>
    </row>
    <row r="232" spans="1:58" ht="22.5" hidden="1" customHeight="1">
      <c r="A232" s="33" t="str">
        <f>IF(OR(ISBLANK(E232),ISBLANK(C232)),"",IF(COUNTIF($E$8:E232,E232)&gt;1,"",(MAX($A$7:A231)+1)))</f>
        <v/>
      </c>
      <c r="B232" s="34">
        <f>IF(ISBLANK(C232),"",SUBTOTAL(3,$C$8:C232))</f>
        <v>44</v>
      </c>
      <c r="C232" s="78" t="s">
        <v>540</v>
      </c>
      <c r="D232" s="50" t="s">
        <v>541</v>
      </c>
      <c r="E232" s="50" t="s">
        <v>517</v>
      </c>
      <c r="F232" s="35" t="str">
        <f t="shared" si="16"/>
        <v/>
      </c>
      <c r="G232" s="36" t="str">
        <f t="shared" si="17"/>
        <v>B</v>
      </c>
      <c r="H232" s="51">
        <f t="shared" si="19"/>
        <v>1</v>
      </c>
      <c r="I232" s="51">
        <f t="shared" si="19"/>
        <v>2</v>
      </c>
      <c r="J232" s="51" t="str">
        <f t="shared" si="19"/>
        <v/>
      </c>
      <c r="K232" s="37" t="s">
        <v>47</v>
      </c>
      <c r="L232" s="37"/>
      <c r="M232" s="37"/>
      <c r="N232" s="37"/>
      <c r="O232" s="37"/>
      <c r="P232" s="37"/>
      <c r="Q232" s="37"/>
      <c r="R232" s="37" t="s">
        <v>47</v>
      </c>
      <c r="S232" s="37"/>
      <c r="T232" s="37"/>
      <c r="U232" s="37" t="s">
        <v>47</v>
      </c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M232" s="38"/>
      <c r="AN232" s="38"/>
      <c r="AO232" s="38"/>
      <c r="AP232" s="38"/>
      <c r="AQ232" s="38"/>
      <c r="AR232" s="38"/>
      <c r="AS232" s="38"/>
      <c r="AT232" s="38" t="s">
        <v>47</v>
      </c>
      <c r="AU232" s="38"/>
      <c r="AV232" s="38"/>
      <c r="AW232" s="38" t="s">
        <v>47</v>
      </c>
      <c r="AX232" s="38"/>
      <c r="AY232" s="38"/>
      <c r="AZ232" s="38"/>
      <c r="BA232" s="38"/>
      <c r="BB232" s="38"/>
      <c r="BC232" s="38"/>
      <c r="BD232" s="38"/>
      <c r="BE232" s="77">
        <f t="shared" si="18"/>
        <v>2</v>
      </c>
      <c r="BF232" s="38"/>
    </row>
    <row r="233" spans="1:58" ht="22.5" hidden="1" customHeight="1">
      <c r="A233" s="33" t="str">
        <f>IF(OR(ISBLANK(E233),ISBLANK(C233)),"",IF(COUNTIF($E$8:E233,E233)&gt;1,"",(MAX($A$7:A232)+1)))</f>
        <v/>
      </c>
      <c r="B233" s="34">
        <f>IF(ISBLANK(C233),"",SUBTOTAL(3,$C$8:C233))</f>
        <v>44</v>
      </c>
      <c r="C233" s="80" t="s">
        <v>542</v>
      </c>
      <c r="D233" s="52" t="s">
        <v>543</v>
      </c>
      <c r="E233" s="50" t="s">
        <v>517</v>
      </c>
      <c r="F233" s="35" t="str">
        <f t="shared" si="16"/>
        <v/>
      </c>
      <c r="G233" s="36" t="str">
        <f t="shared" si="17"/>
        <v>B</v>
      </c>
      <c r="H233" s="51">
        <f t="shared" si="19"/>
        <v>2</v>
      </c>
      <c r="I233" s="51" t="str">
        <f t="shared" si="19"/>
        <v/>
      </c>
      <c r="J233" s="51" t="str">
        <f t="shared" si="19"/>
        <v/>
      </c>
      <c r="K233" s="37" t="s">
        <v>47</v>
      </c>
      <c r="L233" s="37"/>
      <c r="M233" s="37"/>
      <c r="N233" s="37"/>
      <c r="O233" s="37"/>
      <c r="P233" s="37"/>
      <c r="Q233" s="37" t="s">
        <v>47</v>
      </c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M233" s="38"/>
      <c r="AN233" s="38"/>
      <c r="AO233" s="38"/>
      <c r="AP233" s="38"/>
      <c r="AQ233" s="38"/>
      <c r="AR233" s="38"/>
      <c r="AS233" s="38"/>
      <c r="AT233" s="38"/>
      <c r="AU233" s="38" t="s">
        <v>47</v>
      </c>
      <c r="AV233" s="38"/>
      <c r="AW233" s="38"/>
      <c r="AX233" s="38"/>
      <c r="AY233" s="38"/>
      <c r="AZ233" s="38"/>
      <c r="BA233" s="38"/>
      <c r="BB233" s="38"/>
      <c r="BC233" s="38"/>
      <c r="BD233" s="38"/>
      <c r="BE233" s="77">
        <f t="shared" si="18"/>
        <v>1</v>
      </c>
      <c r="BF233" s="38"/>
    </row>
    <row r="234" spans="1:58" ht="22.5" hidden="1" customHeight="1">
      <c r="A234" s="33" t="str">
        <f>IF(OR(ISBLANK(E234),ISBLANK(C234)),"",IF(COUNTIF($E$8:E234,E234)&gt;1,"",(MAX($A$7:A233)+1)))</f>
        <v/>
      </c>
      <c r="B234" s="34">
        <f>IF(ISBLANK(C234),"",SUBTOTAL(3,$C$8:C234))</f>
        <v>44</v>
      </c>
      <c r="C234" s="80" t="s">
        <v>544</v>
      </c>
      <c r="D234" s="52" t="s">
        <v>545</v>
      </c>
      <c r="E234" s="50" t="s">
        <v>517</v>
      </c>
      <c r="F234" s="35" t="str">
        <f t="shared" si="16"/>
        <v/>
      </c>
      <c r="G234" s="36" t="str">
        <f t="shared" si="17"/>
        <v>C</v>
      </c>
      <c r="H234" s="51">
        <f t="shared" si="19"/>
        <v>1</v>
      </c>
      <c r="I234" s="51" t="str">
        <f t="shared" si="19"/>
        <v/>
      </c>
      <c r="J234" s="51" t="str">
        <f t="shared" si="19"/>
        <v/>
      </c>
      <c r="K234" s="37" t="s">
        <v>47</v>
      </c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M234" s="38"/>
      <c r="AN234" s="38"/>
      <c r="AO234" s="38"/>
      <c r="AP234" s="38"/>
      <c r="AQ234" s="38"/>
      <c r="AR234" s="38"/>
      <c r="AS234" s="38"/>
      <c r="AT234" s="38"/>
      <c r="AU234" s="38"/>
      <c r="AV234" s="38"/>
      <c r="AW234" s="38"/>
      <c r="AX234" s="38"/>
      <c r="AY234" s="38"/>
      <c r="AZ234" s="38"/>
      <c r="BA234" s="38"/>
      <c r="BB234" s="38"/>
      <c r="BC234" s="38"/>
      <c r="BD234" s="38"/>
      <c r="BE234" s="77">
        <f t="shared" si="18"/>
        <v>0</v>
      </c>
      <c r="BF234" s="38"/>
    </row>
    <row r="235" spans="1:58" ht="22.5" hidden="1" customHeight="1">
      <c r="A235" s="33" t="str">
        <f>IF(OR(ISBLANK(E235),ISBLANK(C235)),"",IF(COUNTIF($E$8:E235,E235)&gt;1,"",(MAX($A$7:A234)+1)))</f>
        <v/>
      </c>
      <c r="B235" s="34">
        <f>IF(ISBLANK(C235),"",SUBTOTAL(3,$C$8:C235))</f>
        <v>44</v>
      </c>
      <c r="C235" s="80" t="s">
        <v>546</v>
      </c>
      <c r="D235" s="52" t="s">
        <v>547</v>
      </c>
      <c r="E235" s="50" t="s">
        <v>517</v>
      </c>
      <c r="F235" s="35" t="str">
        <f t="shared" si="16"/>
        <v/>
      </c>
      <c r="G235" s="36" t="str">
        <f t="shared" si="17"/>
        <v>C</v>
      </c>
      <c r="H235" s="51">
        <f t="shared" si="19"/>
        <v>1</v>
      </c>
      <c r="I235" s="51" t="str">
        <f t="shared" si="19"/>
        <v/>
      </c>
      <c r="J235" s="51" t="str">
        <f t="shared" si="19"/>
        <v/>
      </c>
      <c r="K235" s="37" t="s">
        <v>47</v>
      </c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M235" s="38"/>
      <c r="AN235" s="38"/>
      <c r="AO235" s="38"/>
      <c r="AP235" s="38"/>
      <c r="AQ235" s="38"/>
      <c r="AR235" s="38"/>
      <c r="AS235" s="38" t="s">
        <v>47</v>
      </c>
      <c r="AT235" s="38"/>
      <c r="AU235" s="38" t="s">
        <v>47</v>
      </c>
      <c r="AV235" s="38"/>
      <c r="AW235" s="38"/>
      <c r="AX235" s="38"/>
      <c r="AY235" s="38"/>
      <c r="AZ235" s="38"/>
      <c r="BA235" s="38"/>
      <c r="BB235" s="38"/>
      <c r="BC235" s="38"/>
      <c r="BD235" s="38"/>
      <c r="BE235" s="77">
        <f t="shared" si="18"/>
        <v>2</v>
      </c>
      <c r="BF235" s="38"/>
    </row>
    <row r="236" spans="1:58" ht="22.5" hidden="1" customHeight="1">
      <c r="A236" s="33" t="str">
        <f>IF(OR(ISBLANK(E236),ISBLANK(C236)),"",IF(COUNTIF($E$8:E236,E236)&gt;1,"",(MAX($A$7:A235)+1)))</f>
        <v/>
      </c>
      <c r="B236" s="34">
        <f>IF(ISBLANK(C236),"",SUBTOTAL(3,$C$8:C236))</f>
        <v>44</v>
      </c>
      <c r="C236" s="80" t="s">
        <v>548</v>
      </c>
      <c r="D236" s="52" t="s">
        <v>549</v>
      </c>
      <c r="E236" s="50" t="s">
        <v>517</v>
      </c>
      <c r="F236" s="35" t="str">
        <f t="shared" si="16"/>
        <v/>
      </c>
      <c r="G236" s="36" t="str">
        <f t="shared" si="17"/>
        <v>A</v>
      </c>
      <c r="H236" s="51">
        <f t="shared" si="19"/>
        <v>2</v>
      </c>
      <c r="I236" s="51">
        <f t="shared" si="19"/>
        <v>2</v>
      </c>
      <c r="J236" s="51" t="str">
        <f t="shared" si="19"/>
        <v/>
      </c>
      <c r="K236" s="37" t="s">
        <v>47</v>
      </c>
      <c r="L236" s="37"/>
      <c r="M236" s="37"/>
      <c r="N236" s="37"/>
      <c r="O236" s="37"/>
      <c r="P236" s="37"/>
      <c r="Q236" s="37" t="s">
        <v>47</v>
      </c>
      <c r="R236" s="37"/>
      <c r="S236" s="37"/>
      <c r="T236" s="37"/>
      <c r="U236" s="37" t="s">
        <v>47</v>
      </c>
      <c r="V236" s="37"/>
      <c r="W236" s="37"/>
      <c r="X236" s="37" t="s">
        <v>47</v>
      </c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M236" s="38"/>
      <c r="AN236" s="38"/>
      <c r="AO236" s="38"/>
      <c r="AP236" s="38"/>
      <c r="AQ236" s="38"/>
      <c r="AR236" s="38"/>
      <c r="AS236" s="38"/>
      <c r="AT236" s="38"/>
      <c r="AU236" s="38"/>
      <c r="AV236" s="38"/>
      <c r="AW236" s="38"/>
      <c r="AX236" s="38"/>
      <c r="AY236" s="38"/>
      <c r="AZ236" s="38"/>
      <c r="BA236" s="38"/>
      <c r="BB236" s="38"/>
      <c r="BC236" s="38"/>
      <c r="BD236" s="38"/>
      <c r="BE236" s="77">
        <f t="shared" si="18"/>
        <v>0</v>
      </c>
      <c r="BF236" s="38"/>
    </row>
    <row r="237" spans="1:58" ht="22.5" hidden="1" customHeight="1">
      <c r="A237" s="33" t="str">
        <f>IF(OR(ISBLANK(E237),ISBLANK(C237)),"",IF(COUNTIF($E$8:E237,E237)&gt;1,"",(MAX($A$7:A236)+1)))</f>
        <v/>
      </c>
      <c r="B237" s="34">
        <f>IF(ISBLANK(C237),"",SUBTOTAL(3,$C$8:C237))</f>
        <v>44</v>
      </c>
      <c r="C237" s="80" t="s">
        <v>550</v>
      </c>
      <c r="D237" s="50" t="s">
        <v>551</v>
      </c>
      <c r="E237" s="50" t="s">
        <v>517</v>
      </c>
      <c r="F237" s="35" t="str">
        <f t="shared" si="16"/>
        <v/>
      </c>
      <c r="G237" s="36" t="str">
        <f t="shared" si="17"/>
        <v>D</v>
      </c>
      <c r="H237" s="51" t="str">
        <f t="shared" si="19"/>
        <v/>
      </c>
      <c r="I237" s="51">
        <f t="shared" si="19"/>
        <v>1</v>
      </c>
      <c r="J237" s="51">
        <f t="shared" si="19"/>
        <v>1</v>
      </c>
      <c r="K237" s="37"/>
      <c r="L237" s="37" t="s">
        <v>47</v>
      </c>
      <c r="M237" s="37"/>
      <c r="N237" s="37"/>
      <c r="O237" s="37"/>
      <c r="P237" s="37"/>
      <c r="Q237" s="37"/>
      <c r="R237" s="37"/>
      <c r="S237" s="37" t="s">
        <v>47</v>
      </c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  <c r="AY237" s="38" t="s">
        <v>47</v>
      </c>
      <c r="AZ237" s="38"/>
      <c r="BA237" s="38"/>
      <c r="BB237" s="38"/>
      <c r="BC237" s="38"/>
      <c r="BD237" s="38"/>
      <c r="BE237" s="77">
        <f t="shared" si="18"/>
        <v>1</v>
      </c>
      <c r="BF237" s="38"/>
    </row>
    <row r="238" spans="1:58" ht="22.5" hidden="1" customHeight="1">
      <c r="A238" s="33" t="str">
        <f>IF(OR(ISBLANK(E238),ISBLANK(C238)),"",IF(COUNTIF($E$8:E238,E238)&gt;1,"",(MAX($A$7:A237)+1)))</f>
        <v/>
      </c>
      <c r="B238" s="34">
        <f>IF(ISBLANK(C238),"",SUBTOTAL(3,$C$8:C238))</f>
        <v>44</v>
      </c>
      <c r="C238" s="80" t="s">
        <v>552</v>
      </c>
      <c r="D238" s="50" t="s">
        <v>553</v>
      </c>
      <c r="E238" s="50" t="s">
        <v>517</v>
      </c>
      <c r="F238" s="35" t="str">
        <f t="shared" si="16"/>
        <v/>
      </c>
      <c r="G238" s="36" t="str">
        <f t="shared" si="17"/>
        <v>C</v>
      </c>
      <c r="H238" s="51">
        <f t="shared" si="19"/>
        <v>1</v>
      </c>
      <c r="I238" s="51">
        <f t="shared" si="19"/>
        <v>1</v>
      </c>
      <c r="J238" s="51" t="str">
        <f t="shared" si="19"/>
        <v/>
      </c>
      <c r="K238" s="37" t="s">
        <v>47</v>
      </c>
      <c r="L238" s="37"/>
      <c r="M238" s="37"/>
      <c r="N238" s="37"/>
      <c r="O238" s="37"/>
      <c r="P238" s="37"/>
      <c r="Q238" s="37"/>
      <c r="R238" s="37"/>
      <c r="S238" s="37"/>
      <c r="T238" s="37"/>
      <c r="U238" s="37" t="s">
        <v>47</v>
      </c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M238" s="38"/>
      <c r="AN238" s="38"/>
      <c r="AO238" s="38"/>
      <c r="AP238" s="38"/>
      <c r="AQ238" s="38"/>
      <c r="AR238" s="38" t="s">
        <v>47</v>
      </c>
      <c r="AS238" s="38"/>
      <c r="AT238" s="38" t="s">
        <v>47</v>
      </c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77">
        <f t="shared" si="18"/>
        <v>2</v>
      </c>
      <c r="BF238" s="38"/>
    </row>
    <row r="239" spans="1:58" ht="22.5" hidden="1" customHeight="1">
      <c r="A239" s="33" t="str">
        <f>IF(OR(ISBLANK(E239),ISBLANK(C239)),"",IF(COUNTIF($E$8:E239,E239)&gt;1,"",(MAX($A$7:A238)+1)))</f>
        <v/>
      </c>
      <c r="B239" s="34">
        <f>IF(ISBLANK(C239),"",SUBTOTAL(3,$C$8:C239))</f>
        <v>44</v>
      </c>
      <c r="C239" s="80" t="s">
        <v>554</v>
      </c>
      <c r="D239" s="50" t="s">
        <v>555</v>
      </c>
      <c r="E239" s="50" t="s">
        <v>517</v>
      </c>
      <c r="F239" s="35" t="str">
        <f t="shared" si="16"/>
        <v/>
      </c>
      <c r="G239" s="36" t="str">
        <f t="shared" si="17"/>
        <v>C</v>
      </c>
      <c r="H239" s="51">
        <f t="shared" si="19"/>
        <v>1</v>
      </c>
      <c r="I239" s="51" t="str">
        <f t="shared" si="19"/>
        <v/>
      </c>
      <c r="J239" s="51" t="str">
        <f t="shared" si="19"/>
        <v/>
      </c>
      <c r="K239" s="37" t="s">
        <v>47</v>
      </c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M239" s="38"/>
      <c r="AN239" s="38"/>
      <c r="AO239" s="38"/>
      <c r="AP239" s="38"/>
      <c r="AQ239" s="38"/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  <c r="BB239" s="38"/>
      <c r="BC239" s="38"/>
      <c r="BD239" s="38"/>
      <c r="BE239" s="77">
        <f t="shared" si="18"/>
        <v>0</v>
      </c>
      <c r="BF239" s="38"/>
    </row>
    <row r="240" spans="1:58" ht="22.5" hidden="1" customHeight="1">
      <c r="A240" s="33" t="str">
        <f>IF(OR(ISBLANK(E240),ISBLANK(C240)),"",IF(COUNTIF($E$8:E240,E240)&gt;1,"",(MAX($A$7:A239)+1)))</f>
        <v/>
      </c>
      <c r="B240" s="34">
        <f>IF(ISBLANK(C240),"",SUBTOTAL(3,$C$8:C240))</f>
        <v>44</v>
      </c>
      <c r="C240" s="80" t="s">
        <v>556</v>
      </c>
      <c r="D240" s="50" t="s">
        <v>557</v>
      </c>
      <c r="E240" s="50" t="s">
        <v>517</v>
      </c>
      <c r="F240" s="35" t="str">
        <f t="shared" si="16"/>
        <v/>
      </c>
      <c r="G240" s="36" t="str">
        <f t="shared" si="17"/>
        <v>C</v>
      </c>
      <c r="H240" s="51">
        <f t="shared" si="19"/>
        <v>1</v>
      </c>
      <c r="I240" s="51">
        <f t="shared" si="19"/>
        <v>1</v>
      </c>
      <c r="J240" s="51" t="str">
        <f t="shared" si="19"/>
        <v/>
      </c>
      <c r="K240" s="37" t="s">
        <v>47</v>
      </c>
      <c r="L240" s="37"/>
      <c r="M240" s="37"/>
      <c r="N240" s="37"/>
      <c r="O240" s="37"/>
      <c r="P240" s="37"/>
      <c r="Q240" s="37"/>
      <c r="R240" s="37" t="s">
        <v>47</v>
      </c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M240" s="38"/>
      <c r="AN240" s="38"/>
      <c r="AO240" s="38"/>
      <c r="AP240" s="38"/>
      <c r="AQ240" s="38"/>
      <c r="AR240" s="38"/>
      <c r="AS240" s="38"/>
      <c r="AT240" s="38"/>
      <c r="AU240" s="38"/>
      <c r="AV240" s="38"/>
      <c r="AW240" s="38"/>
      <c r="AX240" s="38"/>
      <c r="AY240" s="38"/>
      <c r="AZ240" s="38"/>
      <c r="BA240" s="38" t="s">
        <v>47</v>
      </c>
      <c r="BB240" s="38"/>
      <c r="BC240" s="38"/>
      <c r="BD240" s="38"/>
      <c r="BE240" s="77">
        <f t="shared" si="18"/>
        <v>1</v>
      </c>
      <c r="BF240" s="38"/>
    </row>
    <row r="241" spans="1:58" ht="22.5" hidden="1" customHeight="1">
      <c r="A241" s="33" t="str">
        <f>IF(OR(ISBLANK(E241),ISBLANK(C241)),"",IF(COUNTIF($E$8:E241,E241)&gt;1,"",(MAX($A$7:A240)+1)))</f>
        <v/>
      </c>
      <c r="B241" s="34">
        <f>IF(ISBLANK(C241),"",SUBTOTAL(3,$C$8:C241))</f>
        <v>44</v>
      </c>
      <c r="C241" s="78" t="s">
        <v>558</v>
      </c>
      <c r="D241" s="50" t="s">
        <v>559</v>
      </c>
      <c r="E241" s="50" t="s">
        <v>517</v>
      </c>
      <c r="F241" s="35" t="str">
        <f t="shared" si="16"/>
        <v/>
      </c>
      <c r="G241" s="36" t="str">
        <f t="shared" si="17"/>
        <v>C</v>
      </c>
      <c r="H241" s="51" t="str">
        <f t="shared" si="19"/>
        <v/>
      </c>
      <c r="I241" s="51">
        <f t="shared" si="19"/>
        <v>2</v>
      </c>
      <c r="J241" s="51" t="str">
        <f t="shared" si="19"/>
        <v/>
      </c>
      <c r="K241" s="37"/>
      <c r="L241" s="37" t="s">
        <v>47</v>
      </c>
      <c r="M241" s="37"/>
      <c r="N241" s="37"/>
      <c r="O241" s="37"/>
      <c r="P241" s="37"/>
      <c r="Q241" s="37"/>
      <c r="R241" s="37" t="s">
        <v>47</v>
      </c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M241" s="38"/>
      <c r="AN241" s="38"/>
      <c r="AO241" s="38"/>
      <c r="AP241" s="38"/>
      <c r="AQ241" s="38"/>
      <c r="AR241" s="38"/>
      <c r="AS241" s="38" t="s">
        <v>47</v>
      </c>
      <c r="AT241" s="38"/>
      <c r="AU241" s="38"/>
      <c r="AV241" s="38"/>
      <c r="AW241" s="38"/>
      <c r="AX241" s="38"/>
      <c r="AY241" s="38"/>
      <c r="AZ241" s="38"/>
      <c r="BA241" s="38"/>
      <c r="BB241" s="38"/>
      <c r="BC241" s="38"/>
      <c r="BD241" s="38"/>
      <c r="BE241" s="77">
        <f t="shared" si="18"/>
        <v>1</v>
      </c>
      <c r="BF241" s="38"/>
    </row>
    <row r="242" spans="1:58" ht="22.5" hidden="1" customHeight="1">
      <c r="A242" s="33" t="str">
        <f>IF(OR(ISBLANK(E242),ISBLANK(C242)),"",IF(COUNTIF($E$8:E242,E242)&gt;1,"",(MAX($A$7:A241)+1)))</f>
        <v/>
      </c>
      <c r="B242" s="34">
        <f>IF(ISBLANK(C242),"",SUBTOTAL(3,$C$8:C242))</f>
        <v>44</v>
      </c>
      <c r="C242" s="79" t="s">
        <v>560</v>
      </c>
      <c r="D242" s="50" t="s">
        <v>561</v>
      </c>
      <c r="E242" s="50" t="s">
        <v>517</v>
      </c>
      <c r="F242" s="35" t="str">
        <f t="shared" si="16"/>
        <v/>
      </c>
      <c r="G242" s="36" t="str">
        <f t="shared" si="17"/>
        <v>D</v>
      </c>
      <c r="H242" s="51" t="str">
        <f t="shared" si="19"/>
        <v/>
      </c>
      <c r="I242" s="51">
        <f t="shared" si="19"/>
        <v>1</v>
      </c>
      <c r="J242" s="51" t="str">
        <f t="shared" si="19"/>
        <v/>
      </c>
      <c r="K242" s="37"/>
      <c r="L242" s="37" t="s">
        <v>47</v>
      </c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M242" s="38"/>
      <c r="AN242" s="38"/>
      <c r="AO242" s="38"/>
      <c r="AP242" s="38"/>
      <c r="AQ242" s="38"/>
      <c r="AR242" s="38"/>
      <c r="AS242" s="38" t="s">
        <v>47</v>
      </c>
      <c r="AT242" s="38"/>
      <c r="AU242" s="38"/>
      <c r="AV242" s="38"/>
      <c r="AW242" s="38"/>
      <c r="AX242" s="38"/>
      <c r="AY242" s="38"/>
      <c r="AZ242" s="38"/>
      <c r="BA242" s="38"/>
      <c r="BB242" s="38"/>
      <c r="BC242" s="38"/>
      <c r="BD242" s="38"/>
      <c r="BE242" s="77">
        <f t="shared" si="18"/>
        <v>1</v>
      </c>
      <c r="BF242" s="38"/>
    </row>
    <row r="243" spans="1:58" ht="22.5" hidden="1" customHeight="1">
      <c r="A243" s="33" t="str">
        <f>IF(OR(ISBLANK(E243),ISBLANK(C243)),"",IF(COUNTIF($E$8:E243,E243)&gt;1,"",(MAX($A$7:A242)+1)))</f>
        <v/>
      </c>
      <c r="B243" s="34">
        <f>IF(ISBLANK(C243),"",SUBTOTAL(3,$C$8:C243))</f>
        <v>44</v>
      </c>
      <c r="C243" s="78" t="s">
        <v>562</v>
      </c>
      <c r="D243" s="50" t="s">
        <v>563</v>
      </c>
      <c r="E243" s="50" t="s">
        <v>517</v>
      </c>
      <c r="F243" s="35" t="str">
        <f t="shared" si="16"/>
        <v/>
      </c>
      <c r="G243" s="36" t="str">
        <f t="shared" si="17"/>
        <v>C</v>
      </c>
      <c r="H243" s="51">
        <f t="shared" si="19"/>
        <v>1</v>
      </c>
      <c r="I243" s="51">
        <f t="shared" si="19"/>
        <v>1</v>
      </c>
      <c r="J243" s="51" t="str">
        <f t="shared" si="19"/>
        <v/>
      </c>
      <c r="K243" s="37"/>
      <c r="L243" s="37" t="s">
        <v>47</v>
      </c>
      <c r="M243" s="37"/>
      <c r="N243" s="37"/>
      <c r="O243" s="37"/>
      <c r="P243" s="37"/>
      <c r="Q243" s="37" t="s">
        <v>47</v>
      </c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M243" s="38" t="s">
        <v>47</v>
      </c>
      <c r="AN243" s="38" t="s">
        <v>47</v>
      </c>
      <c r="AO243" s="38"/>
      <c r="AP243" s="38"/>
      <c r="AQ243" s="38"/>
      <c r="AR243" s="38"/>
      <c r="AS243" s="38"/>
      <c r="AT243" s="38"/>
      <c r="AU243" s="38"/>
      <c r="AV243" s="38"/>
      <c r="AW243" s="38"/>
      <c r="AX243" s="38"/>
      <c r="AY243" s="38"/>
      <c r="AZ243" s="38"/>
      <c r="BA243" s="38"/>
      <c r="BB243" s="38"/>
      <c r="BC243" s="38"/>
      <c r="BD243" s="38"/>
      <c r="BE243" s="77">
        <f t="shared" si="18"/>
        <v>2</v>
      </c>
      <c r="BF243" s="38"/>
    </row>
    <row r="244" spans="1:58" ht="22.5" hidden="1" customHeight="1">
      <c r="A244" s="33" t="str">
        <f>IF(OR(ISBLANK(E244),ISBLANK(C244)),"",IF(COUNTIF($E$8:E244,E244)&gt;1,"",(MAX($A$7:A243)+1)))</f>
        <v/>
      </c>
      <c r="B244" s="34">
        <f>IF(ISBLANK(C244),"",SUBTOTAL(3,$C$8:C244))</f>
        <v>44</v>
      </c>
      <c r="C244" s="78" t="s">
        <v>564</v>
      </c>
      <c r="D244" s="50" t="s">
        <v>565</v>
      </c>
      <c r="E244" s="50" t="s">
        <v>517</v>
      </c>
      <c r="F244" s="35" t="str">
        <f t="shared" si="16"/>
        <v/>
      </c>
      <c r="G244" s="36" t="str">
        <f t="shared" si="17"/>
        <v/>
      </c>
      <c r="H244" s="51" t="str">
        <f t="shared" si="19"/>
        <v/>
      </c>
      <c r="I244" s="51" t="str">
        <f t="shared" si="19"/>
        <v/>
      </c>
      <c r="J244" s="51" t="str">
        <f t="shared" si="19"/>
        <v/>
      </c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M244" s="38"/>
      <c r="AN244" s="38"/>
      <c r="AO244" s="38"/>
      <c r="AP244" s="38"/>
      <c r="AQ244" s="38"/>
      <c r="AR244" s="38"/>
      <c r="AS244" s="38"/>
      <c r="AT244" s="38"/>
      <c r="AU244" s="38"/>
      <c r="AV244" s="38"/>
      <c r="AW244" s="38"/>
      <c r="AX244" s="38"/>
      <c r="AY244" s="38"/>
      <c r="AZ244" s="38"/>
      <c r="BA244" s="38"/>
      <c r="BB244" s="38"/>
      <c r="BC244" s="38"/>
      <c r="BD244" s="38"/>
      <c r="BE244" s="77">
        <f t="shared" si="18"/>
        <v>0</v>
      </c>
      <c r="BF244" s="38"/>
    </row>
    <row r="245" spans="1:58" ht="22.5" hidden="1" customHeight="1">
      <c r="A245" s="33" t="str">
        <f>IF(OR(ISBLANK(E245),ISBLANK(C245)),"",IF(COUNTIF($E$8:E245,E245)&gt;1,"",(MAX($A$7:A244)+1)))</f>
        <v/>
      </c>
      <c r="B245" s="34">
        <f>IF(ISBLANK(C245),"",SUBTOTAL(3,$C$8:C245))</f>
        <v>44</v>
      </c>
      <c r="C245" s="80" t="s">
        <v>566</v>
      </c>
      <c r="D245" s="50" t="s">
        <v>567</v>
      </c>
      <c r="E245" s="50" t="s">
        <v>517</v>
      </c>
      <c r="F245" s="35" t="str">
        <f t="shared" si="16"/>
        <v/>
      </c>
      <c r="G245" s="36" t="str">
        <f t="shared" si="17"/>
        <v>B</v>
      </c>
      <c r="H245" s="51">
        <f t="shared" si="19"/>
        <v>2</v>
      </c>
      <c r="I245" s="51" t="str">
        <f t="shared" si="19"/>
        <v/>
      </c>
      <c r="J245" s="51" t="str">
        <f t="shared" si="19"/>
        <v/>
      </c>
      <c r="K245" s="37" t="s">
        <v>47</v>
      </c>
      <c r="L245" s="37"/>
      <c r="M245" s="37"/>
      <c r="N245" s="37"/>
      <c r="O245" s="37"/>
      <c r="P245" s="37"/>
      <c r="Q245" s="37" t="s">
        <v>47</v>
      </c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M245" s="38"/>
      <c r="AN245" s="38"/>
      <c r="AO245" s="38"/>
      <c r="AP245" s="38"/>
      <c r="AQ245" s="38"/>
      <c r="AR245" s="38"/>
      <c r="AS245" s="38"/>
      <c r="AT245" s="38"/>
      <c r="AU245" s="38"/>
      <c r="AV245" s="38"/>
      <c r="AW245" s="38"/>
      <c r="AX245" s="38"/>
      <c r="AY245" s="38"/>
      <c r="AZ245" s="38"/>
      <c r="BA245" s="38"/>
      <c r="BB245" s="38"/>
      <c r="BC245" s="38"/>
      <c r="BD245" s="38"/>
      <c r="BE245" s="77">
        <f t="shared" si="18"/>
        <v>0</v>
      </c>
      <c r="BF245" s="38"/>
    </row>
    <row r="246" spans="1:58" ht="22.5" hidden="1" customHeight="1">
      <c r="A246" s="33" t="str">
        <f>IF(OR(ISBLANK(E246),ISBLANK(C246)),"",IF(COUNTIF($E$8:E246,E246)&gt;1,"",(MAX($A$7:A245)+1)))</f>
        <v/>
      </c>
      <c r="B246" s="34">
        <f>IF(ISBLANK(C246),"",SUBTOTAL(3,$C$8:C246))</f>
        <v>44</v>
      </c>
      <c r="C246" s="78" t="s">
        <v>568</v>
      </c>
      <c r="D246" s="50" t="s">
        <v>569</v>
      </c>
      <c r="E246" s="50" t="s">
        <v>517</v>
      </c>
      <c r="F246" s="35" t="str">
        <f t="shared" si="16"/>
        <v/>
      </c>
      <c r="G246" s="36" t="str">
        <f t="shared" si="17"/>
        <v>C</v>
      </c>
      <c r="H246" s="51">
        <f t="shared" si="19"/>
        <v>1</v>
      </c>
      <c r="I246" s="51">
        <f t="shared" si="19"/>
        <v>1</v>
      </c>
      <c r="J246" s="51" t="str">
        <f t="shared" si="19"/>
        <v/>
      </c>
      <c r="K246" s="37"/>
      <c r="L246" s="37"/>
      <c r="M246" s="37"/>
      <c r="N246" s="37"/>
      <c r="O246" s="37"/>
      <c r="P246" s="37"/>
      <c r="Q246" s="37" t="s">
        <v>47</v>
      </c>
      <c r="R246" s="37"/>
      <c r="S246" s="37"/>
      <c r="T246" s="37"/>
      <c r="U246" s="37"/>
      <c r="V246" s="37"/>
      <c r="W246" s="37"/>
      <c r="X246" s="37"/>
      <c r="Y246" s="37"/>
      <c r="Z246" s="37"/>
      <c r="AA246" s="37" t="s">
        <v>47</v>
      </c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M246" s="38"/>
      <c r="AN246" s="38"/>
      <c r="AO246" s="38"/>
      <c r="AP246" s="38"/>
      <c r="AQ246" s="38"/>
      <c r="AR246" s="38"/>
      <c r="AS246" s="38"/>
      <c r="AT246" s="38"/>
      <c r="AU246" s="38"/>
      <c r="AV246" s="38" t="s">
        <v>47</v>
      </c>
      <c r="AW246" s="38" t="s">
        <v>47</v>
      </c>
      <c r="AX246" s="38"/>
      <c r="AY246" s="38"/>
      <c r="AZ246" s="38"/>
      <c r="BA246" s="38"/>
      <c r="BB246" s="38"/>
      <c r="BC246" s="38"/>
      <c r="BD246" s="38"/>
      <c r="BE246" s="77">
        <f t="shared" si="18"/>
        <v>2</v>
      </c>
      <c r="BF246" s="38"/>
    </row>
    <row r="247" spans="1:58" ht="22.5" hidden="1" customHeight="1">
      <c r="A247" s="33" t="str">
        <f>IF(OR(ISBLANK(E247),ISBLANK(C247)),"",IF(COUNTIF($E$8:E247,E247)&gt;1,"",(MAX($A$7:A246)+1)))</f>
        <v/>
      </c>
      <c r="B247" s="34">
        <f>IF(ISBLANK(C247),"",SUBTOTAL(3,$C$8:C247))</f>
        <v>44</v>
      </c>
      <c r="C247" s="78" t="s">
        <v>570</v>
      </c>
      <c r="D247" s="50" t="s">
        <v>571</v>
      </c>
      <c r="E247" s="50" t="s">
        <v>517</v>
      </c>
      <c r="F247" s="35" t="str">
        <f t="shared" si="16"/>
        <v/>
      </c>
      <c r="G247" s="36" t="str">
        <f t="shared" si="17"/>
        <v>C</v>
      </c>
      <c r="H247" s="51">
        <f t="shared" si="19"/>
        <v>1</v>
      </c>
      <c r="I247" s="51">
        <f t="shared" si="19"/>
        <v>1</v>
      </c>
      <c r="J247" s="51" t="str">
        <f t="shared" si="19"/>
        <v/>
      </c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 t="s">
        <v>47</v>
      </c>
      <c r="AB247" s="37"/>
      <c r="AC247" s="37"/>
      <c r="AD247" s="37"/>
      <c r="AE247" s="37"/>
      <c r="AF247" s="37" t="s">
        <v>47</v>
      </c>
      <c r="AG247" s="37"/>
      <c r="AH247" s="37"/>
      <c r="AI247" s="37"/>
      <c r="AJ247" s="37"/>
      <c r="AK247" s="37"/>
      <c r="AM247" s="38"/>
      <c r="AN247" s="38"/>
      <c r="AO247" s="38"/>
      <c r="AP247" s="38" t="s">
        <v>47</v>
      </c>
      <c r="AQ247" s="38"/>
      <c r="AR247" s="38"/>
      <c r="AS247" s="38"/>
      <c r="AT247" s="38"/>
      <c r="AU247" s="38"/>
      <c r="AV247" s="38"/>
      <c r="AW247" s="38"/>
      <c r="AX247" s="38"/>
      <c r="AY247" s="38"/>
      <c r="AZ247" s="38"/>
      <c r="BA247" s="38"/>
      <c r="BB247" s="38"/>
      <c r="BC247" s="38"/>
      <c r="BD247" s="38"/>
      <c r="BE247" s="77">
        <f t="shared" si="18"/>
        <v>1</v>
      </c>
      <c r="BF247" s="38"/>
    </row>
    <row r="248" spans="1:58" ht="22.5" hidden="1" customHeight="1">
      <c r="A248" s="33" t="str">
        <f>IF(OR(ISBLANK(E248),ISBLANK(C248)),"",IF(COUNTIF($E$8:E248,E248)&gt;1,"",(MAX($A$7:A247)+1)))</f>
        <v/>
      </c>
      <c r="B248" s="34">
        <f>IF(ISBLANK(C248),"",SUBTOTAL(3,$C$8:C248))</f>
        <v>44</v>
      </c>
      <c r="C248" s="78" t="s">
        <v>572</v>
      </c>
      <c r="D248" s="50" t="s">
        <v>573</v>
      </c>
      <c r="E248" s="50" t="s">
        <v>517</v>
      </c>
      <c r="F248" s="35" t="str">
        <f t="shared" si="16"/>
        <v/>
      </c>
      <c r="G248" s="36" t="str">
        <f t="shared" si="17"/>
        <v>C</v>
      </c>
      <c r="H248" s="51">
        <f t="shared" si="19"/>
        <v>1</v>
      </c>
      <c r="I248" s="51">
        <f t="shared" si="19"/>
        <v>1</v>
      </c>
      <c r="J248" s="51" t="str">
        <f t="shared" si="19"/>
        <v/>
      </c>
      <c r="K248" s="37"/>
      <c r="L248" s="37"/>
      <c r="M248" s="37"/>
      <c r="N248" s="37"/>
      <c r="O248" s="37"/>
      <c r="P248" s="37"/>
      <c r="Q248" s="37"/>
      <c r="R248" s="37" t="s">
        <v>47</v>
      </c>
      <c r="S248" s="37"/>
      <c r="T248" s="37"/>
      <c r="U248" s="37"/>
      <c r="V248" s="37"/>
      <c r="W248" s="37"/>
      <c r="X248" s="37"/>
      <c r="Y248" s="37"/>
      <c r="Z248" s="37" t="s">
        <v>47</v>
      </c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M248" s="38"/>
      <c r="AN248" s="38"/>
      <c r="AO248" s="38" t="s">
        <v>47</v>
      </c>
      <c r="AP248" s="38"/>
      <c r="AQ248" s="38"/>
      <c r="AR248" s="38"/>
      <c r="AS248" s="38"/>
      <c r="AT248" s="38"/>
      <c r="AU248" s="38"/>
      <c r="AV248" s="38"/>
      <c r="AW248" s="38"/>
      <c r="AX248" s="38"/>
      <c r="AY248" s="38"/>
      <c r="AZ248" s="38"/>
      <c r="BA248" s="38"/>
      <c r="BB248" s="38"/>
      <c r="BC248" s="38"/>
      <c r="BD248" s="38"/>
      <c r="BE248" s="77">
        <f t="shared" si="18"/>
        <v>1</v>
      </c>
      <c r="BF248" s="38"/>
    </row>
    <row r="249" spans="1:58" ht="22.5" hidden="1" customHeight="1">
      <c r="A249" s="33" t="str">
        <f>IF(OR(ISBLANK(E249),ISBLANK(C249)),"",IF(COUNTIF($E$8:E249,E249)&gt;1,"",(MAX($A$7:A248)+1)))</f>
        <v/>
      </c>
      <c r="B249" s="34">
        <f>IF(ISBLANK(C249),"",SUBTOTAL(3,$C$8:C249))</f>
        <v>44</v>
      </c>
      <c r="C249" s="78" t="s">
        <v>574</v>
      </c>
      <c r="D249" s="50" t="s">
        <v>575</v>
      </c>
      <c r="E249" s="50" t="s">
        <v>517</v>
      </c>
      <c r="F249" s="35" t="str">
        <f t="shared" si="16"/>
        <v/>
      </c>
      <c r="G249" s="36" t="str">
        <f t="shared" si="17"/>
        <v>C</v>
      </c>
      <c r="H249" s="51">
        <f t="shared" si="19"/>
        <v>1</v>
      </c>
      <c r="I249" s="51">
        <f t="shared" si="19"/>
        <v>1</v>
      </c>
      <c r="J249" s="51" t="str">
        <f t="shared" si="19"/>
        <v/>
      </c>
      <c r="K249" s="37" t="s">
        <v>47</v>
      </c>
      <c r="L249" s="37"/>
      <c r="M249" s="37"/>
      <c r="N249" s="37"/>
      <c r="O249" s="37"/>
      <c r="P249" s="37"/>
      <c r="Q249" s="37"/>
      <c r="R249" s="37" t="s">
        <v>47</v>
      </c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M249" s="38"/>
      <c r="AN249" s="38"/>
      <c r="AO249" s="38"/>
      <c r="AP249" s="38"/>
      <c r="AQ249" s="38"/>
      <c r="AR249" s="38"/>
      <c r="AS249" s="38"/>
      <c r="AT249" s="38"/>
      <c r="AU249" s="38"/>
      <c r="AV249" s="38"/>
      <c r="AW249" s="38"/>
      <c r="AX249" s="38"/>
      <c r="AY249" s="38"/>
      <c r="AZ249" s="38"/>
      <c r="BA249" s="38"/>
      <c r="BB249" s="38"/>
      <c r="BC249" s="38"/>
      <c r="BD249" s="38"/>
      <c r="BE249" s="77">
        <f t="shared" si="18"/>
        <v>0</v>
      </c>
      <c r="BF249" s="38"/>
    </row>
    <row r="250" spans="1:58" ht="22.5" hidden="1" customHeight="1">
      <c r="A250" s="33" t="str">
        <f>IF(OR(ISBLANK(E250),ISBLANK(C250)),"",IF(COUNTIF($E$8:E250,E250)&gt;1,"",(MAX($A$7:A249)+1)))</f>
        <v/>
      </c>
      <c r="B250" s="34">
        <f>IF(ISBLANK(C250),"",SUBTOTAL(3,$C$8:C250))</f>
        <v>44</v>
      </c>
      <c r="C250" s="78" t="s">
        <v>576</v>
      </c>
      <c r="D250" s="50" t="s">
        <v>577</v>
      </c>
      <c r="E250" s="50" t="s">
        <v>517</v>
      </c>
      <c r="F250" s="35" t="str">
        <f t="shared" si="16"/>
        <v/>
      </c>
      <c r="G250" s="36" t="str">
        <f t="shared" si="17"/>
        <v>C</v>
      </c>
      <c r="H250" s="51">
        <f t="shared" si="19"/>
        <v>1</v>
      </c>
      <c r="I250" s="51" t="str">
        <f t="shared" si="19"/>
        <v/>
      </c>
      <c r="J250" s="51">
        <f t="shared" si="19"/>
        <v>1</v>
      </c>
      <c r="K250" s="37"/>
      <c r="L250" s="37"/>
      <c r="M250" s="37" t="s">
        <v>47</v>
      </c>
      <c r="N250" s="37"/>
      <c r="O250" s="37"/>
      <c r="P250" s="37"/>
      <c r="Q250" s="37" t="s">
        <v>47</v>
      </c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M250" s="38"/>
      <c r="AN250" s="38"/>
      <c r="AO250" s="38"/>
      <c r="AP250" s="38"/>
      <c r="AQ250" s="38"/>
      <c r="AR250" s="38"/>
      <c r="AS250" s="38" t="s">
        <v>47</v>
      </c>
      <c r="AT250" s="38"/>
      <c r="AU250" s="38"/>
      <c r="AV250" s="38"/>
      <c r="AW250" s="38"/>
      <c r="AX250" s="38"/>
      <c r="AY250" s="38"/>
      <c r="AZ250" s="38"/>
      <c r="BA250" s="38"/>
      <c r="BB250" s="38"/>
      <c r="BC250" s="38"/>
      <c r="BD250" s="38"/>
      <c r="BE250" s="77">
        <f t="shared" si="18"/>
        <v>1</v>
      </c>
      <c r="BF250" s="38"/>
    </row>
    <row r="251" spans="1:58" ht="22.5" hidden="1" customHeight="1">
      <c r="A251" s="33" t="str">
        <f>IF(OR(ISBLANK(E251),ISBLANK(C251)),"",IF(COUNTIF($E$8:E251,E251)&gt;1,"",(MAX($A$7:A250)+1)))</f>
        <v/>
      </c>
      <c r="B251" s="34">
        <f>IF(ISBLANK(C251),"",SUBTOTAL(3,$C$8:C251))</f>
        <v>44</v>
      </c>
      <c r="C251" s="78" t="s">
        <v>578</v>
      </c>
      <c r="D251" s="50" t="s">
        <v>579</v>
      </c>
      <c r="E251" s="50" t="s">
        <v>517</v>
      </c>
      <c r="F251" s="35" t="str">
        <f t="shared" si="16"/>
        <v/>
      </c>
      <c r="G251" s="36" t="str">
        <f t="shared" si="17"/>
        <v>B</v>
      </c>
      <c r="H251" s="51">
        <f t="shared" si="19"/>
        <v>1</v>
      </c>
      <c r="I251" s="51">
        <f t="shared" si="19"/>
        <v>2</v>
      </c>
      <c r="J251" s="51" t="str">
        <f t="shared" si="19"/>
        <v/>
      </c>
      <c r="K251" s="37" t="s">
        <v>47</v>
      </c>
      <c r="L251" s="37"/>
      <c r="M251" s="37"/>
      <c r="N251" s="37"/>
      <c r="O251" s="37"/>
      <c r="P251" s="37"/>
      <c r="Q251" s="37"/>
      <c r="R251" s="37" t="s">
        <v>47</v>
      </c>
      <c r="S251" s="37"/>
      <c r="T251" s="37"/>
      <c r="U251" s="37" t="s">
        <v>47</v>
      </c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M251" s="38"/>
      <c r="AN251" s="38"/>
      <c r="AO251" s="38"/>
      <c r="AP251" s="38"/>
      <c r="AQ251" s="38"/>
      <c r="AR251" s="38"/>
      <c r="AS251" s="38"/>
      <c r="AT251" s="38"/>
      <c r="AU251" s="38"/>
      <c r="AV251" s="38"/>
      <c r="AW251" s="38"/>
      <c r="AX251" s="38"/>
      <c r="AY251" s="38"/>
      <c r="AZ251" s="38"/>
      <c r="BA251" s="38"/>
      <c r="BB251" s="38" t="s">
        <v>47</v>
      </c>
      <c r="BC251" s="38"/>
      <c r="BD251" s="38"/>
      <c r="BE251" s="77">
        <f t="shared" si="18"/>
        <v>1</v>
      </c>
      <c r="BF251" s="38"/>
    </row>
    <row r="252" spans="1:58" ht="22.5" hidden="1" customHeight="1">
      <c r="A252" s="33" t="str">
        <f>IF(OR(ISBLANK(E252),ISBLANK(C252)),"",IF(COUNTIF($E$8:E252,E252)&gt;1,"",(MAX($A$7:A251)+1)))</f>
        <v/>
      </c>
      <c r="B252" s="34">
        <f>IF(ISBLANK(C252),"",SUBTOTAL(3,$C$8:C252))</f>
        <v>44</v>
      </c>
      <c r="C252" s="78" t="s">
        <v>580</v>
      </c>
      <c r="D252" s="50" t="s">
        <v>581</v>
      </c>
      <c r="E252" s="50" t="s">
        <v>517</v>
      </c>
      <c r="F252" s="35" t="str">
        <f t="shared" si="16"/>
        <v/>
      </c>
      <c r="G252" s="36" t="str">
        <f t="shared" si="17"/>
        <v>D</v>
      </c>
      <c r="H252" s="51" t="str">
        <f t="shared" si="19"/>
        <v/>
      </c>
      <c r="I252" s="51">
        <f t="shared" si="19"/>
        <v>1</v>
      </c>
      <c r="J252" s="51">
        <f t="shared" si="19"/>
        <v>2</v>
      </c>
      <c r="K252" s="37"/>
      <c r="L252" s="37" t="s">
        <v>47</v>
      </c>
      <c r="M252" s="37"/>
      <c r="N252" s="37"/>
      <c r="O252" s="37"/>
      <c r="P252" s="37" t="s">
        <v>47</v>
      </c>
      <c r="Q252" s="37"/>
      <c r="R252" s="37"/>
      <c r="S252" s="37" t="s">
        <v>47</v>
      </c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M252" s="38"/>
      <c r="AN252" s="38"/>
      <c r="AO252" s="38"/>
      <c r="AP252" s="38"/>
      <c r="AQ252" s="38"/>
      <c r="AR252" s="38"/>
      <c r="AS252" s="38"/>
      <c r="AT252" s="38"/>
      <c r="AU252" s="38"/>
      <c r="AV252" s="38"/>
      <c r="AW252" s="38"/>
      <c r="AX252" s="38"/>
      <c r="AY252" s="38"/>
      <c r="AZ252" s="38"/>
      <c r="BA252" s="38"/>
      <c r="BB252" s="38"/>
      <c r="BC252" s="38"/>
      <c r="BD252" s="38"/>
      <c r="BE252" s="77">
        <f t="shared" si="18"/>
        <v>0</v>
      </c>
      <c r="BF252" s="38"/>
    </row>
    <row r="253" spans="1:58" ht="22.5" hidden="1" customHeight="1">
      <c r="A253" s="33" t="str">
        <f>IF(OR(ISBLANK(E253),ISBLANK(C253)),"",IF(COUNTIF($E$8:E253,E253)&gt;1,"",(MAX($A$7:A252)+1)))</f>
        <v/>
      </c>
      <c r="B253" s="34">
        <f>IF(ISBLANK(C253),"",SUBTOTAL(3,$C$8:C253))</f>
        <v>44</v>
      </c>
      <c r="C253" s="78" t="s">
        <v>582</v>
      </c>
      <c r="D253" s="50" t="s">
        <v>583</v>
      </c>
      <c r="E253" s="50" t="s">
        <v>517</v>
      </c>
      <c r="F253" s="35" t="str">
        <f t="shared" si="16"/>
        <v/>
      </c>
      <c r="G253" s="36" t="str">
        <f t="shared" si="17"/>
        <v>C</v>
      </c>
      <c r="H253" s="51">
        <f t="shared" si="19"/>
        <v>1</v>
      </c>
      <c r="I253" s="51">
        <f t="shared" si="19"/>
        <v>1</v>
      </c>
      <c r="J253" s="51" t="str">
        <f t="shared" si="19"/>
        <v/>
      </c>
      <c r="K253" s="37" t="s">
        <v>47</v>
      </c>
      <c r="L253" s="37"/>
      <c r="M253" s="37"/>
      <c r="N253" s="37"/>
      <c r="O253" s="37"/>
      <c r="P253" s="37"/>
      <c r="Q253" s="37"/>
      <c r="R253" s="37" t="s">
        <v>47</v>
      </c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M253" s="38"/>
      <c r="AN253" s="38"/>
      <c r="AO253" s="38"/>
      <c r="AP253" s="38"/>
      <c r="AQ253" s="38"/>
      <c r="AR253" s="38"/>
      <c r="AS253" s="38"/>
      <c r="AT253" s="38"/>
      <c r="AU253" s="38"/>
      <c r="AV253" s="38"/>
      <c r="AW253" s="38"/>
      <c r="AX253" s="38"/>
      <c r="AY253" s="38"/>
      <c r="AZ253" s="38"/>
      <c r="BA253" s="38"/>
      <c r="BB253" s="38"/>
      <c r="BC253" s="38"/>
      <c r="BD253" s="38"/>
      <c r="BE253" s="77">
        <f t="shared" si="18"/>
        <v>0</v>
      </c>
      <c r="BF253" s="38"/>
    </row>
    <row r="254" spans="1:58" ht="22.5" hidden="1" customHeight="1">
      <c r="A254" s="33" t="str">
        <f>IF(OR(ISBLANK(E254),ISBLANK(C254)),"",IF(COUNTIF($E$8:E254,E254)&gt;1,"",(MAX($A$7:A253)+1)))</f>
        <v/>
      </c>
      <c r="B254" s="34">
        <f>IF(ISBLANK(C254),"",SUBTOTAL(3,$C$8:C254))</f>
        <v>44</v>
      </c>
      <c r="C254" s="78" t="s">
        <v>584</v>
      </c>
      <c r="D254" s="50" t="s">
        <v>585</v>
      </c>
      <c r="E254" s="50" t="s">
        <v>517</v>
      </c>
      <c r="F254" s="35" t="str">
        <f t="shared" si="16"/>
        <v/>
      </c>
      <c r="G254" s="36" t="str">
        <f t="shared" si="17"/>
        <v>D</v>
      </c>
      <c r="H254" s="51" t="str">
        <f t="shared" si="19"/>
        <v/>
      </c>
      <c r="I254" s="51">
        <f t="shared" si="19"/>
        <v>1</v>
      </c>
      <c r="J254" s="51" t="str">
        <f t="shared" si="19"/>
        <v/>
      </c>
      <c r="K254" s="37"/>
      <c r="L254" s="37" t="s">
        <v>47</v>
      </c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M254" s="38"/>
      <c r="AN254" s="38"/>
      <c r="AO254" s="38"/>
      <c r="AP254" s="38"/>
      <c r="AQ254" s="38"/>
      <c r="AR254" s="38"/>
      <c r="AS254" s="38" t="s">
        <v>47</v>
      </c>
      <c r="AT254" s="38"/>
      <c r="AU254" s="38"/>
      <c r="AV254" s="38"/>
      <c r="AW254" s="38"/>
      <c r="AX254" s="38"/>
      <c r="AY254" s="38"/>
      <c r="AZ254" s="38"/>
      <c r="BA254" s="38"/>
      <c r="BB254" s="38"/>
      <c r="BC254" s="38"/>
      <c r="BD254" s="38"/>
      <c r="BE254" s="77">
        <f t="shared" si="18"/>
        <v>1</v>
      </c>
      <c r="BF254" s="38"/>
    </row>
    <row r="255" spans="1:58" ht="22.5" hidden="1" customHeight="1">
      <c r="A255" s="33" t="str">
        <f>IF(OR(ISBLANK(E255),ISBLANK(C255)),"",IF(COUNTIF($E$8:E255,E255)&gt;1,"",(MAX($A$7:A254)+1)))</f>
        <v/>
      </c>
      <c r="B255" s="34">
        <f>IF(ISBLANK(C255),"",SUBTOTAL(3,$C$8:C255))</f>
        <v>44</v>
      </c>
      <c r="C255" s="78" t="s">
        <v>586</v>
      </c>
      <c r="D255" s="50" t="s">
        <v>587</v>
      </c>
      <c r="E255" s="50" t="s">
        <v>517</v>
      </c>
      <c r="F255" s="35" t="str">
        <f t="shared" si="16"/>
        <v/>
      </c>
      <c r="G255" s="36" t="str">
        <f t="shared" si="17"/>
        <v>C</v>
      </c>
      <c r="H255" s="51">
        <f t="shared" si="19"/>
        <v>1</v>
      </c>
      <c r="I255" s="51">
        <f t="shared" si="19"/>
        <v>1</v>
      </c>
      <c r="J255" s="51">
        <f t="shared" si="19"/>
        <v>1</v>
      </c>
      <c r="K255" s="37" t="s">
        <v>47</v>
      </c>
      <c r="L255" s="37"/>
      <c r="M255" s="37"/>
      <c r="N255" s="37"/>
      <c r="O255" s="37"/>
      <c r="P255" s="37" t="s">
        <v>47</v>
      </c>
      <c r="Q255" s="37"/>
      <c r="R255" s="37" t="s">
        <v>47</v>
      </c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M255" s="38"/>
      <c r="AN255" s="38"/>
      <c r="AO255" s="38"/>
      <c r="AP255" s="38"/>
      <c r="AQ255" s="38"/>
      <c r="AR255" s="38"/>
      <c r="AS255" s="38"/>
      <c r="AT255" s="38" t="s">
        <v>47</v>
      </c>
      <c r="AU255" s="38" t="s">
        <v>47</v>
      </c>
      <c r="AV255" s="38"/>
      <c r="AW255" s="38"/>
      <c r="AX255" s="38"/>
      <c r="AY255" s="38"/>
      <c r="AZ255" s="38"/>
      <c r="BA255" s="38"/>
      <c r="BB255" s="38"/>
      <c r="BC255" s="38"/>
      <c r="BD255" s="38"/>
      <c r="BE255" s="77">
        <f t="shared" si="18"/>
        <v>2</v>
      </c>
      <c r="BF255" s="38"/>
    </row>
    <row r="256" spans="1:58" ht="22.5" hidden="1" customHeight="1">
      <c r="A256" s="33" t="str">
        <f>IF(OR(ISBLANK(E256),ISBLANK(C256)),"",IF(COUNTIF($E$8:E256,E256)&gt;1,"",(MAX($A$7:A255)+1)))</f>
        <v/>
      </c>
      <c r="B256" s="34">
        <f>IF(ISBLANK(C256),"",SUBTOTAL(3,$C$8:C256))</f>
        <v>44</v>
      </c>
      <c r="C256" s="78" t="s">
        <v>588</v>
      </c>
      <c r="D256" s="50" t="s">
        <v>589</v>
      </c>
      <c r="E256" s="50" t="s">
        <v>517</v>
      </c>
      <c r="F256" s="35" t="str">
        <f t="shared" si="16"/>
        <v/>
      </c>
      <c r="G256" s="36" t="str">
        <f t="shared" si="17"/>
        <v>D</v>
      </c>
      <c r="H256" s="51" t="str">
        <f t="shared" si="19"/>
        <v/>
      </c>
      <c r="I256" s="51">
        <f t="shared" si="19"/>
        <v>1</v>
      </c>
      <c r="J256" s="51" t="str">
        <f t="shared" si="19"/>
        <v/>
      </c>
      <c r="K256" s="37"/>
      <c r="L256" s="37" t="s">
        <v>47</v>
      </c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M256" s="38"/>
      <c r="AN256" s="38"/>
      <c r="AO256" s="38"/>
      <c r="AP256" s="38"/>
      <c r="AQ256" s="38"/>
      <c r="AR256" s="38"/>
      <c r="AS256" s="38"/>
      <c r="AT256" s="38"/>
      <c r="AU256" s="38"/>
      <c r="AV256" s="38"/>
      <c r="AW256" s="38"/>
      <c r="AX256" s="38"/>
      <c r="AY256" s="38" t="s">
        <v>47</v>
      </c>
      <c r="AZ256" s="38"/>
      <c r="BA256" s="38"/>
      <c r="BB256" s="38"/>
      <c r="BC256" s="38"/>
      <c r="BD256" s="38"/>
      <c r="BE256" s="77">
        <f t="shared" si="18"/>
        <v>1</v>
      </c>
      <c r="BF256" s="38"/>
    </row>
    <row r="257" spans="1:58" ht="22.5" hidden="1" customHeight="1">
      <c r="A257" s="33" t="str">
        <f>IF(OR(ISBLANK(E257),ISBLANK(C257)),"",IF(COUNTIF($E$8:E257,E257)&gt;1,"",(MAX($A$7:A256)+1)))</f>
        <v/>
      </c>
      <c r="B257" s="34">
        <f>IF(ISBLANK(C257),"",SUBTOTAL(3,$C$8:C257))</f>
        <v>44</v>
      </c>
      <c r="C257" s="78" t="s">
        <v>590</v>
      </c>
      <c r="D257" s="50" t="s">
        <v>591</v>
      </c>
      <c r="E257" s="50" t="s">
        <v>517</v>
      </c>
      <c r="F257" s="35" t="str">
        <f t="shared" si="16"/>
        <v/>
      </c>
      <c r="G257" s="36" t="str">
        <f t="shared" si="17"/>
        <v>C</v>
      </c>
      <c r="H257" s="51" t="str">
        <f t="shared" si="19"/>
        <v/>
      </c>
      <c r="I257" s="51">
        <f t="shared" si="19"/>
        <v>2</v>
      </c>
      <c r="J257" s="51" t="str">
        <f t="shared" si="19"/>
        <v/>
      </c>
      <c r="K257" s="37"/>
      <c r="L257" s="37" t="s">
        <v>47</v>
      </c>
      <c r="M257" s="37"/>
      <c r="N257" s="37"/>
      <c r="O257" s="37" t="s">
        <v>47</v>
      </c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  <c r="BA257" s="38" t="s">
        <v>47</v>
      </c>
      <c r="BB257" s="38"/>
      <c r="BC257" s="38"/>
      <c r="BD257" s="38"/>
      <c r="BE257" s="77">
        <f t="shared" si="18"/>
        <v>1</v>
      </c>
      <c r="BF257" s="38"/>
    </row>
    <row r="258" spans="1:58" ht="22.5" hidden="1" customHeight="1">
      <c r="A258" s="33">
        <f>IF(OR(ISBLANK(E258),ISBLANK(C258)),"",IF(COUNTIF($E$8:E258,E258)&gt;1,"",(MAX($A$7:A257)+1)))</f>
        <v>7</v>
      </c>
      <c r="B258" s="34">
        <f>IF(ISBLANK(C258),"",SUBTOTAL(3,$C$8:C258))</f>
        <v>44</v>
      </c>
      <c r="C258" s="78" t="s">
        <v>592</v>
      </c>
      <c r="D258" s="50" t="s">
        <v>593</v>
      </c>
      <c r="E258" s="50" t="s">
        <v>594</v>
      </c>
      <c r="F258" s="35" t="str">
        <f t="shared" si="16"/>
        <v/>
      </c>
      <c r="G258" s="36" t="str">
        <f t="shared" si="17"/>
        <v>C</v>
      </c>
      <c r="H258" s="51">
        <f t="shared" si="19"/>
        <v>1</v>
      </c>
      <c r="I258" s="51">
        <f t="shared" si="19"/>
        <v>1</v>
      </c>
      <c r="J258" s="51" t="str">
        <f t="shared" si="19"/>
        <v/>
      </c>
      <c r="K258" s="37" t="s">
        <v>47</v>
      </c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 t="s">
        <v>47</v>
      </c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M258" s="38"/>
      <c r="AN258" s="38"/>
      <c r="AO258" s="38" t="s">
        <v>47</v>
      </c>
      <c r="AP258" s="38"/>
      <c r="AQ258" s="38"/>
      <c r="AR258" s="38" t="s">
        <v>47</v>
      </c>
      <c r="AS258" s="38"/>
      <c r="AT258" s="38"/>
      <c r="AU258" s="38"/>
      <c r="AV258" s="38"/>
      <c r="AW258" s="38"/>
      <c r="AX258" s="38"/>
      <c r="AY258" s="38"/>
      <c r="AZ258" s="38"/>
      <c r="BA258" s="38"/>
      <c r="BB258" s="38"/>
      <c r="BC258" s="38"/>
      <c r="BD258" s="38"/>
      <c r="BE258" s="77">
        <f t="shared" si="18"/>
        <v>2</v>
      </c>
      <c r="BF258" s="38"/>
    </row>
    <row r="259" spans="1:58" ht="22.5" hidden="1" customHeight="1">
      <c r="A259" s="33" t="str">
        <f>IF(OR(ISBLANK(E259),ISBLANK(C259)),"",IF(COUNTIF($E$8:E259,E259)&gt;1,"",(MAX($A$7:A258)+1)))</f>
        <v/>
      </c>
      <c r="B259" s="34">
        <f>IF(ISBLANK(C259),"",SUBTOTAL(3,$C$8:C259))</f>
        <v>44</v>
      </c>
      <c r="C259" s="78" t="s">
        <v>595</v>
      </c>
      <c r="D259" s="50" t="s">
        <v>596</v>
      </c>
      <c r="E259" s="50" t="s">
        <v>594</v>
      </c>
      <c r="F259" s="35" t="str">
        <f t="shared" si="16"/>
        <v/>
      </c>
      <c r="G259" s="36" t="str">
        <f t="shared" si="17"/>
        <v/>
      </c>
      <c r="H259" s="51" t="str">
        <f t="shared" si="19"/>
        <v/>
      </c>
      <c r="I259" s="51" t="str">
        <f t="shared" si="19"/>
        <v/>
      </c>
      <c r="J259" s="51" t="str">
        <f t="shared" si="19"/>
        <v/>
      </c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  <c r="BB259" s="38"/>
      <c r="BC259" s="38"/>
      <c r="BD259" s="38"/>
      <c r="BE259" s="77">
        <f t="shared" si="18"/>
        <v>0</v>
      </c>
      <c r="BF259" s="38"/>
    </row>
    <row r="260" spans="1:58" ht="22.5" hidden="1" customHeight="1">
      <c r="A260" s="33" t="str">
        <f>IF(OR(ISBLANK(E260),ISBLANK(C260)),"",IF(COUNTIF($E$8:E260,E260)&gt;1,"",(MAX($A$7:A259)+1)))</f>
        <v/>
      </c>
      <c r="B260" s="34">
        <f>IF(ISBLANK(C260),"",SUBTOTAL(3,$C$8:C260))</f>
        <v>44</v>
      </c>
      <c r="C260" s="78" t="s">
        <v>597</v>
      </c>
      <c r="D260" s="50" t="s">
        <v>598</v>
      </c>
      <c r="E260" s="50" t="s">
        <v>594</v>
      </c>
      <c r="F260" s="35" t="str">
        <f t="shared" si="16"/>
        <v/>
      </c>
      <c r="G260" s="36" t="str">
        <f t="shared" si="17"/>
        <v/>
      </c>
      <c r="H260" s="51" t="str">
        <f t="shared" si="19"/>
        <v/>
      </c>
      <c r="I260" s="51" t="str">
        <f t="shared" si="19"/>
        <v/>
      </c>
      <c r="J260" s="51" t="str">
        <f t="shared" si="19"/>
        <v/>
      </c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  <c r="BB260" s="38"/>
      <c r="BC260" s="38"/>
      <c r="BD260" s="38"/>
      <c r="BE260" s="77">
        <f t="shared" si="18"/>
        <v>0</v>
      </c>
      <c r="BF260" s="38"/>
    </row>
    <row r="261" spans="1:58" ht="22.5" hidden="1" customHeight="1">
      <c r="A261" s="33" t="str">
        <f>IF(OR(ISBLANK(E261),ISBLANK(C261)),"",IF(COUNTIF($E$8:E261,E261)&gt;1,"",(MAX($A$7:A260)+1)))</f>
        <v/>
      </c>
      <c r="B261" s="34">
        <f>IF(ISBLANK(C261),"",SUBTOTAL(3,$C$8:C261))</f>
        <v>44</v>
      </c>
      <c r="C261" s="78" t="s">
        <v>599</v>
      </c>
      <c r="D261" s="50" t="s">
        <v>600</v>
      </c>
      <c r="E261" s="50" t="s">
        <v>594</v>
      </c>
      <c r="F261" s="35" t="str">
        <f t="shared" si="16"/>
        <v/>
      </c>
      <c r="G261" s="36" t="str">
        <f t="shared" si="17"/>
        <v>C</v>
      </c>
      <c r="H261" s="51">
        <f t="shared" si="19"/>
        <v>1</v>
      </c>
      <c r="I261" s="51" t="str">
        <f t="shared" si="19"/>
        <v/>
      </c>
      <c r="J261" s="51" t="str">
        <f t="shared" si="19"/>
        <v/>
      </c>
      <c r="K261" s="37" t="s">
        <v>47</v>
      </c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M261" s="38"/>
      <c r="AN261" s="38"/>
      <c r="AO261" s="38"/>
      <c r="AP261" s="38"/>
      <c r="AQ261" s="38"/>
      <c r="AR261" s="38"/>
      <c r="AS261" s="38" t="s">
        <v>47</v>
      </c>
      <c r="AT261" s="38"/>
      <c r="AU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77">
        <f t="shared" si="18"/>
        <v>1</v>
      </c>
      <c r="BF261" s="38"/>
    </row>
    <row r="262" spans="1:58" ht="22.5" hidden="1" customHeight="1">
      <c r="A262" s="33" t="str">
        <f>IF(OR(ISBLANK(E262),ISBLANK(C262)),"",IF(COUNTIF($E$8:E262,E262)&gt;1,"",(MAX($A$7:A261)+1)))</f>
        <v/>
      </c>
      <c r="B262" s="34">
        <f>IF(ISBLANK(C262),"",SUBTOTAL(3,$C$8:C262))</f>
        <v>44</v>
      </c>
      <c r="C262" s="78" t="s">
        <v>601</v>
      </c>
      <c r="D262" s="50" t="s">
        <v>602</v>
      </c>
      <c r="E262" s="50" t="s">
        <v>594</v>
      </c>
      <c r="F262" s="35" t="str">
        <f t="shared" si="16"/>
        <v/>
      </c>
      <c r="G262" s="36" t="str">
        <f t="shared" si="17"/>
        <v>B</v>
      </c>
      <c r="H262" s="51">
        <f t="shared" si="19"/>
        <v>1</v>
      </c>
      <c r="I262" s="51">
        <f t="shared" si="19"/>
        <v>2</v>
      </c>
      <c r="J262" s="51" t="str">
        <f t="shared" si="19"/>
        <v/>
      </c>
      <c r="K262" s="37" t="s">
        <v>47</v>
      </c>
      <c r="L262" s="37"/>
      <c r="M262" s="37"/>
      <c r="N262" s="37"/>
      <c r="O262" s="37" t="s">
        <v>47</v>
      </c>
      <c r="P262" s="37"/>
      <c r="Q262" s="37"/>
      <c r="R262" s="37" t="s">
        <v>47</v>
      </c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 t="s">
        <v>47</v>
      </c>
      <c r="AW262" s="38" t="s">
        <v>47</v>
      </c>
      <c r="AX262" s="38"/>
      <c r="AY262" s="38"/>
      <c r="AZ262" s="38"/>
      <c r="BA262" s="38"/>
      <c r="BB262" s="38"/>
      <c r="BC262" s="38"/>
      <c r="BD262" s="38"/>
      <c r="BE262" s="77">
        <f t="shared" si="18"/>
        <v>2</v>
      </c>
      <c r="BF262" s="38"/>
    </row>
    <row r="263" spans="1:58" ht="22.5" hidden="1" customHeight="1">
      <c r="A263" s="33" t="str">
        <f>IF(OR(ISBLANK(E263),ISBLANK(C263)),"",IF(COUNTIF($E$8:E263,E263)&gt;1,"",(MAX($A$7:A262)+1)))</f>
        <v/>
      </c>
      <c r="B263" s="34">
        <f>IF(ISBLANK(C263),"",SUBTOTAL(3,$C$8:C263))</f>
        <v>44</v>
      </c>
      <c r="C263" s="78" t="s">
        <v>603</v>
      </c>
      <c r="D263" s="50" t="s">
        <v>604</v>
      </c>
      <c r="E263" s="50" t="s">
        <v>594</v>
      </c>
      <c r="F263" s="35" t="str">
        <f t="shared" si="16"/>
        <v/>
      </c>
      <c r="G263" s="36" t="str">
        <f t="shared" si="17"/>
        <v>B</v>
      </c>
      <c r="H263" s="51">
        <f t="shared" si="19"/>
        <v>1</v>
      </c>
      <c r="I263" s="51">
        <f t="shared" si="19"/>
        <v>2</v>
      </c>
      <c r="J263" s="51" t="str">
        <f t="shared" si="19"/>
        <v/>
      </c>
      <c r="K263" s="37" t="s">
        <v>47</v>
      </c>
      <c r="L263" s="37"/>
      <c r="M263" s="37"/>
      <c r="N263" s="37"/>
      <c r="O263" s="37" t="s">
        <v>47</v>
      </c>
      <c r="P263" s="37"/>
      <c r="Q263" s="37"/>
      <c r="R263" s="37" t="s">
        <v>47</v>
      </c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M263" s="38"/>
      <c r="AN263" s="38"/>
      <c r="AO263" s="38"/>
      <c r="AP263" s="38"/>
      <c r="AQ263" s="38"/>
      <c r="AR263" s="38" t="s">
        <v>47</v>
      </c>
      <c r="AS263" s="38"/>
      <c r="AT263" s="38"/>
      <c r="AU263" s="38"/>
      <c r="AV263" s="38"/>
      <c r="AW263" s="38" t="s">
        <v>47</v>
      </c>
      <c r="AX263" s="38"/>
      <c r="AY263" s="38"/>
      <c r="AZ263" s="38"/>
      <c r="BA263" s="38"/>
      <c r="BB263" s="38"/>
      <c r="BC263" s="38"/>
      <c r="BD263" s="38"/>
      <c r="BE263" s="77">
        <f t="shared" si="18"/>
        <v>2</v>
      </c>
      <c r="BF263" s="38"/>
    </row>
    <row r="264" spans="1:58" ht="22.5" hidden="1" customHeight="1">
      <c r="A264" s="33" t="str">
        <f>IF(OR(ISBLANK(E264),ISBLANK(C264)),"",IF(COUNTIF($E$8:E264,E264)&gt;1,"",(MAX($A$7:A263)+1)))</f>
        <v/>
      </c>
      <c r="B264" s="34">
        <f>IF(ISBLANK(C264),"",SUBTOTAL(3,$C$8:C264))</f>
        <v>44</v>
      </c>
      <c r="C264" s="78" t="s">
        <v>605</v>
      </c>
      <c r="D264" s="50" t="s">
        <v>606</v>
      </c>
      <c r="E264" s="50" t="s">
        <v>594</v>
      </c>
      <c r="F264" s="35" t="str">
        <f t="shared" ref="F264:F327" si="20">IFERROR(IF(OR(ISBLANK($C264),B264=""),"",INDEX(Luonggio,MATCH($C264,MaNVLuong,0))),"")</f>
        <v/>
      </c>
      <c r="G264" s="36" t="str">
        <f t="shared" si="17"/>
        <v>C</v>
      </c>
      <c r="H264" s="51">
        <f t="shared" si="19"/>
        <v>1</v>
      </c>
      <c r="I264" s="51">
        <f t="shared" si="19"/>
        <v>1</v>
      </c>
      <c r="J264" s="51" t="str">
        <f t="shared" si="19"/>
        <v/>
      </c>
      <c r="K264" s="37" t="s">
        <v>47</v>
      </c>
      <c r="L264" s="37"/>
      <c r="M264" s="37"/>
      <c r="N264" s="37"/>
      <c r="O264" s="37" t="s">
        <v>47</v>
      </c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M264" s="38"/>
      <c r="AN264" s="38"/>
      <c r="AO264" s="38"/>
      <c r="AP264" s="38"/>
      <c r="AQ264" s="38"/>
      <c r="AR264" s="38"/>
      <c r="AS264" s="38"/>
      <c r="AT264" s="38"/>
      <c r="AU264" s="38" t="s">
        <v>47</v>
      </c>
      <c r="AV264" s="38"/>
      <c r="AW264" s="38" t="s">
        <v>47</v>
      </c>
      <c r="AX264" s="38"/>
      <c r="AY264" s="38"/>
      <c r="AZ264" s="38"/>
      <c r="BA264" s="38"/>
      <c r="BB264" s="38"/>
      <c r="BC264" s="38"/>
      <c r="BD264" s="38"/>
      <c r="BE264" s="77">
        <f t="shared" si="18"/>
        <v>2</v>
      </c>
      <c r="BF264" s="38"/>
    </row>
    <row r="265" spans="1:58" ht="22.5" hidden="1" customHeight="1">
      <c r="A265" s="33" t="str">
        <f>IF(OR(ISBLANK(E265),ISBLANK(C265)),"",IF(COUNTIF($E$8:E265,E265)&gt;1,"",(MAX($A$7:A264)+1)))</f>
        <v/>
      </c>
      <c r="B265" s="34">
        <f>IF(ISBLANK(C265),"",SUBTOTAL(3,$C$8:C265))</f>
        <v>44</v>
      </c>
      <c r="C265" s="78" t="s">
        <v>607</v>
      </c>
      <c r="D265" s="50" t="s">
        <v>608</v>
      </c>
      <c r="E265" s="50" t="s">
        <v>594</v>
      </c>
      <c r="F265" s="35" t="str">
        <f t="shared" si="20"/>
        <v/>
      </c>
      <c r="G265" s="36" t="str">
        <f t="shared" ref="G265:G328" si="21">IF(COUNTIF(H265:J265,"&gt;0")=0,"",IF(AND(OR(OR(SUM(H265)&gt;=2)),SUM(H265:J265)&gt;=4,OR(OR(SUM(I265)&gt;=1))),"A",IF(OR(OR(SUM(H265)&gt;=3)),"A",IF(AND(SUM(I265)&gt;=2,SUM(H265)=1),"B",IF(AND(SUM(I265)&gt;=1,SUM(H265)=2),"B",IF(H265=2,"B",IF(SUM(I265)&gt;=2,"C",IF(H265=1,"C",IF(AND(H265=1,I265=1),"C",IF(AND(SUM(H265:I265)=0,SUM(J265)&lt;=1),"D","D"))))))))))</f>
        <v>A</v>
      </c>
      <c r="H265" s="51">
        <f t="shared" si="19"/>
        <v>2</v>
      </c>
      <c r="I265" s="51">
        <f t="shared" si="19"/>
        <v>2</v>
      </c>
      <c r="J265" s="51" t="str">
        <f t="shared" si="19"/>
        <v/>
      </c>
      <c r="K265" s="37" t="s">
        <v>47</v>
      </c>
      <c r="L265" s="37" t="s">
        <v>47</v>
      </c>
      <c r="M265" s="37"/>
      <c r="N265" s="37"/>
      <c r="O265" s="37"/>
      <c r="P265" s="37"/>
      <c r="Q265" s="37" t="s">
        <v>47</v>
      </c>
      <c r="R265" s="37" t="s">
        <v>47</v>
      </c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M265" s="38"/>
      <c r="AN265" s="38"/>
      <c r="AO265" s="38"/>
      <c r="AP265" s="38"/>
      <c r="AQ265" s="38"/>
      <c r="AR265" s="38"/>
      <c r="AS265" s="38" t="s">
        <v>47</v>
      </c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77">
        <f t="shared" ref="BE265:BE328" si="22">COUNTIF(AM265:BD265,"X")</f>
        <v>1</v>
      </c>
      <c r="BF265" s="38"/>
    </row>
    <row r="266" spans="1:58" ht="22.5" hidden="1" customHeight="1">
      <c r="A266" s="33" t="str">
        <f>IF(OR(ISBLANK(E266),ISBLANK(C266)),"",IF(COUNTIF($E$8:E266,E266)&gt;1,"",(MAX($A$7:A265)+1)))</f>
        <v/>
      </c>
      <c r="B266" s="34">
        <f>IF(ISBLANK(C266),"",SUBTOTAL(3,$C$8:C266))</f>
        <v>44</v>
      </c>
      <c r="C266" s="78" t="s">
        <v>609</v>
      </c>
      <c r="D266" s="50" t="s">
        <v>610</v>
      </c>
      <c r="E266" s="50" t="s">
        <v>594</v>
      </c>
      <c r="F266" s="35" t="str">
        <f t="shared" si="20"/>
        <v/>
      </c>
      <c r="G266" s="36" t="str">
        <f t="shared" si="21"/>
        <v>B</v>
      </c>
      <c r="H266" s="51">
        <f t="shared" si="19"/>
        <v>1</v>
      </c>
      <c r="I266" s="51">
        <f t="shared" si="19"/>
        <v>2</v>
      </c>
      <c r="J266" s="51" t="str">
        <f t="shared" si="19"/>
        <v/>
      </c>
      <c r="K266" s="37" t="s">
        <v>47</v>
      </c>
      <c r="L266" s="37"/>
      <c r="M266" s="37"/>
      <c r="N266" s="37"/>
      <c r="O266" s="37" t="s">
        <v>47</v>
      </c>
      <c r="P266" s="37"/>
      <c r="Q266" s="37"/>
      <c r="R266" s="37" t="s">
        <v>47</v>
      </c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M266" s="38"/>
      <c r="AN266" s="38"/>
      <c r="AO266" s="38"/>
      <c r="AP266" s="38"/>
      <c r="AQ266" s="38"/>
      <c r="AR266" s="38"/>
      <c r="AS266" s="38"/>
      <c r="AT266" s="38"/>
      <c r="AU266" s="38" t="s">
        <v>47</v>
      </c>
      <c r="AV266" s="38"/>
      <c r="AW266" s="38" t="s">
        <v>47</v>
      </c>
      <c r="AX266" s="38"/>
      <c r="AY266" s="38"/>
      <c r="AZ266" s="38"/>
      <c r="BA266" s="38"/>
      <c r="BB266" s="38"/>
      <c r="BC266" s="38"/>
      <c r="BD266" s="38"/>
      <c r="BE266" s="77">
        <f t="shared" si="22"/>
        <v>2</v>
      </c>
      <c r="BF266" s="38"/>
    </row>
    <row r="267" spans="1:58" ht="22.5" hidden="1" customHeight="1">
      <c r="A267" s="33" t="str">
        <f>IF(OR(ISBLANK(E267),ISBLANK(C267)),"",IF(COUNTIF($E$8:E267,E267)&gt;1,"",(MAX($A$7:A266)+1)))</f>
        <v/>
      </c>
      <c r="B267" s="34">
        <f>IF(ISBLANK(C267),"",SUBTOTAL(3,$C$8:C267))</f>
        <v>44</v>
      </c>
      <c r="C267" s="78" t="s">
        <v>611</v>
      </c>
      <c r="D267" s="50" t="s">
        <v>612</v>
      </c>
      <c r="E267" s="50" t="s">
        <v>594</v>
      </c>
      <c r="F267" s="35" t="str">
        <f t="shared" si="20"/>
        <v/>
      </c>
      <c r="G267" s="36" t="str">
        <f t="shared" si="21"/>
        <v>C</v>
      </c>
      <c r="H267" s="51">
        <f t="shared" si="19"/>
        <v>1</v>
      </c>
      <c r="I267" s="51" t="str">
        <f t="shared" si="19"/>
        <v/>
      </c>
      <c r="J267" s="51" t="str">
        <f t="shared" si="19"/>
        <v/>
      </c>
      <c r="K267" s="37" t="s">
        <v>47</v>
      </c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 t="s">
        <v>47</v>
      </c>
      <c r="BA267" s="38"/>
      <c r="BB267" s="38"/>
      <c r="BC267" s="38"/>
      <c r="BD267" s="38"/>
      <c r="BE267" s="77">
        <f t="shared" si="22"/>
        <v>1</v>
      </c>
      <c r="BF267" s="38"/>
    </row>
    <row r="268" spans="1:58" ht="22.5" hidden="1" customHeight="1">
      <c r="A268" s="33" t="str">
        <f>IF(OR(ISBLANK(E268),ISBLANK(C268)),"",IF(COUNTIF($E$8:E268,E268)&gt;1,"",(MAX($A$7:A267)+1)))</f>
        <v/>
      </c>
      <c r="B268" s="34">
        <f>IF(ISBLANK(C268),"",SUBTOTAL(3,$C$8:C268))</f>
        <v>44</v>
      </c>
      <c r="C268" s="78" t="s">
        <v>613</v>
      </c>
      <c r="D268" s="50" t="s">
        <v>614</v>
      </c>
      <c r="E268" s="50" t="s">
        <v>594</v>
      </c>
      <c r="F268" s="35" t="str">
        <f t="shared" si="20"/>
        <v/>
      </c>
      <c r="G268" s="36" t="str">
        <f t="shared" si="21"/>
        <v>B</v>
      </c>
      <c r="H268" s="51">
        <f t="shared" si="19"/>
        <v>2</v>
      </c>
      <c r="I268" s="51" t="str">
        <f t="shared" si="19"/>
        <v/>
      </c>
      <c r="J268" s="51" t="str">
        <f t="shared" si="19"/>
        <v/>
      </c>
      <c r="K268" s="37" t="s">
        <v>47</v>
      </c>
      <c r="L268" s="37"/>
      <c r="M268" s="37"/>
      <c r="N268" s="37"/>
      <c r="O268" s="37"/>
      <c r="P268" s="37"/>
      <c r="Q268" s="37" t="s">
        <v>47</v>
      </c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 t="s">
        <v>47</v>
      </c>
      <c r="AX268" s="38"/>
      <c r="AY268" s="38"/>
      <c r="AZ268" s="38"/>
      <c r="BA268" s="38"/>
      <c r="BB268" s="38"/>
      <c r="BC268" s="38"/>
      <c r="BD268" s="38"/>
      <c r="BE268" s="77">
        <f t="shared" si="22"/>
        <v>1</v>
      </c>
      <c r="BF268" s="38"/>
    </row>
    <row r="269" spans="1:58" ht="22.5" hidden="1" customHeight="1">
      <c r="A269" s="33" t="str">
        <f>IF(OR(ISBLANK(E269),ISBLANK(C269)),"",IF(COUNTIF($E$8:E269,E269)&gt;1,"",(MAX($A$7:A268)+1)))</f>
        <v/>
      </c>
      <c r="B269" s="34">
        <f>IF(ISBLANK(C269),"",SUBTOTAL(3,$C$8:C269))</f>
        <v>44</v>
      </c>
      <c r="C269" s="78" t="s">
        <v>615</v>
      </c>
      <c r="D269" s="50" t="s">
        <v>616</v>
      </c>
      <c r="E269" s="50" t="s">
        <v>594</v>
      </c>
      <c r="F269" s="35" t="str">
        <f t="shared" si="20"/>
        <v/>
      </c>
      <c r="G269" s="36" t="str">
        <f t="shared" si="21"/>
        <v/>
      </c>
      <c r="H269" s="51" t="str">
        <f t="shared" si="19"/>
        <v/>
      </c>
      <c r="I269" s="51" t="str">
        <f t="shared" si="19"/>
        <v/>
      </c>
      <c r="J269" s="51" t="str">
        <f t="shared" si="19"/>
        <v/>
      </c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M269" s="38"/>
      <c r="AN269" s="38" t="s">
        <v>47</v>
      </c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77">
        <f t="shared" si="22"/>
        <v>1</v>
      </c>
      <c r="BF269" s="38"/>
    </row>
    <row r="270" spans="1:58" ht="22.5" hidden="1" customHeight="1">
      <c r="A270" s="33" t="str">
        <f>IF(OR(ISBLANK(E270),ISBLANK(C270)),"",IF(COUNTIF($E$8:E270,E270)&gt;1,"",(MAX($A$7:A269)+1)))</f>
        <v/>
      </c>
      <c r="B270" s="34">
        <f>IF(ISBLANK(C270),"",SUBTOTAL(3,$C$8:C270))</f>
        <v>44</v>
      </c>
      <c r="C270" s="78" t="s">
        <v>617</v>
      </c>
      <c r="D270" s="50" t="s">
        <v>618</v>
      </c>
      <c r="E270" s="50" t="s">
        <v>594</v>
      </c>
      <c r="F270" s="35" t="str">
        <f t="shared" si="20"/>
        <v/>
      </c>
      <c r="G270" s="36" t="str">
        <f t="shared" si="21"/>
        <v>C</v>
      </c>
      <c r="H270" s="51">
        <f t="shared" si="19"/>
        <v>1</v>
      </c>
      <c r="I270" s="51" t="str">
        <f t="shared" si="19"/>
        <v/>
      </c>
      <c r="J270" s="51" t="str">
        <f t="shared" si="19"/>
        <v/>
      </c>
      <c r="K270" s="37" t="s">
        <v>47</v>
      </c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M270" s="38"/>
      <c r="AN270" s="38"/>
      <c r="AO270" s="38"/>
      <c r="AP270" s="38"/>
      <c r="AQ270" s="38"/>
      <c r="AR270" s="38"/>
      <c r="AS270" s="38"/>
      <c r="AT270" s="38"/>
      <c r="AU270" s="38" t="s">
        <v>47</v>
      </c>
      <c r="AV270" s="38"/>
      <c r="AW270" s="38"/>
      <c r="AX270" s="38"/>
      <c r="AY270" s="38"/>
      <c r="AZ270" s="38"/>
      <c r="BA270" s="38"/>
      <c r="BB270" s="38"/>
      <c r="BC270" s="38"/>
      <c r="BD270" s="38"/>
      <c r="BE270" s="77">
        <f t="shared" si="22"/>
        <v>1</v>
      </c>
      <c r="BF270" s="38"/>
    </row>
    <row r="271" spans="1:58" ht="22.5" hidden="1" customHeight="1">
      <c r="A271" s="33" t="str">
        <f>IF(OR(ISBLANK(E271),ISBLANK(C271)),"",IF(COUNTIF($E$8:E271,E271)&gt;1,"",(MAX($A$7:A270)+1)))</f>
        <v/>
      </c>
      <c r="B271" s="34">
        <f>IF(ISBLANK(C271),"",SUBTOTAL(3,$C$8:C271))</f>
        <v>44</v>
      </c>
      <c r="C271" s="80" t="s">
        <v>619</v>
      </c>
      <c r="D271" s="52" t="s">
        <v>620</v>
      </c>
      <c r="E271" s="50" t="s">
        <v>594</v>
      </c>
      <c r="F271" s="35" t="str">
        <f t="shared" si="20"/>
        <v/>
      </c>
      <c r="G271" s="36" t="str">
        <f t="shared" si="21"/>
        <v>B</v>
      </c>
      <c r="H271" s="51">
        <f t="shared" si="19"/>
        <v>2</v>
      </c>
      <c r="I271" s="51">
        <f t="shared" si="19"/>
        <v>1</v>
      </c>
      <c r="J271" s="51" t="str">
        <f t="shared" si="19"/>
        <v/>
      </c>
      <c r="K271" s="37" t="s">
        <v>47</v>
      </c>
      <c r="L271" s="37"/>
      <c r="M271" s="37"/>
      <c r="N271" s="37"/>
      <c r="O271" s="37" t="s">
        <v>47</v>
      </c>
      <c r="P271" s="37"/>
      <c r="Q271" s="37" t="s">
        <v>47</v>
      </c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M271" s="38"/>
      <c r="AN271" s="38"/>
      <c r="AO271" s="38"/>
      <c r="AP271" s="38"/>
      <c r="AQ271" s="38"/>
      <c r="AR271" s="38"/>
      <c r="AS271" s="38" t="s">
        <v>47</v>
      </c>
      <c r="AT271" s="38"/>
      <c r="AU271" s="38" t="s">
        <v>47</v>
      </c>
      <c r="AV271" s="38"/>
      <c r="AW271" s="38"/>
      <c r="AX271" s="38"/>
      <c r="AY271" s="38" t="s">
        <v>47</v>
      </c>
      <c r="AZ271" s="38"/>
      <c r="BA271" s="38"/>
      <c r="BB271" s="38"/>
      <c r="BC271" s="38"/>
      <c r="BD271" s="38"/>
      <c r="BE271" s="77">
        <f t="shared" si="22"/>
        <v>3</v>
      </c>
      <c r="BF271" s="38"/>
    </row>
    <row r="272" spans="1:58" ht="22.5" hidden="1" customHeight="1">
      <c r="A272" s="33" t="str">
        <f>IF(OR(ISBLANK(E272),ISBLANK(C272)),"",IF(COUNTIF($E$8:E272,E272)&gt;1,"",(MAX($A$7:A271)+1)))</f>
        <v/>
      </c>
      <c r="B272" s="34">
        <f>IF(ISBLANK(C272),"",SUBTOTAL(3,$C$8:C272))</f>
        <v>44</v>
      </c>
      <c r="C272" s="80" t="s">
        <v>621</v>
      </c>
      <c r="D272" s="52" t="s">
        <v>622</v>
      </c>
      <c r="E272" s="50" t="s">
        <v>594</v>
      </c>
      <c r="F272" s="35" t="str">
        <f t="shared" si="20"/>
        <v/>
      </c>
      <c r="G272" s="36" t="str">
        <f t="shared" si="21"/>
        <v>C</v>
      </c>
      <c r="H272" s="51">
        <f t="shared" si="19"/>
        <v>1</v>
      </c>
      <c r="I272" s="51">
        <f t="shared" si="19"/>
        <v>1</v>
      </c>
      <c r="J272" s="51" t="str">
        <f t="shared" si="19"/>
        <v/>
      </c>
      <c r="K272" s="37" t="s">
        <v>47</v>
      </c>
      <c r="L272" s="37"/>
      <c r="M272" s="37"/>
      <c r="N272" s="37"/>
      <c r="O272" s="37" t="s">
        <v>47</v>
      </c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M272" s="38"/>
      <c r="AN272" s="38"/>
      <c r="AO272" s="38"/>
      <c r="AP272" s="38"/>
      <c r="AQ272" s="38"/>
      <c r="AR272" s="38" t="s">
        <v>47</v>
      </c>
      <c r="AS272" s="38"/>
      <c r="AT272" s="38"/>
      <c r="AU272" s="38" t="s">
        <v>47</v>
      </c>
      <c r="AV272" s="38"/>
      <c r="AW272" s="38"/>
      <c r="AX272" s="38"/>
      <c r="AY272" s="38"/>
      <c r="AZ272" s="38"/>
      <c r="BA272" s="38"/>
      <c r="BB272" s="38"/>
      <c r="BC272" s="38"/>
      <c r="BD272" s="38"/>
      <c r="BE272" s="77">
        <f t="shared" si="22"/>
        <v>2</v>
      </c>
      <c r="BF272" s="38"/>
    </row>
    <row r="273" spans="1:58" ht="22.5" hidden="1" customHeight="1">
      <c r="A273" s="33" t="str">
        <f>IF(OR(ISBLANK(E273),ISBLANK(C273)),"",IF(COUNTIF($E$8:E273,E273)&gt;1,"",(MAX($A$7:A272)+1)))</f>
        <v/>
      </c>
      <c r="B273" s="34">
        <f>IF(ISBLANK(C273),"",SUBTOTAL(3,$C$8:C273))</f>
        <v>44</v>
      </c>
      <c r="C273" s="80" t="s">
        <v>623</v>
      </c>
      <c r="D273" s="50" t="s">
        <v>624</v>
      </c>
      <c r="E273" s="50" t="s">
        <v>594</v>
      </c>
      <c r="F273" s="35" t="str">
        <f t="shared" si="20"/>
        <v/>
      </c>
      <c r="G273" s="36" t="str">
        <f t="shared" si="21"/>
        <v>C</v>
      </c>
      <c r="H273" s="51">
        <f t="shared" si="19"/>
        <v>1</v>
      </c>
      <c r="I273" s="51" t="str">
        <f t="shared" si="19"/>
        <v/>
      </c>
      <c r="J273" s="51" t="str">
        <f t="shared" si="19"/>
        <v/>
      </c>
      <c r="K273" s="37" t="s">
        <v>47</v>
      </c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 t="s">
        <v>47</v>
      </c>
      <c r="BD273" s="38"/>
      <c r="BE273" s="77">
        <f t="shared" si="22"/>
        <v>1</v>
      </c>
      <c r="BF273" s="38"/>
    </row>
    <row r="274" spans="1:58" ht="22.5" hidden="1" customHeight="1">
      <c r="A274" s="33" t="str">
        <f>IF(OR(ISBLANK(E274),ISBLANK(C274)),"",IF(COUNTIF($E$8:E274,E274)&gt;1,"",(MAX($A$7:A273)+1)))</f>
        <v/>
      </c>
      <c r="B274" s="34">
        <f>IF(ISBLANK(C274),"",SUBTOTAL(3,$C$8:C274))</f>
        <v>44</v>
      </c>
      <c r="C274" s="80" t="s">
        <v>625</v>
      </c>
      <c r="D274" s="50" t="s">
        <v>626</v>
      </c>
      <c r="E274" s="50" t="s">
        <v>594</v>
      </c>
      <c r="F274" s="35" t="str">
        <f t="shared" si="20"/>
        <v/>
      </c>
      <c r="G274" s="36" t="str">
        <f t="shared" si="21"/>
        <v>A</v>
      </c>
      <c r="H274" s="51">
        <f t="shared" si="19"/>
        <v>3</v>
      </c>
      <c r="I274" s="51" t="str">
        <f t="shared" si="19"/>
        <v/>
      </c>
      <c r="J274" s="51" t="str">
        <f t="shared" si="19"/>
        <v/>
      </c>
      <c r="K274" s="37" t="s">
        <v>47</v>
      </c>
      <c r="L274" s="37"/>
      <c r="M274" s="37"/>
      <c r="N274" s="37" t="s">
        <v>47</v>
      </c>
      <c r="O274" s="37"/>
      <c r="P274" s="37"/>
      <c r="Q274" s="37" t="s">
        <v>47</v>
      </c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 t="s">
        <v>47</v>
      </c>
      <c r="BE274" s="77">
        <f t="shared" si="22"/>
        <v>1</v>
      </c>
      <c r="BF274" s="38"/>
    </row>
    <row r="275" spans="1:58" ht="22.5" hidden="1" customHeight="1">
      <c r="A275" s="33" t="str">
        <f>IF(OR(ISBLANK(E275),ISBLANK(C275)),"",IF(COUNTIF($E$8:E275,E275)&gt;1,"",(MAX($A$7:A274)+1)))</f>
        <v/>
      </c>
      <c r="B275" s="34">
        <f>IF(ISBLANK(C275),"",SUBTOTAL(3,$C$8:C275))</f>
        <v>44</v>
      </c>
      <c r="C275" s="80" t="s">
        <v>627</v>
      </c>
      <c r="D275" s="50" t="s">
        <v>628</v>
      </c>
      <c r="E275" s="50" t="s">
        <v>594</v>
      </c>
      <c r="F275" s="35" t="str">
        <f t="shared" si="20"/>
        <v/>
      </c>
      <c r="G275" s="36" t="str">
        <f t="shared" si="21"/>
        <v>C</v>
      </c>
      <c r="H275" s="51">
        <f t="shared" si="19"/>
        <v>1</v>
      </c>
      <c r="I275" s="51" t="str">
        <f t="shared" si="19"/>
        <v/>
      </c>
      <c r="J275" s="51" t="str">
        <f t="shared" si="19"/>
        <v/>
      </c>
      <c r="K275" s="37" t="s">
        <v>47</v>
      </c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M275" s="38"/>
      <c r="AN275" s="38"/>
      <c r="AO275" s="38"/>
      <c r="AP275" s="38"/>
      <c r="AQ275" s="38"/>
      <c r="AR275" s="38"/>
      <c r="AS275" s="38"/>
      <c r="AT275" s="38"/>
      <c r="AU275" s="38" t="s">
        <v>47</v>
      </c>
      <c r="AV275" s="38"/>
      <c r="AW275" s="38"/>
      <c r="AX275" s="38"/>
      <c r="AY275" s="38"/>
      <c r="AZ275" s="38"/>
      <c r="BA275" s="38"/>
      <c r="BB275" s="38"/>
      <c r="BC275" s="38"/>
      <c r="BD275" s="38"/>
      <c r="BE275" s="77">
        <f t="shared" si="22"/>
        <v>1</v>
      </c>
      <c r="BF275" s="38"/>
    </row>
    <row r="276" spans="1:58" ht="22.5" hidden="1" customHeight="1">
      <c r="A276" s="33" t="str">
        <f>IF(OR(ISBLANK(E276),ISBLANK(C276)),"",IF(COUNTIF($E$8:E276,E276)&gt;1,"",(MAX($A$7:A275)+1)))</f>
        <v/>
      </c>
      <c r="B276" s="34">
        <f>IF(ISBLANK(C276),"",SUBTOTAL(3,$C$8:C276))</f>
        <v>44</v>
      </c>
      <c r="C276" s="80" t="s">
        <v>629</v>
      </c>
      <c r="D276" s="50" t="s">
        <v>630</v>
      </c>
      <c r="E276" s="50" t="s">
        <v>594</v>
      </c>
      <c r="F276" s="35" t="str">
        <f t="shared" si="20"/>
        <v/>
      </c>
      <c r="G276" s="36" t="str">
        <f t="shared" si="21"/>
        <v>A</v>
      </c>
      <c r="H276" s="51">
        <f t="shared" si="19"/>
        <v>3</v>
      </c>
      <c r="I276" s="51">
        <f t="shared" si="19"/>
        <v>1</v>
      </c>
      <c r="J276" s="51" t="str">
        <f t="shared" si="19"/>
        <v/>
      </c>
      <c r="K276" s="37" t="s">
        <v>47</v>
      </c>
      <c r="L276" s="37"/>
      <c r="M276" s="37"/>
      <c r="N276" s="37"/>
      <c r="O276" s="37" t="s">
        <v>47</v>
      </c>
      <c r="P276" s="37"/>
      <c r="Q276" s="37" t="s">
        <v>47</v>
      </c>
      <c r="R276" s="37"/>
      <c r="S276" s="37"/>
      <c r="T276" s="37" t="s">
        <v>47</v>
      </c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 t="s">
        <v>47</v>
      </c>
      <c r="AX276" s="38"/>
      <c r="AY276" s="38"/>
      <c r="AZ276" s="38"/>
      <c r="BA276" s="38"/>
      <c r="BB276" s="38" t="s">
        <v>47</v>
      </c>
      <c r="BC276" s="38"/>
      <c r="BD276" s="38"/>
      <c r="BE276" s="77">
        <f t="shared" si="22"/>
        <v>2</v>
      </c>
      <c r="BF276" s="38"/>
    </row>
    <row r="277" spans="1:58" ht="22.5" hidden="1" customHeight="1">
      <c r="A277" s="33" t="str">
        <f>IF(OR(ISBLANK(E277),ISBLANK(C277)),"",IF(COUNTIF($E$8:E277,E277)&gt;1,"",(MAX($A$7:A276)+1)))</f>
        <v/>
      </c>
      <c r="B277" s="34">
        <f>IF(ISBLANK(C277),"",SUBTOTAL(3,$C$8:C277))</f>
        <v>44</v>
      </c>
      <c r="C277" s="80" t="s">
        <v>631</v>
      </c>
      <c r="D277" s="50" t="s">
        <v>632</v>
      </c>
      <c r="E277" s="50" t="s">
        <v>594</v>
      </c>
      <c r="F277" s="35" t="str">
        <f t="shared" si="20"/>
        <v/>
      </c>
      <c r="G277" s="36" t="str">
        <f t="shared" si="21"/>
        <v>B</v>
      </c>
      <c r="H277" s="51">
        <f t="shared" si="19"/>
        <v>2</v>
      </c>
      <c r="I277" s="51" t="str">
        <f t="shared" si="19"/>
        <v/>
      </c>
      <c r="J277" s="51" t="str">
        <f t="shared" si="19"/>
        <v/>
      </c>
      <c r="K277" s="37" t="s">
        <v>47</v>
      </c>
      <c r="L277" s="37"/>
      <c r="M277" s="37"/>
      <c r="N277" s="37"/>
      <c r="O277" s="37"/>
      <c r="P277" s="37"/>
      <c r="Q277" s="37" t="s">
        <v>47</v>
      </c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 t="s">
        <v>47</v>
      </c>
      <c r="AX277" s="38"/>
      <c r="AY277" s="38"/>
      <c r="AZ277" s="38"/>
      <c r="BA277" s="38"/>
      <c r="BB277" s="38"/>
      <c r="BC277" s="38"/>
      <c r="BD277" s="38"/>
      <c r="BE277" s="77">
        <f t="shared" si="22"/>
        <v>1</v>
      </c>
      <c r="BF277" s="38"/>
    </row>
    <row r="278" spans="1:58" ht="22.5" hidden="1" customHeight="1">
      <c r="A278" s="33" t="str">
        <f>IF(OR(ISBLANK(E278),ISBLANK(C278)),"",IF(COUNTIF($E$8:E278,E278)&gt;1,"",(MAX($A$7:A277)+1)))</f>
        <v/>
      </c>
      <c r="B278" s="34">
        <f>IF(ISBLANK(C278),"",SUBTOTAL(3,$C$8:C278))</f>
        <v>44</v>
      </c>
      <c r="C278" s="79" t="s">
        <v>633</v>
      </c>
      <c r="D278" s="50" t="s">
        <v>634</v>
      </c>
      <c r="E278" s="50" t="s">
        <v>594</v>
      </c>
      <c r="F278" s="35" t="str">
        <f t="shared" si="20"/>
        <v/>
      </c>
      <c r="G278" s="36" t="str">
        <f t="shared" si="21"/>
        <v>B</v>
      </c>
      <c r="H278" s="51">
        <f t="shared" si="19"/>
        <v>2</v>
      </c>
      <c r="I278" s="51" t="str">
        <f t="shared" si="19"/>
        <v/>
      </c>
      <c r="J278" s="51" t="str">
        <f t="shared" si="19"/>
        <v/>
      </c>
      <c r="K278" s="37" t="s">
        <v>47</v>
      </c>
      <c r="L278" s="37"/>
      <c r="M278" s="37"/>
      <c r="N278" s="37"/>
      <c r="O278" s="37"/>
      <c r="P278" s="37"/>
      <c r="Q278" s="37" t="s">
        <v>47</v>
      </c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 t="s">
        <v>47</v>
      </c>
      <c r="AX278" s="38" t="s">
        <v>47</v>
      </c>
      <c r="AY278" s="38"/>
      <c r="AZ278" s="38"/>
      <c r="BA278" s="38"/>
      <c r="BB278" s="38"/>
      <c r="BC278" s="38"/>
      <c r="BD278" s="38"/>
      <c r="BE278" s="77">
        <f t="shared" si="22"/>
        <v>2</v>
      </c>
      <c r="BF278" s="38"/>
    </row>
    <row r="279" spans="1:58" ht="22.5" hidden="1" customHeight="1">
      <c r="A279" s="33" t="str">
        <f>IF(OR(ISBLANK(E279),ISBLANK(C279)),"",IF(COUNTIF($E$8:E279,E279)&gt;1,"",(MAX($A$7:A278)+1)))</f>
        <v/>
      </c>
      <c r="B279" s="34">
        <f>IF(ISBLANK(C279),"",SUBTOTAL(3,$C$8:C279))</f>
        <v>44</v>
      </c>
      <c r="C279" s="78" t="s">
        <v>635</v>
      </c>
      <c r="D279" s="50" t="s">
        <v>636</v>
      </c>
      <c r="E279" s="50" t="s">
        <v>594</v>
      </c>
      <c r="F279" s="35" t="str">
        <f t="shared" si="20"/>
        <v/>
      </c>
      <c r="G279" s="36" t="str">
        <f t="shared" si="21"/>
        <v>B</v>
      </c>
      <c r="H279" s="51">
        <f t="shared" si="19"/>
        <v>2</v>
      </c>
      <c r="I279" s="51">
        <f t="shared" si="19"/>
        <v>1</v>
      </c>
      <c r="J279" s="51" t="str">
        <f t="shared" si="19"/>
        <v/>
      </c>
      <c r="K279" s="37" t="s">
        <v>47</v>
      </c>
      <c r="L279" s="37"/>
      <c r="M279" s="37"/>
      <c r="N279" s="37" t="s">
        <v>47</v>
      </c>
      <c r="O279" s="37"/>
      <c r="P279" s="37"/>
      <c r="Q279" s="37"/>
      <c r="R279" s="37" t="s">
        <v>47</v>
      </c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 t="s">
        <v>47</v>
      </c>
      <c r="AX279" s="38"/>
      <c r="AY279" s="38"/>
      <c r="AZ279" s="38"/>
      <c r="BA279" s="38"/>
      <c r="BB279" s="38" t="s">
        <v>47</v>
      </c>
      <c r="BC279" s="38"/>
      <c r="BD279" s="38"/>
      <c r="BE279" s="77">
        <f t="shared" si="22"/>
        <v>2</v>
      </c>
      <c r="BF279" s="38"/>
    </row>
    <row r="280" spans="1:58" ht="22.5" hidden="1" customHeight="1">
      <c r="A280" s="33" t="str">
        <f>IF(OR(ISBLANK(E280),ISBLANK(C280)),"",IF(COUNTIF($E$8:E280,E280)&gt;1,"",(MAX($A$7:A279)+1)))</f>
        <v/>
      </c>
      <c r="B280" s="34">
        <f>IF(ISBLANK(C280),"",SUBTOTAL(3,$C$8:C280))</f>
        <v>44</v>
      </c>
      <c r="C280" s="80" t="s">
        <v>637</v>
      </c>
      <c r="D280" s="50" t="s">
        <v>638</v>
      </c>
      <c r="E280" s="50" t="s">
        <v>594</v>
      </c>
      <c r="F280" s="35" t="str">
        <f t="shared" si="20"/>
        <v/>
      </c>
      <c r="G280" s="36" t="str">
        <f t="shared" si="21"/>
        <v>D</v>
      </c>
      <c r="H280" s="51" t="str">
        <f t="shared" ref="H280:J343" si="23">IF(OR(ISBLANK($C280),COUNTIFS($K280:$AH280,"X",$K$7:$AH$7,H$7)=0,),"",COUNTIFS($K280:$AH280,"X",$K$7:$AH$7,H$7))</f>
        <v/>
      </c>
      <c r="I280" s="51" t="str">
        <f t="shared" si="23"/>
        <v/>
      </c>
      <c r="J280" s="51">
        <f t="shared" si="23"/>
        <v>2</v>
      </c>
      <c r="K280" s="37"/>
      <c r="L280" s="37"/>
      <c r="M280" s="37" t="s">
        <v>47</v>
      </c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 t="s">
        <v>47</v>
      </c>
      <c r="AF280" s="37"/>
      <c r="AG280" s="37"/>
      <c r="AH280" s="37"/>
      <c r="AI280" s="37"/>
      <c r="AJ280" s="37"/>
      <c r="AK280" s="37"/>
      <c r="AM280" s="38"/>
      <c r="AN280" s="38"/>
      <c r="AO280" s="38"/>
      <c r="AP280" s="38"/>
      <c r="AQ280" s="38" t="s">
        <v>47</v>
      </c>
      <c r="AR280" s="38" t="s">
        <v>47</v>
      </c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77">
        <f t="shared" si="22"/>
        <v>2</v>
      </c>
      <c r="BF280" s="38"/>
    </row>
    <row r="281" spans="1:58" ht="22.5" hidden="1" customHeight="1">
      <c r="A281" s="33" t="str">
        <f>IF(OR(ISBLANK(E281),ISBLANK(C281)),"",IF(COUNTIF($E$8:E281,E281)&gt;1,"",(MAX($A$7:A280)+1)))</f>
        <v/>
      </c>
      <c r="B281" s="34">
        <f>IF(ISBLANK(C281),"",SUBTOTAL(3,$C$8:C281))</f>
        <v>44</v>
      </c>
      <c r="C281" s="80" t="s">
        <v>639</v>
      </c>
      <c r="D281" s="50" t="s">
        <v>640</v>
      </c>
      <c r="E281" s="50" t="s">
        <v>594</v>
      </c>
      <c r="F281" s="35" t="str">
        <f t="shared" si="20"/>
        <v/>
      </c>
      <c r="G281" s="36" t="str">
        <f t="shared" si="21"/>
        <v>C</v>
      </c>
      <c r="H281" s="51" t="str">
        <f t="shared" si="23"/>
        <v/>
      </c>
      <c r="I281" s="51">
        <f t="shared" si="23"/>
        <v>2</v>
      </c>
      <c r="J281" s="51" t="str">
        <f t="shared" si="23"/>
        <v/>
      </c>
      <c r="K281" s="37"/>
      <c r="L281" s="37" t="s">
        <v>47</v>
      </c>
      <c r="M281" s="37"/>
      <c r="N281" s="37"/>
      <c r="O281" s="37"/>
      <c r="P281" s="37"/>
      <c r="Q281" s="37"/>
      <c r="R281" s="37" t="s">
        <v>47</v>
      </c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M281" s="38"/>
      <c r="AN281" s="38"/>
      <c r="AO281" s="38"/>
      <c r="AP281" s="38"/>
      <c r="AQ281" s="38"/>
      <c r="AR281" s="38"/>
      <c r="AS281" s="38" t="s">
        <v>47</v>
      </c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77">
        <f t="shared" si="22"/>
        <v>1</v>
      </c>
      <c r="BF281" s="38"/>
    </row>
    <row r="282" spans="1:58" ht="22.5" hidden="1" customHeight="1">
      <c r="A282" s="33" t="str">
        <f>IF(OR(ISBLANK(E282),ISBLANK(C282)),"",IF(COUNTIF($E$8:E282,E282)&gt;1,"",(MAX($A$7:A281)+1)))</f>
        <v/>
      </c>
      <c r="B282" s="34">
        <f>IF(ISBLANK(C282),"",SUBTOTAL(3,$C$8:C282))</f>
        <v>44</v>
      </c>
      <c r="C282" s="80" t="s">
        <v>641</v>
      </c>
      <c r="D282" s="50" t="s">
        <v>642</v>
      </c>
      <c r="E282" s="50" t="s">
        <v>594</v>
      </c>
      <c r="F282" s="35" t="str">
        <f t="shared" si="20"/>
        <v/>
      </c>
      <c r="G282" s="36" t="str">
        <f t="shared" si="21"/>
        <v>D</v>
      </c>
      <c r="H282" s="51" t="str">
        <f t="shared" si="23"/>
        <v/>
      </c>
      <c r="I282" s="51" t="str">
        <f t="shared" si="23"/>
        <v/>
      </c>
      <c r="J282" s="51">
        <f t="shared" si="23"/>
        <v>2</v>
      </c>
      <c r="K282" s="37"/>
      <c r="L282" s="37"/>
      <c r="M282" s="37" t="s">
        <v>47</v>
      </c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 t="s">
        <v>47</v>
      </c>
      <c r="AF282" s="37"/>
      <c r="AG282" s="37"/>
      <c r="AH282" s="37"/>
      <c r="AI282" s="37"/>
      <c r="AJ282" s="37"/>
      <c r="AK282" s="37"/>
      <c r="AM282" s="38" t="s">
        <v>47</v>
      </c>
      <c r="AN282" s="38"/>
      <c r="AO282" s="38"/>
      <c r="AP282" s="38"/>
      <c r="AQ282" s="38" t="s">
        <v>47</v>
      </c>
      <c r="AR282" s="38" t="s">
        <v>47</v>
      </c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77">
        <f t="shared" si="22"/>
        <v>3</v>
      </c>
      <c r="BF282" s="38"/>
    </row>
    <row r="283" spans="1:58" ht="22.5" hidden="1" customHeight="1">
      <c r="A283" s="33" t="str">
        <f>IF(OR(ISBLANK(E283),ISBLANK(C283)),"",IF(COUNTIF($E$8:E283,E283)&gt;1,"",(MAX($A$7:A282)+1)))</f>
        <v/>
      </c>
      <c r="B283" s="34">
        <f>IF(ISBLANK(C283),"",SUBTOTAL(3,$C$8:C283))</f>
        <v>44</v>
      </c>
      <c r="C283" s="80" t="s">
        <v>643</v>
      </c>
      <c r="D283" s="50" t="s">
        <v>644</v>
      </c>
      <c r="E283" s="50" t="s">
        <v>594</v>
      </c>
      <c r="F283" s="35" t="str">
        <f t="shared" si="20"/>
        <v/>
      </c>
      <c r="G283" s="36" t="str">
        <f t="shared" si="21"/>
        <v>B</v>
      </c>
      <c r="H283" s="51">
        <f t="shared" si="23"/>
        <v>2</v>
      </c>
      <c r="I283" s="51">
        <f t="shared" si="23"/>
        <v>1</v>
      </c>
      <c r="J283" s="51" t="str">
        <f t="shared" si="23"/>
        <v/>
      </c>
      <c r="K283" s="37" t="s">
        <v>47</v>
      </c>
      <c r="L283" s="37"/>
      <c r="M283" s="37"/>
      <c r="N283" s="37"/>
      <c r="O283" s="37" t="s">
        <v>47</v>
      </c>
      <c r="P283" s="37"/>
      <c r="Q283" s="37" t="s">
        <v>47</v>
      </c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 t="s">
        <v>47</v>
      </c>
      <c r="AX283" s="38" t="s">
        <v>47</v>
      </c>
      <c r="AY283" s="38"/>
      <c r="AZ283" s="38"/>
      <c r="BA283" s="38"/>
      <c r="BB283" s="38"/>
      <c r="BC283" s="38"/>
      <c r="BD283" s="38"/>
      <c r="BE283" s="77">
        <f t="shared" si="22"/>
        <v>2</v>
      </c>
      <c r="BF283" s="38"/>
    </row>
    <row r="284" spans="1:58" ht="22.5" hidden="1" customHeight="1">
      <c r="A284" s="33" t="str">
        <f>IF(OR(ISBLANK(E284),ISBLANK(C284)),"",IF(COUNTIF($E$8:E284,E284)&gt;1,"",(MAX($A$7:A283)+1)))</f>
        <v/>
      </c>
      <c r="B284" s="34">
        <f>IF(ISBLANK(C284),"",SUBTOTAL(3,$C$8:C284))</f>
        <v>44</v>
      </c>
      <c r="C284" s="78" t="s">
        <v>645</v>
      </c>
      <c r="D284" s="50" t="s">
        <v>646</v>
      </c>
      <c r="E284" s="50" t="s">
        <v>594</v>
      </c>
      <c r="F284" s="35" t="str">
        <f t="shared" si="20"/>
        <v/>
      </c>
      <c r="G284" s="36" t="str">
        <f t="shared" si="21"/>
        <v>C</v>
      </c>
      <c r="H284" s="51">
        <f t="shared" si="23"/>
        <v>1</v>
      </c>
      <c r="I284" s="51" t="str">
        <f t="shared" si="23"/>
        <v/>
      </c>
      <c r="J284" s="51" t="str">
        <f t="shared" si="23"/>
        <v/>
      </c>
      <c r="K284" s="37" t="s">
        <v>47</v>
      </c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M284" s="38"/>
      <c r="AN284" s="38"/>
      <c r="AO284" s="38"/>
      <c r="AP284" s="38"/>
      <c r="AQ284" s="38"/>
      <c r="AR284" s="38"/>
      <c r="AS284" s="38" t="s">
        <v>47</v>
      </c>
      <c r="AT284" s="38"/>
      <c r="AU284" s="38"/>
      <c r="AV284" s="38"/>
      <c r="AW284" s="38"/>
      <c r="AX284" s="38"/>
      <c r="AY284" s="38" t="s">
        <v>47</v>
      </c>
      <c r="AZ284" s="38"/>
      <c r="BA284" s="38"/>
      <c r="BB284" s="38"/>
      <c r="BC284" s="38"/>
      <c r="BD284" s="38"/>
      <c r="BE284" s="77">
        <f t="shared" si="22"/>
        <v>2</v>
      </c>
      <c r="BF284" s="38"/>
    </row>
    <row r="285" spans="1:58" ht="22.5" hidden="1" customHeight="1">
      <c r="A285" s="33" t="str">
        <f>IF(OR(ISBLANK(E285),ISBLANK(C285)),"",IF(COUNTIF($E$8:E285,E285)&gt;1,"",(MAX($A$7:A284)+1)))</f>
        <v/>
      </c>
      <c r="B285" s="34">
        <f>IF(ISBLANK(C285),"",SUBTOTAL(3,$C$8:C285))</f>
        <v>44</v>
      </c>
      <c r="C285" s="78" t="s">
        <v>647</v>
      </c>
      <c r="D285" s="50" t="s">
        <v>648</v>
      </c>
      <c r="E285" s="50" t="s">
        <v>594</v>
      </c>
      <c r="F285" s="35" t="str">
        <f t="shared" si="20"/>
        <v/>
      </c>
      <c r="G285" s="36" t="str">
        <f t="shared" si="21"/>
        <v>C</v>
      </c>
      <c r="H285" s="51">
        <f t="shared" si="23"/>
        <v>1</v>
      </c>
      <c r="I285" s="51" t="str">
        <f t="shared" si="23"/>
        <v/>
      </c>
      <c r="J285" s="51" t="str">
        <f t="shared" si="23"/>
        <v/>
      </c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 t="s">
        <v>47</v>
      </c>
      <c r="AG285" s="37"/>
      <c r="AH285" s="37"/>
      <c r="AI285" s="37"/>
      <c r="AJ285" s="37"/>
      <c r="AK285" s="37"/>
      <c r="AM285" s="38"/>
      <c r="AN285" s="38"/>
      <c r="AO285" s="38"/>
      <c r="AP285" s="38" t="s">
        <v>47</v>
      </c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77">
        <f t="shared" si="22"/>
        <v>1</v>
      </c>
      <c r="BF285" s="38"/>
    </row>
    <row r="286" spans="1:58" ht="22.5" hidden="1" customHeight="1">
      <c r="A286" s="33" t="str">
        <f>IF(OR(ISBLANK(E286),ISBLANK(C286)),"",IF(COUNTIF($E$8:E286,E286)&gt;1,"",(MAX($A$7:A285)+1)))</f>
        <v/>
      </c>
      <c r="B286" s="34">
        <f>IF(ISBLANK(C286),"",SUBTOTAL(3,$C$8:C286))</f>
        <v>44</v>
      </c>
      <c r="C286" s="78" t="s">
        <v>649</v>
      </c>
      <c r="D286" s="50" t="s">
        <v>650</v>
      </c>
      <c r="E286" s="50" t="s">
        <v>594</v>
      </c>
      <c r="F286" s="35" t="str">
        <f t="shared" si="20"/>
        <v/>
      </c>
      <c r="G286" s="36" t="str">
        <f t="shared" si="21"/>
        <v>C</v>
      </c>
      <c r="H286" s="51">
        <f t="shared" si="23"/>
        <v>1</v>
      </c>
      <c r="I286" s="51" t="str">
        <f t="shared" si="23"/>
        <v/>
      </c>
      <c r="J286" s="51" t="str">
        <f t="shared" si="23"/>
        <v/>
      </c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 t="s">
        <v>47</v>
      </c>
      <c r="AG286" s="37"/>
      <c r="AH286" s="37"/>
      <c r="AI286" s="37"/>
      <c r="AJ286" s="37"/>
      <c r="AK286" s="37"/>
      <c r="AM286" s="38"/>
      <c r="AN286" s="38"/>
      <c r="AO286" s="38"/>
      <c r="AP286" s="38"/>
      <c r="AQ286" s="38" t="s">
        <v>47</v>
      </c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77">
        <f t="shared" si="22"/>
        <v>1</v>
      </c>
      <c r="BF286" s="38"/>
    </row>
    <row r="287" spans="1:58" ht="22.5" hidden="1" customHeight="1">
      <c r="A287" s="33" t="str">
        <f>IF(OR(ISBLANK(E287),ISBLANK(C287)),"",IF(COUNTIF($E$8:E287,E287)&gt;1,"",(MAX($A$7:A286)+1)))</f>
        <v/>
      </c>
      <c r="B287" s="34">
        <f>IF(ISBLANK(C287),"",SUBTOTAL(3,$C$8:C287))</f>
        <v>44</v>
      </c>
      <c r="C287" s="78" t="s">
        <v>651</v>
      </c>
      <c r="D287" s="50" t="s">
        <v>652</v>
      </c>
      <c r="E287" s="50" t="s">
        <v>594</v>
      </c>
      <c r="F287" s="35" t="str">
        <f t="shared" si="20"/>
        <v/>
      </c>
      <c r="G287" s="36" t="str">
        <f t="shared" si="21"/>
        <v>C</v>
      </c>
      <c r="H287" s="51">
        <f t="shared" si="23"/>
        <v>1</v>
      </c>
      <c r="I287" s="51" t="str">
        <f t="shared" si="23"/>
        <v/>
      </c>
      <c r="J287" s="51" t="str">
        <f t="shared" si="23"/>
        <v/>
      </c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 t="s">
        <v>47</v>
      </c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M287" s="38"/>
      <c r="AN287" s="38"/>
      <c r="AO287" s="38" t="s">
        <v>47</v>
      </c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77">
        <f t="shared" si="22"/>
        <v>1</v>
      </c>
      <c r="BF287" s="38"/>
    </row>
    <row r="288" spans="1:58" ht="22.5" hidden="1" customHeight="1">
      <c r="A288" s="33" t="str">
        <f>IF(OR(ISBLANK(E288),ISBLANK(C288)),"",IF(COUNTIF($E$8:E288,E288)&gt;1,"",(MAX($A$7:A287)+1)))</f>
        <v/>
      </c>
      <c r="B288" s="34">
        <f>IF(ISBLANK(C288),"",SUBTOTAL(3,$C$8:C288))</f>
        <v>44</v>
      </c>
      <c r="C288" s="78" t="s">
        <v>653</v>
      </c>
      <c r="D288" s="50" t="s">
        <v>654</v>
      </c>
      <c r="E288" s="50" t="s">
        <v>594</v>
      </c>
      <c r="F288" s="35" t="str">
        <f t="shared" si="20"/>
        <v/>
      </c>
      <c r="G288" s="36" t="str">
        <f t="shared" si="21"/>
        <v>C</v>
      </c>
      <c r="H288" s="51">
        <f t="shared" si="23"/>
        <v>1</v>
      </c>
      <c r="I288" s="51" t="str">
        <f t="shared" si="23"/>
        <v/>
      </c>
      <c r="J288" s="51" t="str">
        <f t="shared" si="23"/>
        <v/>
      </c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 t="s">
        <v>47</v>
      </c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M288" s="38"/>
      <c r="AN288" s="38"/>
      <c r="AO288" s="38" t="s">
        <v>47</v>
      </c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77">
        <f t="shared" si="22"/>
        <v>1</v>
      </c>
      <c r="BF288" s="38"/>
    </row>
    <row r="289" spans="1:58" ht="22.5" hidden="1" customHeight="1">
      <c r="A289" s="33" t="str">
        <f>IF(OR(ISBLANK(E289),ISBLANK(C289)),"",IF(COUNTIF($E$8:E289,E289)&gt;1,"",(MAX($A$7:A288)+1)))</f>
        <v/>
      </c>
      <c r="B289" s="34">
        <f>IF(ISBLANK(C289),"",SUBTOTAL(3,$C$8:C289))</f>
        <v>44</v>
      </c>
      <c r="C289" s="78" t="s">
        <v>655</v>
      </c>
      <c r="D289" s="50" t="s">
        <v>656</v>
      </c>
      <c r="E289" s="50" t="s">
        <v>594</v>
      </c>
      <c r="F289" s="35" t="str">
        <f t="shared" si="20"/>
        <v/>
      </c>
      <c r="G289" s="36" t="str">
        <f t="shared" si="21"/>
        <v>C</v>
      </c>
      <c r="H289" s="51">
        <f t="shared" si="23"/>
        <v>1</v>
      </c>
      <c r="I289" s="51">
        <f t="shared" si="23"/>
        <v>1</v>
      </c>
      <c r="J289" s="51" t="str">
        <f t="shared" si="23"/>
        <v/>
      </c>
      <c r="K289" s="37" t="s">
        <v>47</v>
      </c>
      <c r="L289" s="37"/>
      <c r="M289" s="37"/>
      <c r="N289" s="37"/>
      <c r="O289" s="37"/>
      <c r="P289" s="37"/>
      <c r="Q289" s="37"/>
      <c r="R289" s="37" t="s">
        <v>47</v>
      </c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M289" s="38"/>
      <c r="AN289" s="38"/>
      <c r="AO289" s="38"/>
      <c r="AP289" s="38"/>
      <c r="AQ289" s="38"/>
      <c r="AR289" s="38"/>
      <c r="AS289" s="38" t="s">
        <v>47</v>
      </c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77">
        <f t="shared" si="22"/>
        <v>1</v>
      </c>
      <c r="BF289" s="38"/>
    </row>
    <row r="290" spans="1:58" ht="22.5" hidden="1" customHeight="1">
      <c r="A290" s="33" t="str">
        <f>IF(OR(ISBLANK(E290),ISBLANK(C290)),"",IF(COUNTIF($E$8:E290,E290)&gt;1,"",(MAX($A$7:A289)+1)))</f>
        <v/>
      </c>
      <c r="B290" s="34">
        <f>IF(ISBLANK(C290),"",SUBTOTAL(3,$C$8:C290))</f>
        <v>44</v>
      </c>
      <c r="C290" s="78" t="s">
        <v>657</v>
      </c>
      <c r="D290" s="50" t="s">
        <v>658</v>
      </c>
      <c r="E290" s="50" t="s">
        <v>594</v>
      </c>
      <c r="F290" s="35" t="str">
        <f t="shared" si="20"/>
        <v/>
      </c>
      <c r="G290" s="36" t="str">
        <f t="shared" si="21"/>
        <v>B</v>
      </c>
      <c r="H290" s="51">
        <f t="shared" si="23"/>
        <v>2</v>
      </c>
      <c r="I290" s="51">
        <f t="shared" si="23"/>
        <v>1</v>
      </c>
      <c r="J290" s="51" t="str">
        <f t="shared" si="23"/>
        <v/>
      </c>
      <c r="K290" s="37" t="s">
        <v>47</v>
      </c>
      <c r="L290" s="37"/>
      <c r="M290" s="37"/>
      <c r="N290" s="37" t="s">
        <v>47</v>
      </c>
      <c r="O290" s="37"/>
      <c r="P290" s="37"/>
      <c r="Q290" s="37"/>
      <c r="R290" s="37" t="s">
        <v>47</v>
      </c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 t="s">
        <v>47</v>
      </c>
      <c r="BB290" s="38" t="s">
        <v>47</v>
      </c>
      <c r="BC290" s="38"/>
      <c r="BD290" s="38"/>
      <c r="BE290" s="77">
        <f t="shared" si="22"/>
        <v>2</v>
      </c>
      <c r="BF290" s="38"/>
    </row>
    <row r="291" spans="1:58" ht="22.5" hidden="1" customHeight="1">
      <c r="A291" s="33" t="str">
        <f>IF(OR(ISBLANK(E291),ISBLANK(C291)),"",IF(COUNTIF($E$8:E291,E291)&gt;1,"",(MAX($A$7:A290)+1)))</f>
        <v/>
      </c>
      <c r="B291" s="34">
        <f>IF(ISBLANK(C291),"",SUBTOTAL(3,$C$8:C291))</f>
        <v>44</v>
      </c>
      <c r="C291" s="78" t="s">
        <v>659</v>
      </c>
      <c r="D291" s="50" t="s">
        <v>660</v>
      </c>
      <c r="E291" s="50" t="s">
        <v>594</v>
      </c>
      <c r="F291" s="35" t="str">
        <f t="shared" si="20"/>
        <v/>
      </c>
      <c r="G291" s="36" t="str">
        <f t="shared" si="21"/>
        <v>B</v>
      </c>
      <c r="H291" s="51">
        <f t="shared" si="23"/>
        <v>2</v>
      </c>
      <c r="I291" s="51" t="str">
        <f t="shared" si="23"/>
        <v/>
      </c>
      <c r="J291" s="51" t="str">
        <f t="shared" si="23"/>
        <v/>
      </c>
      <c r="K291" s="37" t="s">
        <v>47</v>
      </c>
      <c r="L291" s="37"/>
      <c r="M291" s="37"/>
      <c r="N291" s="37"/>
      <c r="O291" s="37"/>
      <c r="P291" s="37"/>
      <c r="Q291" s="37" t="s">
        <v>47</v>
      </c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M291" s="38"/>
      <c r="AN291" s="38"/>
      <c r="AO291" s="38"/>
      <c r="AP291" s="38"/>
      <c r="AQ291" s="38"/>
      <c r="AR291" s="38"/>
      <c r="AS291" s="38" t="s">
        <v>47</v>
      </c>
      <c r="AT291" s="38"/>
      <c r="AU291" s="38"/>
      <c r="AV291" s="38" t="s">
        <v>47</v>
      </c>
      <c r="AW291" s="38"/>
      <c r="AX291" s="38"/>
      <c r="AY291" s="38"/>
      <c r="AZ291" s="38"/>
      <c r="BA291" s="38"/>
      <c r="BB291" s="38"/>
      <c r="BC291" s="38"/>
      <c r="BD291" s="38"/>
      <c r="BE291" s="77">
        <f t="shared" si="22"/>
        <v>2</v>
      </c>
      <c r="BF291" s="38"/>
    </row>
    <row r="292" spans="1:58" ht="22.5" hidden="1" customHeight="1">
      <c r="A292" s="33" t="str">
        <f>IF(OR(ISBLANK(E292),ISBLANK(C292)),"",IF(COUNTIF($E$8:E292,E292)&gt;1,"",(MAX($A$7:A291)+1)))</f>
        <v/>
      </c>
      <c r="B292" s="34">
        <f>IF(ISBLANK(C292),"",SUBTOTAL(3,$C$8:C292))</f>
        <v>44</v>
      </c>
      <c r="C292" s="78" t="s">
        <v>661</v>
      </c>
      <c r="D292" s="50" t="s">
        <v>662</v>
      </c>
      <c r="E292" s="50" t="s">
        <v>594</v>
      </c>
      <c r="F292" s="35" t="str">
        <f t="shared" si="20"/>
        <v/>
      </c>
      <c r="G292" s="36" t="str">
        <f t="shared" si="21"/>
        <v>C</v>
      </c>
      <c r="H292" s="51">
        <f t="shared" si="23"/>
        <v>1</v>
      </c>
      <c r="I292" s="51" t="str">
        <f t="shared" si="23"/>
        <v/>
      </c>
      <c r="J292" s="51" t="str">
        <f t="shared" si="23"/>
        <v/>
      </c>
      <c r="K292" s="37" t="s">
        <v>47</v>
      </c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M292" s="38"/>
      <c r="AN292" s="38"/>
      <c r="AO292" s="38"/>
      <c r="AP292" s="38"/>
      <c r="AQ292" s="38"/>
      <c r="AR292" s="38" t="s">
        <v>47</v>
      </c>
      <c r="AS292" s="38"/>
      <c r="AT292" s="38"/>
      <c r="AU292" s="38"/>
      <c r="AV292" s="38"/>
      <c r="AW292" s="38" t="s">
        <v>47</v>
      </c>
      <c r="AX292" s="38"/>
      <c r="AY292" s="38"/>
      <c r="AZ292" s="38"/>
      <c r="BA292" s="38"/>
      <c r="BB292" s="38"/>
      <c r="BC292" s="38"/>
      <c r="BD292" s="38"/>
      <c r="BE292" s="77">
        <f t="shared" si="22"/>
        <v>2</v>
      </c>
      <c r="BF292" s="38"/>
    </row>
    <row r="293" spans="1:58" ht="22.5" hidden="1" customHeight="1">
      <c r="A293" s="33" t="str">
        <f>IF(OR(ISBLANK(E293),ISBLANK(C293)),"",IF(COUNTIF($E$8:E293,E293)&gt;1,"",(MAX($A$7:A292)+1)))</f>
        <v/>
      </c>
      <c r="B293" s="34">
        <f>IF(ISBLANK(C293),"",SUBTOTAL(3,$C$8:C293))</f>
        <v>44</v>
      </c>
      <c r="C293" s="78" t="s">
        <v>663</v>
      </c>
      <c r="D293" s="50" t="s">
        <v>664</v>
      </c>
      <c r="E293" s="50" t="s">
        <v>594</v>
      </c>
      <c r="F293" s="35" t="str">
        <f t="shared" si="20"/>
        <v/>
      </c>
      <c r="G293" s="36" t="str">
        <f t="shared" si="21"/>
        <v>C</v>
      </c>
      <c r="H293" s="51">
        <f t="shared" si="23"/>
        <v>1</v>
      </c>
      <c r="I293" s="51">
        <f t="shared" si="23"/>
        <v>1</v>
      </c>
      <c r="J293" s="51">
        <f t="shared" si="23"/>
        <v>1</v>
      </c>
      <c r="K293" s="37" t="s">
        <v>47</v>
      </c>
      <c r="L293" s="37"/>
      <c r="M293" s="37"/>
      <c r="N293" s="37"/>
      <c r="O293" s="37"/>
      <c r="P293" s="37" t="s">
        <v>47</v>
      </c>
      <c r="Q293" s="37"/>
      <c r="R293" s="37" t="s">
        <v>47</v>
      </c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M293" s="38"/>
      <c r="AN293" s="38"/>
      <c r="AO293" s="38"/>
      <c r="AP293" s="38"/>
      <c r="AQ293" s="38"/>
      <c r="AR293" s="38" t="s">
        <v>47</v>
      </c>
      <c r="AS293" s="38"/>
      <c r="AT293" s="38"/>
      <c r="AU293" s="38"/>
      <c r="AV293" s="38"/>
      <c r="AW293" s="38" t="s">
        <v>47</v>
      </c>
      <c r="AX293" s="38"/>
      <c r="AY293" s="38"/>
      <c r="AZ293" s="38"/>
      <c r="BA293" s="38"/>
      <c r="BB293" s="38"/>
      <c r="BC293" s="38"/>
      <c r="BD293" s="38"/>
      <c r="BE293" s="77">
        <f t="shared" si="22"/>
        <v>2</v>
      </c>
      <c r="BF293" s="38"/>
    </row>
    <row r="294" spans="1:58" ht="22.5" hidden="1" customHeight="1">
      <c r="A294" s="33" t="str">
        <f>IF(OR(ISBLANK(E294),ISBLANK(C294)),"",IF(COUNTIF($E$8:E294,E294)&gt;1,"",(MAX($A$7:A293)+1)))</f>
        <v/>
      </c>
      <c r="B294" s="34">
        <f>IF(ISBLANK(C294),"",SUBTOTAL(3,$C$8:C294))</f>
        <v>44</v>
      </c>
      <c r="C294" s="78" t="s">
        <v>665</v>
      </c>
      <c r="D294" s="50" t="s">
        <v>666</v>
      </c>
      <c r="E294" s="50" t="s">
        <v>594</v>
      </c>
      <c r="F294" s="35" t="str">
        <f t="shared" si="20"/>
        <v/>
      </c>
      <c r="G294" s="36" t="str">
        <f t="shared" si="21"/>
        <v>C</v>
      </c>
      <c r="H294" s="51">
        <f t="shared" si="23"/>
        <v>1</v>
      </c>
      <c r="I294" s="51" t="str">
        <f t="shared" si="23"/>
        <v/>
      </c>
      <c r="J294" s="51" t="str">
        <f t="shared" si="23"/>
        <v/>
      </c>
      <c r="K294" s="37" t="s">
        <v>47</v>
      </c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M294" s="38"/>
      <c r="AN294" s="38"/>
      <c r="AO294" s="38"/>
      <c r="AP294" s="38"/>
      <c r="AQ294" s="38"/>
      <c r="AR294" s="38" t="s">
        <v>47</v>
      </c>
      <c r="AS294" s="38" t="s">
        <v>47</v>
      </c>
      <c r="AT294" s="38" t="s">
        <v>47</v>
      </c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77">
        <f t="shared" si="22"/>
        <v>3</v>
      </c>
      <c r="BF294" s="38"/>
    </row>
    <row r="295" spans="1:58" ht="22.5" hidden="1" customHeight="1">
      <c r="A295" s="33" t="str">
        <f>IF(OR(ISBLANK(E295),ISBLANK(C295)),"",IF(COUNTIF($E$8:E295,E295)&gt;1,"",(MAX($A$7:A294)+1)))</f>
        <v/>
      </c>
      <c r="B295" s="34">
        <f>IF(ISBLANK(C295),"",SUBTOTAL(3,$C$8:C295))</f>
        <v>44</v>
      </c>
      <c r="C295" s="78" t="s">
        <v>667</v>
      </c>
      <c r="D295" s="50" t="s">
        <v>668</v>
      </c>
      <c r="E295" s="50" t="s">
        <v>594</v>
      </c>
      <c r="F295" s="35" t="str">
        <f t="shared" si="20"/>
        <v/>
      </c>
      <c r="G295" s="36" t="str">
        <f t="shared" si="21"/>
        <v>C</v>
      </c>
      <c r="H295" s="51" t="str">
        <f t="shared" si="23"/>
        <v/>
      </c>
      <c r="I295" s="51">
        <f t="shared" si="23"/>
        <v>3</v>
      </c>
      <c r="J295" s="51" t="str">
        <f t="shared" si="23"/>
        <v/>
      </c>
      <c r="K295" s="37"/>
      <c r="L295" s="37" t="s">
        <v>47</v>
      </c>
      <c r="M295" s="37"/>
      <c r="N295" s="37"/>
      <c r="O295" s="37"/>
      <c r="P295" s="37"/>
      <c r="Q295" s="37"/>
      <c r="R295" s="37" t="s">
        <v>47</v>
      </c>
      <c r="S295" s="37"/>
      <c r="T295" s="37"/>
      <c r="U295" s="37"/>
      <c r="V295" s="37"/>
      <c r="W295" s="37"/>
      <c r="X295" s="37"/>
      <c r="Y295" s="37"/>
      <c r="Z295" s="37"/>
      <c r="AA295" s="37" t="s">
        <v>47</v>
      </c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M295" s="38"/>
      <c r="AN295" s="38"/>
      <c r="AO295" s="38" t="s">
        <v>47</v>
      </c>
      <c r="AP295" s="38"/>
      <c r="AQ295" s="38"/>
      <c r="AR295" s="38" t="s">
        <v>47</v>
      </c>
      <c r="AS295" s="38"/>
      <c r="AT295" s="38"/>
      <c r="AU295" s="38"/>
      <c r="AV295" s="38"/>
      <c r="AW295" s="38"/>
      <c r="AX295" s="38"/>
      <c r="AY295" s="38"/>
      <c r="AZ295" s="38"/>
      <c r="BA295" s="38"/>
      <c r="BB295" s="38"/>
      <c r="BC295" s="38"/>
      <c r="BD295" s="38"/>
      <c r="BE295" s="77">
        <f t="shared" si="22"/>
        <v>2</v>
      </c>
      <c r="BF295" s="38"/>
    </row>
    <row r="296" spans="1:58" ht="22.5" hidden="1" customHeight="1">
      <c r="A296" s="33" t="str">
        <f>IF(OR(ISBLANK(E296),ISBLANK(C296)),"",IF(COUNTIF($E$8:E296,E296)&gt;1,"",(MAX($A$7:A295)+1)))</f>
        <v/>
      </c>
      <c r="B296" s="34">
        <f>IF(ISBLANK(C296),"",SUBTOTAL(3,$C$8:C296))</f>
        <v>44</v>
      </c>
      <c r="C296" s="78" t="s">
        <v>669</v>
      </c>
      <c r="D296" s="50" t="s">
        <v>670</v>
      </c>
      <c r="E296" s="50" t="s">
        <v>594</v>
      </c>
      <c r="F296" s="35" t="str">
        <f t="shared" si="20"/>
        <v/>
      </c>
      <c r="G296" s="36" t="str">
        <f t="shared" si="21"/>
        <v>B</v>
      </c>
      <c r="H296" s="51">
        <f t="shared" si="23"/>
        <v>2</v>
      </c>
      <c r="I296" s="51">
        <f t="shared" si="23"/>
        <v>1</v>
      </c>
      <c r="J296" s="51" t="str">
        <f t="shared" si="23"/>
        <v/>
      </c>
      <c r="K296" s="37" t="s">
        <v>47</v>
      </c>
      <c r="L296" s="37"/>
      <c r="M296" s="37"/>
      <c r="N296" s="37"/>
      <c r="O296" s="37" t="s">
        <v>47</v>
      </c>
      <c r="P296" s="37"/>
      <c r="Q296" s="37" t="s">
        <v>47</v>
      </c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M296" s="38"/>
      <c r="AN296" s="38"/>
      <c r="AO296" s="38"/>
      <c r="AP296" s="38"/>
      <c r="AQ296" s="38"/>
      <c r="AR296" s="38"/>
      <c r="AS296" s="38" t="s">
        <v>47</v>
      </c>
      <c r="AT296" s="38" t="s">
        <v>47</v>
      </c>
      <c r="AU296" s="38"/>
      <c r="AV296" s="38"/>
      <c r="AW296" s="38"/>
      <c r="AX296" s="38"/>
      <c r="AY296" s="38"/>
      <c r="AZ296" s="38"/>
      <c r="BA296" s="38"/>
      <c r="BB296" s="38"/>
      <c r="BC296" s="38"/>
      <c r="BD296" s="38"/>
      <c r="BE296" s="77">
        <f t="shared" si="22"/>
        <v>2</v>
      </c>
      <c r="BF296" s="38"/>
    </row>
    <row r="297" spans="1:58" ht="22.5" hidden="1" customHeight="1">
      <c r="A297" s="33" t="str">
        <f>IF(OR(ISBLANK(E297),ISBLANK(C297)),"",IF(COUNTIF($E$8:E297,E297)&gt;1,"",(MAX($A$7:A296)+1)))</f>
        <v/>
      </c>
      <c r="B297" s="34">
        <f>IF(ISBLANK(C297),"",SUBTOTAL(3,$C$8:C297))</f>
        <v>44</v>
      </c>
      <c r="C297" s="78" t="s">
        <v>671</v>
      </c>
      <c r="D297" s="50" t="s">
        <v>672</v>
      </c>
      <c r="E297" s="50" t="s">
        <v>594</v>
      </c>
      <c r="F297" s="35" t="str">
        <f t="shared" si="20"/>
        <v/>
      </c>
      <c r="G297" s="36" t="str">
        <f t="shared" si="21"/>
        <v>B</v>
      </c>
      <c r="H297" s="51">
        <f t="shared" si="23"/>
        <v>2</v>
      </c>
      <c r="I297" s="51" t="str">
        <f t="shared" si="23"/>
        <v/>
      </c>
      <c r="J297" s="51" t="str">
        <f t="shared" si="23"/>
        <v/>
      </c>
      <c r="K297" s="37" t="s">
        <v>47</v>
      </c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 t="s">
        <v>47</v>
      </c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M297" s="38"/>
      <c r="AN297" s="38"/>
      <c r="AO297" s="38" t="s">
        <v>47</v>
      </c>
      <c r="AP297" s="38"/>
      <c r="AQ297" s="38"/>
      <c r="AR297" s="38"/>
      <c r="AS297" s="38" t="s">
        <v>47</v>
      </c>
      <c r="AT297" s="38"/>
      <c r="AU297" s="38"/>
      <c r="AV297" s="38"/>
      <c r="AW297" s="38"/>
      <c r="AX297" s="38"/>
      <c r="AY297" s="38"/>
      <c r="AZ297" s="38"/>
      <c r="BA297" s="38"/>
      <c r="BB297" s="38"/>
      <c r="BC297" s="38"/>
      <c r="BD297" s="38"/>
      <c r="BE297" s="77">
        <f t="shared" si="22"/>
        <v>2</v>
      </c>
      <c r="BF297" s="38"/>
    </row>
    <row r="298" spans="1:58" ht="22.5" hidden="1" customHeight="1">
      <c r="A298" s="33">
        <f>IF(OR(ISBLANK(E298),ISBLANK(C298)),"",IF(COUNTIF($E$8:E298,E298)&gt;1,"",(MAX($A$7:A297)+1)))</f>
        <v>8</v>
      </c>
      <c r="B298" s="34">
        <f>IF(ISBLANK(C298),"",SUBTOTAL(3,$C$8:C298))</f>
        <v>44</v>
      </c>
      <c r="C298" s="78" t="s">
        <v>673</v>
      </c>
      <c r="D298" s="50" t="s">
        <v>674</v>
      </c>
      <c r="E298" s="50" t="s">
        <v>675</v>
      </c>
      <c r="F298" s="35" t="str">
        <f t="shared" si="20"/>
        <v/>
      </c>
      <c r="G298" s="36" t="str">
        <f t="shared" si="21"/>
        <v/>
      </c>
      <c r="H298" s="51" t="str">
        <f t="shared" si="23"/>
        <v/>
      </c>
      <c r="I298" s="51" t="str">
        <f t="shared" si="23"/>
        <v/>
      </c>
      <c r="J298" s="51" t="str">
        <f t="shared" si="23"/>
        <v/>
      </c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M298" s="38"/>
      <c r="AN298" s="38"/>
      <c r="AO298" s="38"/>
      <c r="AP298" s="38"/>
      <c r="AQ298" s="38"/>
      <c r="AR298" s="38"/>
      <c r="AS298" s="38"/>
      <c r="AT298" s="38"/>
      <c r="AU298" s="38"/>
      <c r="AV298" s="38"/>
      <c r="AW298" s="38"/>
      <c r="AX298" s="38"/>
      <c r="AY298" s="38"/>
      <c r="AZ298" s="38"/>
      <c r="BA298" s="38"/>
      <c r="BB298" s="38"/>
      <c r="BC298" s="38"/>
      <c r="BD298" s="38"/>
      <c r="BE298" s="77">
        <f t="shared" si="22"/>
        <v>0</v>
      </c>
      <c r="BF298" s="38"/>
    </row>
    <row r="299" spans="1:58" ht="22.5" hidden="1" customHeight="1">
      <c r="A299" s="33" t="str">
        <f>IF(OR(ISBLANK(E299),ISBLANK(C299)),"",IF(COUNTIF($E$8:E299,E299)&gt;1,"",(MAX($A$7:A298)+1)))</f>
        <v/>
      </c>
      <c r="B299" s="34">
        <f>IF(ISBLANK(C299),"",SUBTOTAL(3,$C$8:C299))</f>
        <v>44</v>
      </c>
      <c r="C299" s="78" t="s">
        <v>676</v>
      </c>
      <c r="D299" s="50" t="s">
        <v>677</v>
      </c>
      <c r="E299" s="50" t="s">
        <v>675</v>
      </c>
      <c r="F299" s="35" t="str">
        <f t="shared" si="20"/>
        <v/>
      </c>
      <c r="G299" s="36" t="str">
        <f t="shared" si="21"/>
        <v/>
      </c>
      <c r="H299" s="51" t="str">
        <f t="shared" si="23"/>
        <v/>
      </c>
      <c r="I299" s="51" t="str">
        <f t="shared" si="23"/>
        <v/>
      </c>
      <c r="J299" s="51" t="str">
        <f t="shared" si="23"/>
        <v/>
      </c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M299" s="38"/>
      <c r="AN299" s="38"/>
      <c r="AO299" s="38"/>
      <c r="AP299" s="38"/>
      <c r="AQ299" s="38"/>
      <c r="AR299" s="38"/>
      <c r="AS299" s="38"/>
      <c r="AT299" s="38"/>
      <c r="AU299" s="38"/>
      <c r="AV299" s="38"/>
      <c r="AW299" s="38"/>
      <c r="AX299" s="38"/>
      <c r="AY299" s="38"/>
      <c r="AZ299" s="38"/>
      <c r="BA299" s="38"/>
      <c r="BB299" s="38"/>
      <c r="BC299" s="38"/>
      <c r="BD299" s="38"/>
      <c r="BE299" s="77">
        <f t="shared" si="22"/>
        <v>0</v>
      </c>
      <c r="BF299" s="38"/>
    </row>
    <row r="300" spans="1:58" ht="22.5" hidden="1" customHeight="1">
      <c r="A300" s="33" t="str">
        <f>IF(OR(ISBLANK(E300),ISBLANK(C300)),"",IF(COUNTIF($E$8:E300,E300)&gt;1,"",(MAX($A$7:A299)+1)))</f>
        <v/>
      </c>
      <c r="B300" s="34">
        <f>IF(ISBLANK(C300),"",SUBTOTAL(3,$C$8:C300))</f>
        <v>44</v>
      </c>
      <c r="C300" s="78" t="s">
        <v>678</v>
      </c>
      <c r="D300" s="50" t="s">
        <v>679</v>
      </c>
      <c r="E300" s="50" t="s">
        <v>675</v>
      </c>
      <c r="F300" s="35" t="str">
        <f t="shared" si="20"/>
        <v/>
      </c>
      <c r="G300" s="36" t="str">
        <f t="shared" si="21"/>
        <v>A</v>
      </c>
      <c r="H300" s="51">
        <f t="shared" si="23"/>
        <v>2</v>
      </c>
      <c r="I300" s="51">
        <f t="shared" si="23"/>
        <v>1</v>
      </c>
      <c r="J300" s="51">
        <f t="shared" si="23"/>
        <v>1</v>
      </c>
      <c r="K300" s="37" t="s">
        <v>47</v>
      </c>
      <c r="L300" s="37"/>
      <c r="M300" s="37"/>
      <c r="N300" s="37"/>
      <c r="O300" s="37"/>
      <c r="P300" s="37"/>
      <c r="Q300" s="37"/>
      <c r="R300" s="37"/>
      <c r="S300" s="37" t="s">
        <v>47</v>
      </c>
      <c r="T300" s="37"/>
      <c r="U300" s="37" t="s">
        <v>47</v>
      </c>
      <c r="V300" s="37"/>
      <c r="W300" s="37"/>
      <c r="X300" s="37"/>
      <c r="Y300" s="37"/>
      <c r="Z300" s="37"/>
      <c r="AA300" s="37"/>
      <c r="AB300" s="37"/>
      <c r="AC300" s="37" t="s">
        <v>47</v>
      </c>
      <c r="AD300" s="37"/>
      <c r="AE300" s="37"/>
      <c r="AF300" s="37"/>
      <c r="AG300" s="37"/>
      <c r="AH300" s="37"/>
      <c r="AI300" s="37"/>
      <c r="AJ300" s="37"/>
      <c r="AK300" s="37"/>
      <c r="AM300" s="38"/>
      <c r="AN300" s="38"/>
      <c r="AO300" s="38"/>
      <c r="AP300" s="38"/>
      <c r="AQ300" s="38"/>
      <c r="AR300" s="38" t="s">
        <v>47</v>
      </c>
      <c r="AS300" s="38" t="s">
        <v>47</v>
      </c>
      <c r="AT300" s="38" t="s">
        <v>47</v>
      </c>
      <c r="AU300" s="38" t="s">
        <v>47</v>
      </c>
      <c r="AV300" s="38"/>
      <c r="AW300" s="38" t="s">
        <v>47</v>
      </c>
      <c r="AX300" s="38"/>
      <c r="AY300" s="38" t="s">
        <v>47</v>
      </c>
      <c r="AZ300" s="38"/>
      <c r="BA300" s="38" t="s">
        <v>47</v>
      </c>
      <c r="BB300" s="38"/>
      <c r="BC300" s="38" t="s">
        <v>47</v>
      </c>
      <c r="BD300" s="38"/>
      <c r="BE300" s="77">
        <f t="shared" si="22"/>
        <v>8</v>
      </c>
      <c r="BF300" s="38"/>
    </row>
    <row r="301" spans="1:58" ht="22.5" hidden="1" customHeight="1">
      <c r="A301" s="33" t="str">
        <f>IF(OR(ISBLANK(E301),ISBLANK(C301)),"",IF(COUNTIF($E$8:E301,E301)&gt;1,"",(MAX($A$7:A300)+1)))</f>
        <v/>
      </c>
      <c r="B301" s="34">
        <f>IF(ISBLANK(C301),"",SUBTOTAL(3,$C$8:C301))</f>
        <v>44</v>
      </c>
      <c r="C301" s="78" t="s">
        <v>680</v>
      </c>
      <c r="D301" s="50" t="s">
        <v>681</v>
      </c>
      <c r="E301" s="50" t="s">
        <v>675</v>
      </c>
      <c r="F301" s="35" t="str">
        <f t="shared" si="20"/>
        <v/>
      </c>
      <c r="G301" s="36" t="str">
        <f t="shared" si="21"/>
        <v>C</v>
      </c>
      <c r="H301" s="51">
        <f t="shared" si="23"/>
        <v>1</v>
      </c>
      <c r="I301" s="51">
        <f t="shared" si="23"/>
        <v>1</v>
      </c>
      <c r="J301" s="51">
        <f t="shared" si="23"/>
        <v>2</v>
      </c>
      <c r="K301" s="37" t="s">
        <v>47</v>
      </c>
      <c r="L301" s="37"/>
      <c r="M301" s="37"/>
      <c r="N301" s="37"/>
      <c r="O301" s="37" t="s">
        <v>47</v>
      </c>
      <c r="P301" s="37"/>
      <c r="Q301" s="37"/>
      <c r="R301" s="37"/>
      <c r="S301" s="37" t="s">
        <v>47</v>
      </c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 t="s">
        <v>47</v>
      </c>
      <c r="AF301" s="37"/>
      <c r="AG301" s="37"/>
      <c r="AH301" s="37"/>
      <c r="AI301" s="37"/>
      <c r="AJ301" s="37"/>
      <c r="AK301" s="37"/>
      <c r="AM301" s="38"/>
      <c r="AN301" s="38"/>
      <c r="AO301" s="38"/>
      <c r="AP301" s="38"/>
      <c r="AQ301" s="38"/>
      <c r="AR301" s="38" t="s">
        <v>47</v>
      </c>
      <c r="AS301" s="38" t="s">
        <v>47</v>
      </c>
      <c r="AT301" s="38"/>
      <c r="AU301" s="38"/>
      <c r="AV301" s="38"/>
      <c r="AW301" s="38" t="s">
        <v>47</v>
      </c>
      <c r="AX301" s="38"/>
      <c r="AY301" s="38" t="s">
        <v>47</v>
      </c>
      <c r="AZ301" s="38"/>
      <c r="BA301" s="38"/>
      <c r="BB301" s="38"/>
      <c r="BC301" s="38" t="s">
        <v>47</v>
      </c>
      <c r="BD301" s="38"/>
      <c r="BE301" s="77">
        <f t="shared" si="22"/>
        <v>5</v>
      </c>
      <c r="BF301" s="38"/>
    </row>
    <row r="302" spans="1:58" ht="22.5" hidden="1" customHeight="1">
      <c r="A302" s="33" t="str">
        <f>IF(OR(ISBLANK(E302),ISBLANK(C302)),"",IF(COUNTIF($E$8:E302,E302)&gt;1,"",(MAX($A$7:A301)+1)))</f>
        <v/>
      </c>
      <c r="B302" s="34">
        <f>IF(ISBLANK(C302),"",SUBTOTAL(3,$C$8:C302))</f>
        <v>44</v>
      </c>
      <c r="C302" s="78" t="s">
        <v>682</v>
      </c>
      <c r="D302" s="50" t="s">
        <v>683</v>
      </c>
      <c r="E302" s="50" t="s">
        <v>675</v>
      </c>
      <c r="F302" s="35" t="str">
        <f t="shared" si="20"/>
        <v/>
      </c>
      <c r="G302" s="36" t="str">
        <f t="shared" si="21"/>
        <v>B</v>
      </c>
      <c r="H302" s="51">
        <f t="shared" si="23"/>
        <v>1</v>
      </c>
      <c r="I302" s="51">
        <f t="shared" si="23"/>
        <v>3</v>
      </c>
      <c r="J302" s="51" t="str">
        <f t="shared" si="23"/>
        <v/>
      </c>
      <c r="K302" s="37" t="s">
        <v>47</v>
      </c>
      <c r="L302" s="37"/>
      <c r="M302" s="37"/>
      <c r="N302" s="37"/>
      <c r="O302" s="37" t="s">
        <v>47</v>
      </c>
      <c r="P302" s="37"/>
      <c r="Q302" s="37"/>
      <c r="R302" s="37" t="s">
        <v>47</v>
      </c>
      <c r="S302" s="37"/>
      <c r="T302" s="37"/>
      <c r="U302" s="37" t="s">
        <v>47</v>
      </c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M302" s="38"/>
      <c r="AN302" s="38"/>
      <c r="AO302" s="38"/>
      <c r="AP302" s="38"/>
      <c r="AQ302" s="38"/>
      <c r="AR302" s="38" t="s">
        <v>47</v>
      </c>
      <c r="AS302" s="38"/>
      <c r="AT302" s="38" t="s">
        <v>47</v>
      </c>
      <c r="AU302" s="38"/>
      <c r="AV302" s="38"/>
      <c r="AW302" s="38" t="s">
        <v>47</v>
      </c>
      <c r="AX302" s="38"/>
      <c r="AY302" s="38" t="s">
        <v>47</v>
      </c>
      <c r="AZ302" s="38"/>
      <c r="BA302" s="38"/>
      <c r="BB302" s="38"/>
      <c r="BC302" s="38"/>
      <c r="BD302" s="38"/>
      <c r="BE302" s="77">
        <f t="shared" si="22"/>
        <v>4</v>
      </c>
      <c r="BF302" s="38"/>
    </row>
    <row r="303" spans="1:58" ht="22.5" hidden="1" customHeight="1">
      <c r="A303" s="33" t="str">
        <f>IF(OR(ISBLANK(E303),ISBLANK(C303)),"",IF(COUNTIF($E$8:E303,E303)&gt;1,"",(MAX($A$7:A302)+1)))</f>
        <v/>
      </c>
      <c r="B303" s="34">
        <f>IF(ISBLANK(C303),"",SUBTOTAL(3,$C$8:C303))</f>
        <v>44</v>
      </c>
      <c r="C303" s="78" t="s">
        <v>684</v>
      </c>
      <c r="D303" s="50" t="s">
        <v>685</v>
      </c>
      <c r="E303" s="50" t="s">
        <v>675</v>
      </c>
      <c r="F303" s="35" t="str">
        <f t="shared" si="20"/>
        <v/>
      </c>
      <c r="G303" s="36" t="str">
        <f t="shared" si="21"/>
        <v>A</v>
      </c>
      <c r="H303" s="51">
        <f t="shared" si="23"/>
        <v>4</v>
      </c>
      <c r="I303" s="51">
        <f t="shared" si="23"/>
        <v>2</v>
      </c>
      <c r="J303" s="51" t="str">
        <f t="shared" si="23"/>
        <v/>
      </c>
      <c r="K303" s="37" t="s">
        <v>47</v>
      </c>
      <c r="L303" s="37"/>
      <c r="M303" s="37"/>
      <c r="N303" s="37" t="s">
        <v>47</v>
      </c>
      <c r="O303" s="37"/>
      <c r="P303" s="37"/>
      <c r="Q303" s="37" t="s">
        <v>47</v>
      </c>
      <c r="R303" s="37"/>
      <c r="S303" s="37"/>
      <c r="T303" s="37" t="s">
        <v>47</v>
      </c>
      <c r="U303" s="37"/>
      <c r="V303" s="37"/>
      <c r="W303" s="37"/>
      <c r="X303" s="37"/>
      <c r="Y303" s="37"/>
      <c r="Z303" s="37"/>
      <c r="AA303" s="37" t="s">
        <v>47</v>
      </c>
      <c r="AB303" s="37"/>
      <c r="AC303" s="37"/>
      <c r="AD303" s="37" t="s">
        <v>47</v>
      </c>
      <c r="AE303" s="37"/>
      <c r="AF303" s="37"/>
      <c r="AG303" s="37"/>
      <c r="AH303" s="37"/>
      <c r="AI303" s="37"/>
      <c r="AJ303" s="37"/>
      <c r="AK303" s="37"/>
      <c r="AM303" s="38"/>
      <c r="AN303" s="38"/>
      <c r="AO303" s="38"/>
      <c r="AP303" s="38"/>
      <c r="AQ303" s="38"/>
      <c r="AR303" s="38" t="s">
        <v>47</v>
      </c>
      <c r="AS303" s="38" t="s">
        <v>47</v>
      </c>
      <c r="AT303" s="38" t="s">
        <v>47</v>
      </c>
      <c r="AU303" s="38" t="s">
        <v>47</v>
      </c>
      <c r="AV303" s="38"/>
      <c r="AW303" s="38" t="s">
        <v>47</v>
      </c>
      <c r="AX303" s="38" t="s">
        <v>47</v>
      </c>
      <c r="AY303" s="38" t="s">
        <v>47</v>
      </c>
      <c r="AZ303" s="38"/>
      <c r="BA303" s="38" t="s">
        <v>47</v>
      </c>
      <c r="BB303" s="38" t="s">
        <v>47</v>
      </c>
      <c r="BC303" s="38" t="s">
        <v>47</v>
      </c>
      <c r="BD303" s="38"/>
      <c r="BE303" s="77">
        <f t="shared" si="22"/>
        <v>10</v>
      </c>
      <c r="BF303" s="38"/>
    </row>
    <row r="304" spans="1:58" ht="22.5" hidden="1" customHeight="1">
      <c r="A304" s="33" t="str">
        <f>IF(OR(ISBLANK(E304),ISBLANK(C304)),"",IF(COUNTIF($E$8:E304,E304)&gt;1,"",(MAX($A$7:A303)+1)))</f>
        <v/>
      </c>
      <c r="B304" s="34">
        <f>IF(ISBLANK(C304),"",SUBTOTAL(3,$C$8:C304))</f>
        <v>44</v>
      </c>
      <c r="C304" s="78" t="s">
        <v>686</v>
      </c>
      <c r="D304" s="50" t="s">
        <v>687</v>
      </c>
      <c r="E304" s="50" t="s">
        <v>675</v>
      </c>
      <c r="F304" s="35" t="str">
        <f t="shared" si="20"/>
        <v/>
      </c>
      <c r="G304" s="36" t="str">
        <f t="shared" si="21"/>
        <v>B</v>
      </c>
      <c r="H304" s="51">
        <f t="shared" si="23"/>
        <v>1</v>
      </c>
      <c r="I304" s="51">
        <f t="shared" si="23"/>
        <v>3</v>
      </c>
      <c r="J304" s="51" t="str">
        <f t="shared" si="23"/>
        <v/>
      </c>
      <c r="K304" s="37"/>
      <c r="L304" s="37" t="s">
        <v>47</v>
      </c>
      <c r="M304" s="37"/>
      <c r="N304" s="37"/>
      <c r="O304" s="37" t="s">
        <v>47</v>
      </c>
      <c r="P304" s="37"/>
      <c r="Q304" s="37"/>
      <c r="R304" s="37" t="s">
        <v>47</v>
      </c>
      <c r="S304" s="37"/>
      <c r="T304" s="37"/>
      <c r="U304" s="37"/>
      <c r="V304" s="37"/>
      <c r="W304" s="37"/>
      <c r="X304" s="37"/>
      <c r="Y304" s="37"/>
      <c r="Z304" s="37" t="s">
        <v>47</v>
      </c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M304" s="38"/>
      <c r="AN304" s="38"/>
      <c r="AO304" s="38" t="s">
        <v>47</v>
      </c>
      <c r="AP304" s="38"/>
      <c r="AQ304" s="38"/>
      <c r="AR304" s="38" t="s">
        <v>47</v>
      </c>
      <c r="AS304" s="38" t="s">
        <v>47</v>
      </c>
      <c r="AT304" s="38"/>
      <c r="AU304" s="38"/>
      <c r="AV304" s="38"/>
      <c r="AW304" s="38" t="s">
        <v>47</v>
      </c>
      <c r="AX304" s="38"/>
      <c r="AY304" s="38"/>
      <c r="AZ304" s="38"/>
      <c r="BA304" s="38"/>
      <c r="BB304" s="38"/>
      <c r="BC304" s="38"/>
      <c r="BD304" s="38"/>
      <c r="BE304" s="77">
        <f t="shared" si="22"/>
        <v>4</v>
      </c>
      <c r="BF304" s="38"/>
    </row>
    <row r="305" spans="1:58" ht="22.5" hidden="1" customHeight="1">
      <c r="A305" s="33" t="str">
        <f>IF(OR(ISBLANK(E305),ISBLANK(C305)),"",IF(COUNTIF($E$8:E305,E305)&gt;1,"",(MAX($A$7:A304)+1)))</f>
        <v/>
      </c>
      <c r="B305" s="34">
        <f>IF(ISBLANK(C305),"",SUBTOTAL(3,$C$8:C305))</f>
        <v>44</v>
      </c>
      <c r="C305" s="78" t="s">
        <v>688</v>
      </c>
      <c r="D305" s="50" t="s">
        <v>689</v>
      </c>
      <c r="E305" s="50" t="s">
        <v>675</v>
      </c>
      <c r="F305" s="35" t="str">
        <f t="shared" si="20"/>
        <v/>
      </c>
      <c r="G305" s="36" t="str">
        <f t="shared" si="21"/>
        <v>D</v>
      </c>
      <c r="H305" s="51" t="str">
        <f t="shared" si="23"/>
        <v/>
      </c>
      <c r="I305" s="51">
        <f t="shared" si="23"/>
        <v>1</v>
      </c>
      <c r="J305" s="51" t="str">
        <f t="shared" si="23"/>
        <v/>
      </c>
      <c r="K305" s="37"/>
      <c r="L305" s="37" t="s">
        <v>47</v>
      </c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M305" s="38"/>
      <c r="AN305" s="38" t="s">
        <v>47</v>
      </c>
      <c r="AO305" s="38"/>
      <c r="AP305" s="38"/>
      <c r="AQ305" s="38"/>
      <c r="AR305" s="38" t="s">
        <v>47</v>
      </c>
      <c r="AS305" s="38"/>
      <c r="AT305" s="38"/>
      <c r="AU305" s="38"/>
      <c r="AV305" s="38"/>
      <c r="AW305" s="38"/>
      <c r="AX305" s="38"/>
      <c r="AY305" s="38"/>
      <c r="AZ305" s="38"/>
      <c r="BA305" s="38"/>
      <c r="BB305" s="38"/>
      <c r="BC305" s="38"/>
      <c r="BD305" s="38"/>
      <c r="BE305" s="77">
        <f t="shared" si="22"/>
        <v>2</v>
      </c>
      <c r="BF305" s="38"/>
    </row>
    <row r="306" spans="1:58" ht="22.5" hidden="1" customHeight="1">
      <c r="A306" s="33" t="str">
        <f>IF(OR(ISBLANK(E306),ISBLANK(C306)),"",IF(COUNTIF($E$8:E306,E306)&gt;1,"",(MAX($A$7:A305)+1)))</f>
        <v/>
      </c>
      <c r="B306" s="34">
        <f>IF(ISBLANK(C306),"",SUBTOTAL(3,$C$8:C306))</f>
        <v>44</v>
      </c>
      <c r="C306" s="78" t="s">
        <v>690</v>
      </c>
      <c r="D306" s="50" t="s">
        <v>691</v>
      </c>
      <c r="E306" s="50" t="s">
        <v>675</v>
      </c>
      <c r="F306" s="35" t="str">
        <f t="shared" si="20"/>
        <v/>
      </c>
      <c r="G306" s="36" t="str">
        <f t="shared" si="21"/>
        <v>D</v>
      </c>
      <c r="H306" s="51" t="str">
        <f t="shared" si="23"/>
        <v/>
      </c>
      <c r="I306" s="51">
        <f t="shared" si="23"/>
        <v>1</v>
      </c>
      <c r="J306" s="51" t="str">
        <f t="shared" si="23"/>
        <v/>
      </c>
      <c r="K306" s="37"/>
      <c r="L306" s="37" t="s">
        <v>47</v>
      </c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M306" s="38"/>
      <c r="AN306" s="38"/>
      <c r="AO306" s="38"/>
      <c r="AP306" s="38"/>
      <c r="AQ306" s="38"/>
      <c r="AR306" s="38" t="s">
        <v>47</v>
      </c>
      <c r="AS306" s="38"/>
      <c r="AT306" s="38"/>
      <c r="AU306" s="38"/>
      <c r="AV306" s="38"/>
      <c r="AW306" s="38"/>
      <c r="AX306" s="38"/>
      <c r="AY306" s="38"/>
      <c r="AZ306" s="38"/>
      <c r="BA306" s="38"/>
      <c r="BB306" s="38"/>
      <c r="BC306" s="38"/>
      <c r="BD306" s="38"/>
      <c r="BE306" s="77">
        <f t="shared" si="22"/>
        <v>1</v>
      </c>
      <c r="BF306" s="38"/>
    </row>
    <row r="307" spans="1:58" ht="22.5" hidden="1" customHeight="1">
      <c r="A307" s="33" t="str">
        <f>IF(OR(ISBLANK(E307),ISBLANK(C307)),"",IF(COUNTIF($E$8:E307,E307)&gt;1,"",(MAX($A$7:A306)+1)))</f>
        <v/>
      </c>
      <c r="B307" s="34">
        <f>IF(ISBLANK(C307),"",SUBTOTAL(3,$C$8:C307))</f>
        <v>44</v>
      </c>
      <c r="C307" s="80" t="s">
        <v>692</v>
      </c>
      <c r="D307" s="52" t="s">
        <v>693</v>
      </c>
      <c r="E307" s="50" t="s">
        <v>675</v>
      </c>
      <c r="F307" s="35" t="str">
        <f t="shared" si="20"/>
        <v/>
      </c>
      <c r="G307" s="36" t="str">
        <f t="shared" si="21"/>
        <v>A</v>
      </c>
      <c r="H307" s="51">
        <f t="shared" si="23"/>
        <v>3</v>
      </c>
      <c r="I307" s="51">
        <f t="shared" si="23"/>
        <v>3</v>
      </c>
      <c r="J307" s="51" t="str">
        <f t="shared" si="23"/>
        <v/>
      </c>
      <c r="K307" s="37" t="s">
        <v>47</v>
      </c>
      <c r="L307" s="37"/>
      <c r="M307" s="37"/>
      <c r="N307" s="37" t="s">
        <v>47</v>
      </c>
      <c r="O307" s="37"/>
      <c r="P307" s="37"/>
      <c r="Q307" s="37"/>
      <c r="R307" s="37" t="s">
        <v>47</v>
      </c>
      <c r="S307" s="37"/>
      <c r="T307" s="37" t="s">
        <v>47</v>
      </c>
      <c r="U307" s="37"/>
      <c r="V307" s="37"/>
      <c r="W307" s="37"/>
      <c r="X307" s="37" t="s">
        <v>47</v>
      </c>
      <c r="Y307" s="37"/>
      <c r="Z307" s="37"/>
      <c r="AA307" s="37"/>
      <c r="AB307" s="37"/>
      <c r="AC307" s="37"/>
      <c r="AD307" s="37" t="s">
        <v>47</v>
      </c>
      <c r="AE307" s="37"/>
      <c r="AF307" s="37"/>
      <c r="AG307" s="37"/>
      <c r="AH307" s="37"/>
      <c r="AI307" s="37"/>
      <c r="AJ307" s="37"/>
      <c r="AK307" s="37"/>
      <c r="AM307" s="38"/>
      <c r="AN307" s="38"/>
      <c r="AO307" s="38"/>
      <c r="AP307" s="38"/>
      <c r="AQ307" s="38"/>
      <c r="AR307" s="38" t="s">
        <v>47</v>
      </c>
      <c r="AS307" s="38" t="s">
        <v>47</v>
      </c>
      <c r="AT307" s="38" t="s">
        <v>47</v>
      </c>
      <c r="AU307" s="38" t="s">
        <v>47</v>
      </c>
      <c r="AV307" s="38"/>
      <c r="AW307" s="38" t="s">
        <v>47</v>
      </c>
      <c r="AX307" s="38"/>
      <c r="AY307" s="38" t="s">
        <v>47</v>
      </c>
      <c r="AZ307" s="38" t="s">
        <v>47</v>
      </c>
      <c r="BA307" s="38" t="s">
        <v>47</v>
      </c>
      <c r="BB307" s="38"/>
      <c r="BC307" s="38" t="s">
        <v>47</v>
      </c>
      <c r="BD307" s="38"/>
      <c r="BE307" s="77">
        <f t="shared" si="22"/>
        <v>9</v>
      </c>
      <c r="BF307" s="38"/>
    </row>
    <row r="308" spans="1:58" ht="22.5" hidden="1" customHeight="1">
      <c r="A308" s="33" t="str">
        <f>IF(OR(ISBLANK(E308),ISBLANK(C308)),"",IF(COUNTIF($E$8:E308,E308)&gt;1,"",(MAX($A$7:A307)+1)))</f>
        <v/>
      </c>
      <c r="B308" s="34">
        <f>IF(ISBLANK(C308),"",SUBTOTAL(3,$C$8:C308))</f>
        <v>44</v>
      </c>
      <c r="C308" s="79" t="s">
        <v>694</v>
      </c>
      <c r="D308" s="50" t="s">
        <v>695</v>
      </c>
      <c r="E308" s="50" t="s">
        <v>675</v>
      </c>
      <c r="F308" s="35" t="str">
        <f t="shared" si="20"/>
        <v/>
      </c>
      <c r="G308" s="36" t="str">
        <f t="shared" si="21"/>
        <v>D</v>
      </c>
      <c r="H308" s="51" t="str">
        <f t="shared" si="23"/>
        <v/>
      </c>
      <c r="I308" s="51">
        <f t="shared" si="23"/>
        <v>1</v>
      </c>
      <c r="J308" s="51" t="str">
        <f t="shared" si="23"/>
        <v/>
      </c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 t="s">
        <v>47</v>
      </c>
      <c r="AE308" s="37"/>
      <c r="AF308" s="37"/>
      <c r="AG308" s="37"/>
      <c r="AH308" s="37"/>
      <c r="AI308" s="37"/>
      <c r="AJ308" s="37"/>
      <c r="AK308" s="37"/>
      <c r="AM308" s="38"/>
      <c r="AN308" s="38"/>
      <c r="AO308" s="38"/>
      <c r="AP308" s="38"/>
      <c r="AQ308" s="38"/>
      <c r="AR308" s="38"/>
      <c r="AS308" s="38"/>
      <c r="AT308" s="38"/>
      <c r="AU308" s="38"/>
      <c r="AV308" s="38"/>
      <c r="AW308" s="38"/>
      <c r="AX308" s="38"/>
      <c r="AY308" s="38"/>
      <c r="AZ308" s="38"/>
      <c r="BA308" s="38"/>
      <c r="BB308" s="38"/>
      <c r="BC308" s="38"/>
      <c r="BD308" s="38"/>
      <c r="BE308" s="77">
        <f t="shared" si="22"/>
        <v>0</v>
      </c>
      <c r="BF308" s="38"/>
    </row>
    <row r="309" spans="1:58" ht="22.5" hidden="1" customHeight="1">
      <c r="A309" s="33" t="str">
        <f>IF(OR(ISBLANK(E309),ISBLANK(C309)),"",IF(COUNTIF($E$8:E309,E309)&gt;1,"",(MAX($A$7:A308)+1)))</f>
        <v/>
      </c>
      <c r="B309" s="34">
        <f>IF(ISBLANK(C309),"",SUBTOTAL(3,$C$8:C309))</f>
        <v>44</v>
      </c>
      <c r="C309" s="80" t="s">
        <v>696</v>
      </c>
      <c r="D309" s="50" t="s">
        <v>697</v>
      </c>
      <c r="E309" s="50" t="s">
        <v>675</v>
      </c>
      <c r="F309" s="35" t="str">
        <f t="shared" si="20"/>
        <v/>
      </c>
      <c r="G309" s="36" t="str">
        <f t="shared" si="21"/>
        <v>A</v>
      </c>
      <c r="H309" s="51">
        <f t="shared" si="23"/>
        <v>3</v>
      </c>
      <c r="I309" s="51">
        <f t="shared" si="23"/>
        <v>3</v>
      </c>
      <c r="J309" s="51" t="str">
        <f t="shared" si="23"/>
        <v/>
      </c>
      <c r="K309" s="37" t="s">
        <v>47</v>
      </c>
      <c r="L309" s="37"/>
      <c r="M309" s="37"/>
      <c r="N309" s="37" t="s">
        <v>47</v>
      </c>
      <c r="O309" s="37"/>
      <c r="P309" s="37"/>
      <c r="Q309" s="37"/>
      <c r="R309" s="37" t="s">
        <v>47</v>
      </c>
      <c r="S309" s="37"/>
      <c r="T309" s="37" t="s">
        <v>47</v>
      </c>
      <c r="U309" s="37"/>
      <c r="V309" s="37"/>
      <c r="W309" s="37"/>
      <c r="X309" s="37" t="s">
        <v>47</v>
      </c>
      <c r="Y309" s="37"/>
      <c r="Z309" s="37"/>
      <c r="AA309" s="37"/>
      <c r="AB309" s="37"/>
      <c r="AC309" s="37"/>
      <c r="AD309" s="37" t="s">
        <v>47</v>
      </c>
      <c r="AE309" s="37"/>
      <c r="AF309" s="37"/>
      <c r="AG309" s="37"/>
      <c r="AH309" s="37"/>
      <c r="AI309" s="37"/>
      <c r="AJ309" s="37"/>
      <c r="AK309" s="37"/>
      <c r="AM309" s="38"/>
      <c r="AN309" s="38"/>
      <c r="AO309" s="38"/>
      <c r="AP309" s="38"/>
      <c r="AQ309" s="38"/>
      <c r="AR309" s="38" t="s">
        <v>47</v>
      </c>
      <c r="AS309" s="38" t="s">
        <v>47</v>
      </c>
      <c r="AT309" s="38" t="s">
        <v>47</v>
      </c>
      <c r="AU309" s="38" t="s">
        <v>47</v>
      </c>
      <c r="AV309" s="38"/>
      <c r="AW309" s="38" t="s">
        <v>47</v>
      </c>
      <c r="AX309" s="38" t="s">
        <v>47</v>
      </c>
      <c r="AY309" s="38" t="s">
        <v>47</v>
      </c>
      <c r="AZ309" s="38" t="s">
        <v>47</v>
      </c>
      <c r="BA309" s="38" t="s">
        <v>47</v>
      </c>
      <c r="BB309" s="38"/>
      <c r="BC309" s="38" t="s">
        <v>47</v>
      </c>
      <c r="BD309" s="38"/>
      <c r="BE309" s="77">
        <f t="shared" si="22"/>
        <v>10</v>
      </c>
      <c r="BF309" s="38"/>
    </row>
    <row r="310" spans="1:58" ht="22.5" hidden="1" customHeight="1">
      <c r="A310" s="33" t="str">
        <f>IF(OR(ISBLANK(E310),ISBLANK(C310)),"",IF(COUNTIF($E$8:E310,E310)&gt;1,"",(MAX($A$7:A309)+1)))</f>
        <v/>
      </c>
      <c r="B310" s="34">
        <f>IF(ISBLANK(C310),"",SUBTOTAL(3,$C$8:C310))</f>
        <v>44</v>
      </c>
      <c r="C310" s="80" t="s">
        <v>698</v>
      </c>
      <c r="D310" s="50" t="s">
        <v>699</v>
      </c>
      <c r="E310" s="50" t="s">
        <v>675</v>
      </c>
      <c r="F310" s="35" t="str">
        <f t="shared" si="20"/>
        <v/>
      </c>
      <c r="G310" s="36" t="str">
        <f t="shared" si="21"/>
        <v>D</v>
      </c>
      <c r="H310" s="51" t="str">
        <f t="shared" si="23"/>
        <v/>
      </c>
      <c r="I310" s="51">
        <f t="shared" si="23"/>
        <v>1</v>
      </c>
      <c r="J310" s="51" t="str">
        <f t="shared" si="23"/>
        <v/>
      </c>
      <c r="K310" s="37"/>
      <c r="L310" s="37" t="s">
        <v>47</v>
      </c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M310" s="38"/>
      <c r="AN310" s="38"/>
      <c r="AO310" s="38"/>
      <c r="AP310" s="38"/>
      <c r="AQ310" s="38"/>
      <c r="AR310" s="38" t="s">
        <v>47</v>
      </c>
      <c r="AS310" s="38" t="s">
        <v>47</v>
      </c>
      <c r="AT310" s="38"/>
      <c r="AU310" s="38"/>
      <c r="AV310" s="38"/>
      <c r="AW310" s="38"/>
      <c r="AX310" s="38"/>
      <c r="AY310" s="38"/>
      <c r="AZ310" s="38"/>
      <c r="BA310" s="38"/>
      <c r="BB310" s="38"/>
      <c r="BC310" s="38"/>
      <c r="BD310" s="38"/>
      <c r="BE310" s="77">
        <f t="shared" si="22"/>
        <v>2</v>
      </c>
      <c r="BF310" s="38"/>
    </row>
    <row r="311" spans="1:58" ht="22.5" hidden="1" customHeight="1">
      <c r="A311" s="33" t="str">
        <f>IF(OR(ISBLANK(E311),ISBLANK(C311)),"",IF(COUNTIF($E$8:E311,E311)&gt;1,"",(MAX($A$7:A310)+1)))</f>
        <v/>
      </c>
      <c r="B311" s="34">
        <f>IF(ISBLANK(C311),"",SUBTOTAL(3,$C$8:C311))</f>
        <v>44</v>
      </c>
      <c r="C311" s="80" t="s">
        <v>700</v>
      </c>
      <c r="D311" s="50" t="s">
        <v>701</v>
      </c>
      <c r="E311" s="50" t="s">
        <v>675</v>
      </c>
      <c r="F311" s="35" t="str">
        <f t="shared" si="20"/>
        <v/>
      </c>
      <c r="G311" s="36" t="str">
        <f t="shared" si="21"/>
        <v>C</v>
      </c>
      <c r="H311" s="51">
        <f t="shared" si="23"/>
        <v>1</v>
      </c>
      <c r="I311" s="51" t="str">
        <f t="shared" si="23"/>
        <v/>
      </c>
      <c r="J311" s="51" t="str">
        <f t="shared" si="23"/>
        <v/>
      </c>
      <c r="K311" s="37" t="s">
        <v>47</v>
      </c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M311" s="38"/>
      <c r="AN311" s="38"/>
      <c r="AO311" s="38"/>
      <c r="AP311" s="38"/>
      <c r="AQ311" s="38"/>
      <c r="AR311" s="38" t="s">
        <v>47</v>
      </c>
      <c r="AS311" s="38" t="s">
        <v>47</v>
      </c>
      <c r="AT311" s="38"/>
      <c r="AU311" s="38"/>
      <c r="AV311" s="38"/>
      <c r="AW311" s="38"/>
      <c r="AX311" s="38"/>
      <c r="AY311" s="38"/>
      <c r="AZ311" s="38"/>
      <c r="BA311" s="38"/>
      <c r="BB311" s="38"/>
      <c r="BC311" s="38"/>
      <c r="BD311" s="38"/>
      <c r="BE311" s="77">
        <f t="shared" si="22"/>
        <v>2</v>
      </c>
      <c r="BF311" s="38"/>
    </row>
    <row r="312" spans="1:58" ht="22.5" hidden="1" customHeight="1">
      <c r="A312" s="33" t="str">
        <f>IF(OR(ISBLANK(E312),ISBLANK(C312)),"",IF(COUNTIF($E$8:E312,E312)&gt;1,"",(MAX($A$7:A311)+1)))</f>
        <v/>
      </c>
      <c r="B312" s="34">
        <f>IF(ISBLANK(C312),"",SUBTOTAL(3,$C$8:C312))</f>
        <v>44</v>
      </c>
      <c r="C312" s="80" t="s">
        <v>702</v>
      </c>
      <c r="D312" s="50" t="s">
        <v>703</v>
      </c>
      <c r="E312" s="50" t="s">
        <v>675</v>
      </c>
      <c r="F312" s="35" t="str">
        <f t="shared" si="20"/>
        <v/>
      </c>
      <c r="G312" s="36" t="str">
        <f t="shared" si="21"/>
        <v>C</v>
      </c>
      <c r="H312" s="51">
        <f t="shared" si="23"/>
        <v>1</v>
      </c>
      <c r="I312" s="51">
        <f t="shared" si="23"/>
        <v>1</v>
      </c>
      <c r="J312" s="51">
        <f t="shared" si="23"/>
        <v>1</v>
      </c>
      <c r="K312" s="37"/>
      <c r="L312" s="37" t="s">
        <v>47</v>
      </c>
      <c r="M312" s="37"/>
      <c r="N312" s="37"/>
      <c r="O312" s="37"/>
      <c r="P312" s="37" t="s">
        <v>47</v>
      </c>
      <c r="Q312" s="37" t="s">
        <v>47</v>
      </c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M312" s="38"/>
      <c r="AN312" s="38"/>
      <c r="AO312" s="38"/>
      <c r="AP312" s="38"/>
      <c r="AQ312" s="38"/>
      <c r="AR312" s="38" t="s">
        <v>47</v>
      </c>
      <c r="AS312" s="38" t="s">
        <v>47</v>
      </c>
      <c r="AT312" s="38"/>
      <c r="AU312" s="38"/>
      <c r="AV312" s="38" t="s">
        <v>47</v>
      </c>
      <c r="AW312" s="38"/>
      <c r="AX312" s="38"/>
      <c r="AY312" s="38"/>
      <c r="AZ312" s="38"/>
      <c r="BA312" s="38"/>
      <c r="BB312" s="38"/>
      <c r="BC312" s="38"/>
      <c r="BD312" s="38"/>
      <c r="BE312" s="77">
        <f t="shared" si="22"/>
        <v>3</v>
      </c>
      <c r="BF312" s="38"/>
    </row>
    <row r="313" spans="1:58" ht="22.5" hidden="1" customHeight="1">
      <c r="A313" s="33" t="str">
        <f>IF(OR(ISBLANK(E313),ISBLANK(C313)),"",IF(COUNTIF($E$8:E313,E313)&gt;1,"",(MAX($A$7:A312)+1)))</f>
        <v/>
      </c>
      <c r="B313" s="34">
        <f>IF(ISBLANK(C313),"",SUBTOTAL(3,$C$8:C313))</f>
        <v>44</v>
      </c>
      <c r="C313" s="80" t="s">
        <v>704</v>
      </c>
      <c r="D313" s="50" t="s">
        <v>705</v>
      </c>
      <c r="E313" s="50" t="s">
        <v>675</v>
      </c>
      <c r="F313" s="35" t="str">
        <f t="shared" si="20"/>
        <v/>
      </c>
      <c r="G313" s="36" t="str">
        <f t="shared" si="21"/>
        <v>D</v>
      </c>
      <c r="H313" s="51" t="str">
        <f t="shared" si="23"/>
        <v/>
      </c>
      <c r="I313" s="51">
        <f t="shared" si="23"/>
        <v>1</v>
      </c>
      <c r="J313" s="51">
        <f t="shared" si="23"/>
        <v>1</v>
      </c>
      <c r="K313" s="37"/>
      <c r="L313" s="37" t="s">
        <v>47</v>
      </c>
      <c r="M313" s="37"/>
      <c r="N313" s="37"/>
      <c r="O313" s="37"/>
      <c r="P313" s="37"/>
      <c r="Q313" s="37"/>
      <c r="R313" s="37"/>
      <c r="S313" s="37" t="s">
        <v>47</v>
      </c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M313" s="38"/>
      <c r="AN313" s="38"/>
      <c r="AO313" s="38"/>
      <c r="AP313" s="38"/>
      <c r="AQ313" s="38" t="s">
        <v>47</v>
      </c>
      <c r="AR313" s="38" t="s">
        <v>47</v>
      </c>
      <c r="AS313" s="38" t="s">
        <v>47</v>
      </c>
      <c r="AT313" s="38"/>
      <c r="AU313" s="38"/>
      <c r="AV313" s="38"/>
      <c r="AW313" s="38" t="s">
        <v>47</v>
      </c>
      <c r="AX313" s="38"/>
      <c r="AY313" s="38"/>
      <c r="AZ313" s="38"/>
      <c r="BA313" s="38"/>
      <c r="BB313" s="38"/>
      <c r="BC313" s="38"/>
      <c r="BD313" s="38"/>
      <c r="BE313" s="77">
        <f t="shared" si="22"/>
        <v>4</v>
      </c>
      <c r="BF313" s="38"/>
    </row>
    <row r="314" spans="1:58" ht="22.5" hidden="1" customHeight="1">
      <c r="A314" s="33" t="str">
        <f>IF(OR(ISBLANK(E314),ISBLANK(C314)),"",IF(COUNTIF($E$8:E314,E314)&gt;1,"",(MAX($A$7:A313)+1)))</f>
        <v/>
      </c>
      <c r="B314" s="34">
        <f>IF(ISBLANK(C314),"",SUBTOTAL(3,$C$8:C314))</f>
        <v>44</v>
      </c>
      <c r="C314" s="80" t="s">
        <v>706</v>
      </c>
      <c r="D314" s="50" t="s">
        <v>707</v>
      </c>
      <c r="E314" s="50" t="s">
        <v>675</v>
      </c>
      <c r="F314" s="35" t="str">
        <f t="shared" si="20"/>
        <v/>
      </c>
      <c r="G314" s="36" t="str">
        <f t="shared" si="21"/>
        <v>B</v>
      </c>
      <c r="H314" s="51">
        <f t="shared" si="23"/>
        <v>1</v>
      </c>
      <c r="I314" s="51">
        <f t="shared" si="23"/>
        <v>4</v>
      </c>
      <c r="J314" s="51" t="str">
        <f t="shared" si="23"/>
        <v/>
      </c>
      <c r="K314" s="37" t="s">
        <v>47</v>
      </c>
      <c r="L314" s="37"/>
      <c r="M314" s="37"/>
      <c r="N314" s="37"/>
      <c r="O314" s="37" t="s">
        <v>47</v>
      </c>
      <c r="P314" s="37"/>
      <c r="Q314" s="37"/>
      <c r="R314" s="37"/>
      <c r="S314" s="37"/>
      <c r="T314" s="37"/>
      <c r="U314" s="37" t="s">
        <v>47</v>
      </c>
      <c r="V314" s="37"/>
      <c r="W314" s="37"/>
      <c r="X314" s="37" t="s">
        <v>47</v>
      </c>
      <c r="Y314" s="37"/>
      <c r="Z314" s="37"/>
      <c r="AA314" s="37"/>
      <c r="AB314" s="37"/>
      <c r="AC314" s="37"/>
      <c r="AD314" s="37" t="s">
        <v>47</v>
      </c>
      <c r="AE314" s="37"/>
      <c r="AF314" s="37"/>
      <c r="AG314" s="37"/>
      <c r="AH314" s="37"/>
      <c r="AI314" s="37"/>
      <c r="AJ314" s="37"/>
      <c r="AK314" s="37"/>
      <c r="AM314" s="38"/>
      <c r="AN314" s="38"/>
      <c r="AO314" s="38"/>
      <c r="AP314" s="38"/>
      <c r="AQ314" s="38"/>
      <c r="AR314" s="38" t="s">
        <v>47</v>
      </c>
      <c r="AS314" s="38" t="s">
        <v>47</v>
      </c>
      <c r="AT314" s="38" t="s">
        <v>47</v>
      </c>
      <c r="AU314" s="38"/>
      <c r="AV314" s="38"/>
      <c r="AW314" s="38" t="s">
        <v>47</v>
      </c>
      <c r="AX314" s="38"/>
      <c r="AY314" s="38"/>
      <c r="AZ314" s="38"/>
      <c r="BA314" s="38"/>
      <c r="BB314" s="38"/>
      <c r="BC314" s="38" t="s">
        <v>47</v>
      </c>
      <c r="BD314" s="38"/>
      <c r="BE314" s="77">
        <f t="shared" si="22"/>
        <v>5</v>
      </c>
      <c r="BF314" s="38"/>
    </row>
    <row r="315" spans="1:58" ht="22.5" hidden="1" customHeight="1">
      <c r="A315" s="33" t="str">
        <f>IF(OR(ISBLANK(E315),ISBLANK(C315)),"",IF(COUNTIF($E$8:E315,E315)&gt;1,"",(MAX($A$7:A314)+1)))</f>
        <v/>
      </c>
      <c r="B315" s="34">
        <f>IF(ISBLANK(C315),"",SUBTOTAL(3,$C$8:C315))</f>
        <v>44</v>
      </c>
      <c r="C315" s="80" t="s">
        <v>708</v>
      </c>
      <c r="D315" s="50" t="s">
        <v>709</v>
      </c>
      <c r="E315" s="50" t="s">
        <v>675</v>
      </c>
      <c r="F315" s="35" t="str">
        <f t="shared" si="20"/>
        <v/>
      </c>
      <c r="G315" s="36" t="str">
        <f t="shared" si="21"/>
        <v>A</v>
      </c>
      <c r="H315" s="51">
        <f t="shared" si="23"/>
        <v>6</v>
      </c>
      <c r="I315" s="51" t="str">
        <f t="shared" si="23"/>
        <v/>
      </c>
      <c r="J315" s="51" t="str">
        <f t="shared" si="23"/>
        <v/>
      </c>
      <c r="K315" s="37" t="s">
        <v>47</v>
      </c>
      <c r="L315" s="37"/>
      <c r="M315" s="37"/>
      <c r="N315" s="37" t="s">
        <v>47</v>
      </c>
      <c r="O315" s="37"/>
      <c r="P315" s="37"/>
      <c r="Q315" s="37" t="s">
        <v>47</v>
      </c>
      <c r="R315" s="37"/>
      <c r="S315" s="37"/>
      <c r="T315" s="37" t="s">
        <v>47</v>
      </c>
      <c r="U315" s="37"/>
      <c r="V315" s="37"/>
      <c r="W315" s="37" t="s">
        <v>47</v>
      </c>
      <c r="X315" s="37"/>
      <c r="Y315" s="37"/>
      <c r="Z315" s="37"/>
      <c r="AA315" s="37"/>
      <c r="AB315" s="37"/>
      <c r="AC315" s="37" t="s">
        <v>47</v>
      </c>
      <c r="AD315" s="37"/>
      <c r="AE315" s="37"/>
      <c r="AF315" s="37"/>
      <c r="AG315" s="37"/>
      <c r="AH315" s="37"/>
      <c r="AI315" s="37"/>
      <c r="AJ315" s="37"/>
      <c r="AK315" s="37"/>
      <c r="AM315" s="38"/>
      <c r="AN315" s="38"/>
      <c r="AO315" s="38"/>
      <c r="AP315" s="38"/>
      <c r="AQ315" s="38"/>
      <c r="AR315" s="38" t="s">
        <v>47</v>
      </c>
      <c r="AS315" s="38" t="s">
        <v>47</v>
      </c>
      <c r="AT315" s="38" t="s">
        <v>47</v>
      </c>
      <c r="AU315" s="38" t="s">
        <v>47</v>
      </c>
      <c r="AV315" s="38" t="s">
        <v>47</v>
      </c>
      <c r="AW315" s="38" t="s">
        <v>47</v>
      </c>
      <c r="AX315" s="38" t="s">
        <v>47</v>
      </c>
      <c r="AY315" s="38" t="s">
        <v>47</v>
      </c>
      <c r="AZ315" s="38"/>
      <c r="BA315" s="38" t="s">
        <v>47</v>
      </c>
      <c r="BB315" s="38" t="s">
        <v>47</v>
      </c>
      <c r="BC315" s="38" t="s">
        <v>47</v>
      </c>
      <c r="BD315" s="38" t="s">
        <v>47</v>
      </c>
      <c r="BE315" s="77">
        <f t="shared" si="22"/>
        <v>12</v>
      </c>
      <c r="BF315" s="38"/>
    </row>
    <row r="316" spans="1:58" ht="22.5" hidden="1" customHeight="1">
      <c r="A316" s="33" t="str">
        <f>IF(OR(ISBLANK(E316),ISBLANK(C316)),"",IF(COUNTIF($E$8:E316,E316)&gt;1,"",(MAX($A$7:A315)+1)))</f>
        <v/>
      </c>
      <c r="B316" s="34">
        <f>IF(ISBLANK(C316),"",SUBTOTAL(3,$C$8:C316))</f>
        <v>44</v>
      </c>
      <c r="C316" s="80" t="s">
        <v>710</v>
      </c>
      <c r="D316" s="50" t="s">
        <v>711</v>
      </c>
      <c r="E316" s="50" t="s">
        <v>675</v>
      </c>
      <c r="F316" s="35" t="str">
        <f t="shared" si="20"/>
        <v/>
      </c>
      <c r="G316" s="36" t="str">
        <f t="shared" si="21"/>
        <v>C</v>
      </c>
      <c r="H316" s="51">
        <f t="shared" si="23"/>
        <v>1</v>
      </c>
      <c r="I316" s="51">
        <f t="shared" si="23"/>
        <v>1</v>
      </c>
      <c r="J316" s="51">
        <f t="shared" si="23"/>
        <v>1</v>
      </c>
      <c r="K316" s="37" t="s">
        <v>47</v>
      </c>
      <c r="L316" s="37"/>
      <c r="M316" s="37"/>
      <c r="N316" s="37"/>
      <c r="O316" s="37"/>
      <c r="P316" s="37" t="s">
        <v>47</v>
      </c>
      <c r="Q316" s="37"/>
      <c r="R316" s="37" t="s">
        <v>47</v>
      </c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M316" s="38"/>
      <c r="AN316" s="38"/>
      <c r="AO316" s="38"/>
      <c r="AP316" s="38"/>
      <c r="AQ316" s="38"/>
      <c r="AR316" s="38" t="s">
        <v>47</v>
      </c>
      <c r="AS316" s="38" t="s">
        <v>47</v>
      </c>
      <c r="AT316" s="38"/>
      <c r="AU316" s="38"/>
      <c r="AV316" s="38"/>
      <c r="AW316" s="38" t="s">
        <v>47</v>
      </c>
      <c r="AX316" s="38"/>
      <c r="AY316" s="38"/>
      <c r="AZ316" s="38"/>
      <c r="BA316" s="38"/>
      <c r="BB316" s="38"/>
      <c r="BC316" s="38"/>
      <c r="BD316" s="38"/>
      <c r="BE316" s="77">
        <f t="shared" si="22"/>
        <v>3</v>
      </c>
      <c r="BF316" s="38"/>
    </row>
    <row r="317" spans="1:58" ht="22.5" hidden="1" customHeight="1">
      <c r="A317" s="33" t="str">
        <f>IF(OR(ISBLANK(E317),ISBLANK(C317)),"",IF(COUNTIF($E$8:E317,E317)&gt;1,"",(MAX($A$7:A316)+1)))</f>
        <v/>
      </c>
      <c r="B317" s="34">
        <f>IF(ISBLANK(C317),"",SUBTOTAL(3,$C$8:C317))</f>
        <v>44</v>
      </c>
      <c r="C317" s="80" t="s">
        <v>712</v>
      </c>
      <c r="D317" s="50" t="s">
        <v>713</v>
      </c>
      <c r="E317" s="50" t="s">
        <v>675</v>
      </c>
      <c r="F317" s="35" t="str">
        <f t="shared" si="20"/>
        <v/>
      </c>
      <c r="G317" s="36" t="str">
        <f t="shared" si="21"/>
        <v>C</v>
      </c>
      <c r="H317" s="51" t="str">
        <f t="shared" si="23"/>
        <v/>
      </c>
      <c r="I317" s="51">
        <f t="shared" si="23"/>
        <v>2</v>
      </c>
      <c r="J317" s="51" t="str">
        <f t="shared" si="23"/>
        <v/>
      </c>
      <c r="K317" s="37"/>
      <c r="L317" s="37" t="s">
        <v>47</v>
      </c>
      <c r="M317" s="37"/>
      <c r="N317" s="37"/>
      <c r="O317" s="37"/>
      <c r="P317" s="37"/>
      <c r="Q317" s="37"/>
      <c r="R317" s="37" t="s">
        <v>47</v>
      </c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M317" s="38"/>
      <c r="AN317" s="38"/>
      <c r="AO317" s="38"/>
      <c r="AP317" s="38"/>
      <c r="AQ317" s="38"/>
      <c r="AR317" s="38" t="s">
        <v>47</v>
      </c>
      <c r="AS317" s="38" t="s">
        <v>47</v>
      </c>
      <c r="AT317" s="38"/>
      <c r="AU317" s="38"/>
      <c r="AV317" s="38"/>
      <c r="AW317" s="38" t="s">
        <v>47</v>
      </c>
      <c r="AX317" s="38"/>
      <c r="AY317" s="38"/>
      <c r="AZ317" s="38"/>
      <c r="BA317" s="38"/>
      <c r="BB317" s="38"/>
      <c r="BC317" s="38"/>
      <c r="BD317" s="38"/>
      <c r="BE317" s="77">
        <f t="shared" si="22"/>
        <v>3</v>
      </c>
      <c r="BF317" s="38"/>
    </row>
    <row r="318" spans="1:58" ht="22.5" hidden="1" customHeight="1">
      <c r="A318" s="33" t="str">
        <f>IF(OR(ISBLANK(E318),ISBLANK(C318)),"",IF(COUNTIF($E$8:E318,E318)&gt;1,"",(MAX($A$7:A317)+1)))</f>
        <v/>
      </c>
      <c r="B318" s="34">
        <f>IF(ISBLANK(C318),"",SUBTOTAL(3,$C$8:C318))</f>
        <v>44</v>
      </c>
      <c r="C318" s="79" t="s">
        <v>714</v>
      </c>
      <c r="D318" s="50" t="s">
        <v>715</v>
      </c>
      <c r="E318" s="50" t="s">
        <v>675</v>
      </c>
      <c r="F318" s="35" t="str">
        <f t="shared" si="20"/>
        <v/>
      </c>
      <c r="G318" s="36" t="str">
        <f t="shared" si="21"/>
        <v>C</v>
      </c>
      <c r="H318" s="51" t="str">
        <f t="shared" si="23"/>
        <v/>
      </c>
      <c r="I318" s="51">
        <f t="shared" si="23"/>
        <v>2</v>
      </c>
      <c r="J318" s="51" t="str">
        <f t="shared" si="23"/>
        <v/>
      </c>
      <c r="K318" s="37"/>
      <c r="L318" s="37" t="s">
        <v>47</v>
      </c>
      <c r="M318" s="37"/>
      <c r="N318" s="37"/>
      <c r="O318" s="37"/>
      <c r="P318" s="37"/>
      <c r="Q318" s="37"/>
      <c r="R318" s="37" t="s">
        <v>47</v>
      </c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M318" s="38"/>
      <c r="AN318" s="38"/>
      <c r="AO318" s="38"/>
      <c r="AP318" s="38"/>
      <c r="AQ318" s="38"/>
      <c r="AR318" s="38" t="s">
        <v>47</v>
      </c>
      <c r="AS318" s="38" t="s">
        <v>47</v>
      </c>
      <c r="AT318" s="38"/>
      <c r="AU318" s="38"/>
      <c r="AV318" s="38"/>
      <c r="AW318" s="38"/>
      <c r="AX318" s="38"/>
      <c r="AY318" s="38"/>
      <c r="AZ318" s="38"/>
      <c r="BA318" s="38"/>
      <c r="BB318" s="38"/>
      <c r="BC318" s="38"/>
      <c r="BD318" s="38"/>
      <c r="BE318" s="77">
        <f t="shared" si="22"/>
        <v>2</v>
      </c>
      <c r="BF318" s="38"/>
    </row>
    <row r="319" spans="1:58" ht="22.5" hidden="1" customHeight="1">
      <c r="A319" s="33" t="str">
        <f>IF(OR(ISBLANK(E319),ISBLANK(C319)),"",IF(COUNTIF($E$8:E319,E319)&gt;1,"",(MAX($A$7:A318)+1)))</f>
        <v/>
      </c>
      <c r="B319" s="34">
        <f>IF(ISBLANK(C319),"",SUBTOTAL(3,$C$8:C319))</f>
        <v>44</v>
      </c>
      <c r="C319" s="79" t="s">
        <v>716</v>
      </c>
      <c r="D319" s="50" t="s">
        <v>717</v>
      </c>
      <c r="E319" s="50" t="s">
        <v>675</v>
      </c>
      <c r="F319" s="35" t="str">
        <f t="shared" si="20"/>
        <v/>
      </c>
      <c r="G319" s="36" t="str">
        <f t="shared" si="21"/>
        <v>B</v>
      </c>
      <c r="H319" s="51">
        <f t="shared" si="23"/>
        <v>1</v>
      </c>
      <c r="I319" s="51">
        <f t="shared" si="23"/>
        <v>2</v>
      </c>
      <c r="J319" s="51" t="str">
        <f t="shared" si="23"/>
        <v/>
      </c>
      <c r="K319" s="37" t="s">
        <v>47</v>
      </c>
      <c r="L319" s="37"/>
      <c r="M319" s="37"/>
      <c r="N319" s="37"/>
      <c r="O319" s="37" t="s">
        <v>47</v>
      </c>
      <c r="P319" s="37"/>
      <c r="Q319" s="37"/>
      <c r="R319" s="37"/>
      <c r="S319" s="37"/>
      <c r="T319" s="37"/>
      <c r="U319" s="37" t="s">
        <v>47</v>
      </c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M319" s="38"/>
      <c r="AN319" s="38"/>
      <c r="AO319" s="38"/>
      <c r="AP319" s="38"/>
      <c r="AQ319" s="38"/>
      <c r="AR319" s="38"/>
      <c r="AS319" s="38" t="s">
        <v>47</v>
      </c>
      <c r="AT319" s="38" t="s">
        <v>47</v>
      </c>
      <c r="AU319" s="38" t="s">
        <v>47</v>
      </c>
      <c r="AV319" s="38"/>
      <c r="AW319" s="38"/>
      <c r="AX319" s="38"/>
      <c r="AY319" s="38"/>
      <c r="AZ319" s="38"/>
      <c r="BA319" s="38"/>
      <c r="BB319" s="38"/>
      <c r="BC319" s="38" t="s">
        <v>47</v>
      </c>
      <c r="BD319" s="38"/>
      <c r="BE319" s="77">
        <f t="shared" si="22"/>
        <v>4</v>
      </c>
      <c r="BF319" s="38"/>
    </row>
    <row r="320" spans="1:58" ht="22.5" hidden="1" customHeight="1">
      <c r="A320" s="33" t="str">
        <f>IF(OR(ISBLANK(E320),ISBLANK(C320)),"",IF(COUNTIF($E$8:E320,E320)&gt;1,"",(MAX($A$7:A319)+1)))</f>
        <v/>
      </c>
      <c r="B320" s="34">
        <f>IF(ISBLANK(C320),"",SUBTOTAL(3,$C$8:C320))</f>
        <v>44</v>
      </c>
      <c r="C320" s="79" t="s">
        <v>718</v>
      </c>
      <c r="D320" s="50" t="s">
        <v>719</v>
      </c>
      <c r="E320" s="50" t="s">
        <v>675</v>
      </c>
      <c r="F320" s="35" t="str">
        <f t="shared" si="20"/>
        <v/>
      </c>
      <c r="G320" s="36" t="str">
        <f t="shared" si="21"/>
        <v>A</v>
      </c>
      <c r="H320" s="51">
        <f t="shared" si="23"/>
        <v>4</v>
      </c>
      <c r="I320" s="51">
        <f t="shared" si="23"/>
        <v>1</v>
      </c>
      <c r="J320" s="51" t="str">
        <f t="shared" si="23"/>
        <v/>
      </c>
      <c r="K320" s="37" t="s">
        <v>47</v>
      </c>
      <c r="L320" s="37"/>
      <c r="M320" s="37"/>
      <c r="N320" s="37" t="s">
        <v>47</v>
      </c>
      <c r="O320" s="37"/>
      <c r="P320" s="37"/>
      <c r="Q320" s="37"/>
      <c r="R320" s="37" t="s">
        <v>47</v>
      </c>
      <c r="S320" s="37"/>
      <c r="T320" s="37" t="s">
        <v>47</v>
      </c>
      <c r="U320" s="37"/>
      <c r="V320" s="37"/>
      <c r="W320" s="37"/>
      <c r="X320" s="37"/>
      <c r="Y320" s="37"/>
      <c r="Z320" s="37"/>
      <c r="AA320" s="37"/>
      <c r="AB320" s="37"/>
      <c r="AC320" s="37" t="s">
        <v>47</v>
      </c>
      <c r="AD320" s="37"/>
      <c r="AE320" s="37"/>
      <c r="AF320" s="37"/>
      <c r="AG320" s="37"/>
      <c r="AH320" s="37"/>
      <c r="AI320" s="37"/>
      <c r="AJ320" s="37"/>
      <c r="AK320" s="37"/>
      <c r="AM320" s="38"/>
      <c r="AN320" s="38"/>
      <c r="AO320" s="38"/>
      <c r="AP320" s="38"/>
      <c r="AQ320" s="38"/>
      <c r="AR320" s="38" t="s">
        <v>47</v>
      </c>
      <c r="AS320" s="38" t="s">
        <v>47</v>
      </c>
      <c r="AT320" s="38" t="s">
        <v>47</v>
      </c>
      <c r="AU320" s="38" t="s">
        <v>47</v>
      </c>
      <c r="AV320" s="38"/>
      <c r="AW320" s="38" t="s">
        <v>47</v>
      </c>
      <c r="AX320" s="38" t="s">
        <v>47</v>
      </c>
      <c r="AY320" s="38" t="s">
        <v>47</v>
      </c>
      <c r="AZ320" s="38"/>
      <c r="BA320" s="38" t="s">
        <v>47</v>
      </c>
      <c r="BB320" s="38" t="s">
        <v>47</v>
      </c>
      <c r="BC320" s="38"/>
      <c r="BD320" s="38"/>
      <c r="BE320" s="77">
        <f t="shared" si="22"/>
        <v>9</v>
      </c>
      <c r="BF320" s="38"/>
    </row>
    <row r="321" spans="1:58" ht="22.5" hidden="1" customHeight="1">
      <c r="A321" s="33" t="str">
        <f>IF(OR(ISBLANK(E321),ISBLANK(C321)),"",IF(COUNTIF($E$8:E321,E321)&gt;1,"",(MAX($A$7:A320)+1)))</f>
        <v/>
      </c>
      <c r="B321" s="34">
        <f>IF(ISBLANK(C321),"",SUBTOTAL(3,$C$8:C321))</f>
        <v>44</v>
      </c>
      <c r="C321" s="79" t="s">
        <v>720</v>
      </c>
      <c r="D321" s="50" t="s">
        <v>721</v>
      </c>
      <c r="E321" s="50" t="s">
        <v>675</v>
      </c>
      <c r="F321" s="35" t="str">
        <f t="shared" si="20"/>
        <v/>
      </c>
      <c r="G321" s="36" t="str">
        <f t="shared" si="21"/>
        <v>C</v>
      </c>
      <c r="H321" s="51">
        <f t="shared" si="23"/>
        <v>1</v>
      </c>
      <c r="I321" s="51">
        <f t="shared" si="23"/>
        <v>1</v>
      </c>
      <c r="J321" s="51" t="str">
        <f t="shared" si="23"/>
        <v/>
      </c>
      <c r="K321" s="37"/>
      <c r="L321" s="37" t="s">
        <v>47</v>
      </c>
      <c r="M321" s="37"/>
      <c r="N321" s="37" t="s">
        <v>47</v>
      </c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M321" s="38"/>
      <c r="AN321" s="38"/>
      <c r="AO321" s="38"/>
      <c r="AP321" s="38"/>
      <c r="AQ321" s="38"/>
      <c r="AR321" s="38" t="s">
        <v>47</v>
      </c>
      <c r="AS321" s="38" t="s">
        <v>47</v>
      </c>
      <c r="AT321" s="38"/>
      <c r="AU321" s="38"/>
      <c r="AV321" s="38"/>
      <c r="AW321" s="38"/>
      <c r="AX321" s="38"/>
      <c r="AY321" s="38" t="s">
        <v>47</v>
      </c>
      <c r="AZ321" s="38"/>
      <c r="BA321" s="38"/>
      <c r="BB321" s="38"/>
      <c r="BC321" s="38"/>
      <c r="BD321" s="38"/>
      <c r="BE321" s="77">
        <f t="shared" si="22"/>
        <v>3</v>
      </c>
      <c r="BF321" s="38"/>
    </row>
    <row r="322" spans="1:58" ht="22.5" hidden="1" customHeight="1">
      <c r="A322" s="33" t="str">
        <f>IF(OR(ISBLANK(E322),ISBLANK(C322)),"",IF(COUNTIF($E$8:E322,E322)&gt;1,"",(MAX($A$7:A321)+1)))</f>
        <v/>
      </c>
      <c r="B322" s="34">
        <f>IF(ISBLANK(C322),"",SUBTOTAL(3,$C$8:C322))</f>
        <v>44</v>
      </c>
      <c r="C322" s="78" t="s">
        <v>722</v>
      </c>
      <c r="D322" s="50" t="s">
        <v>723</v>
      </c>
      <c r="E322" s="50" t="s">
        <v>675</v>
      </c>
      <c r="F322" s="35" t="str">
        <f t="shared" si="20"/>
        <v/>
      </c>
      <c r="G322" s="36" t="str">
        <f t="shared" si="21"/>
        <v>C</v>
      </c>
      <c r="H322" s="51">
        <f t="shared" si="23"/>
        <v>1</v>
      </c>
      <c r="I322" s="51" t="str">
        <f t="shared" si="23"/>
        <v/>
      </c>
      <c r="J322" s="51">
        <f t="shared" si="23"/>
        <v>1</v>
      </c>
      <c r="K322" s="37" t="s">
        <v>47</v>
      </c>
      <c r="L322" s="37"/>
      <c r="M322" s="37"/>
      <c r="N322" s="37"/>
      <c r="O322" s="37"/>
      <c r="P322" s="37"/>
      <c r="Q322" s="37"/>
      <c r="R322" s="37"/>
      <c r="S322" s="37" t="s">
        <v>47</v>
      </c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M322" s="38"/>
      <c r="AN322" s="38"/>
      <c r="AO322" s="38"/>
      <c r="AP322" s="38"/>
      <c r="AQ322" s="38"/>
      <c r="AR322" s="38"/>
      <c r="AS322" s="38"/>
      <c r="AT322" s="38"/>
      <c r="AU322" s="38"/>
      <c r="AV322" s="38"/>
      <c r="AW322" s="38"/>
      <c r="AX322" s="38"/>
      <c r="AY322" s="38"/>
      <c r="AZ322" s="38"/>
      <c r="BA322" s="38"/>
      <c r="BB322" s="38"/>
      <c r="BC322" s="38" t="s">
        <v>47</v>
      </c>
      <c r="BD322" s="38"/>
      <c r="BE322" s="77">
        <f t="shared" si="22"/>
        <v>1</v>
      </c>
      <c r="BF322" s="38"/>
    </row>
    <row r="323" spans="1:58" ht="22.5" hidden="1" customHeight="1">
      <c r="A323" s="33" t="str">
        <f>IF(OR(ISBLANK(E323),ISBLANK(C323)),"",IF(COUNTIF($E$8:E323,E323)&gt;1,"",(MAX($A$7:A322)+1)))</f>
        <v/>
      </c>
      <c r="B323" s="34">
        <f>IF(ISBLANK(C323),"",SUBTOTAL(3,$C$8:C323))</f>
        <v>44</v>
      </c>
      <c r="C323" s="80" t="s">
        <v>724</v>
      </c>
      <c r="D323" s="50" t="s">
        <v>725</v>
      </c>
      <c r="E323" s="50" t="s">
        <v>675</v>
      </c>
      <c r="F323" s="35" t="str">
        <f t="shared" si="20"/>
        <v/>
      </c>
      <c r="G323" s="36" t="str">
        <f t="shared" si="21"/>
        <v>C</v>
      </c>
      <c r="H323" s="51">
        <f t="shared" si="23"/>
        <v>1</v>
      </c>
      <c r="I323" s="51" t="str">
        <f t="shared" si="23"/>
        <v/>
      </c>
      <c r="J323" s="51" t="str">
        <f t="shared" si="23"/>
        <v/>
      </c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 t="s">
        <v>47</v>
      </c>
      <c r="AG323" s="37"/>
      <c r="AH323" s="37"/>
      <c r="AI323" s="37"/>
      <c r="AJ323" s="37"/>
      <c r="AK323" s="37"/>
      <c r="AM323" s="38"/>
      <c r="AN323" s="38"/>
      <c r="AO323" s="38"/>
      <c r="AP323" s="38" t="s">
        <v>47</v>
      </c>
      <c r="AQ323" s="38"/>
      <c r="AR323" s="38"/>
      <c r="AS323" s="38"/>
      <c r="AT323" s="38"/>
      <c r="AU323" s="38"/>
      <c r="AV323" s="38"/>
      <c r="AW323" s="38"/>
      <c r="AX323" s="38"/>
      <c r="AY323" s="38"/>
      <c r="AZ323" s="38"/>
      <c r="BA323" s="38"/>
      <c r="BB323" s="38"/>
      <c r="BC323" s="38"/>
      <c r="BD323" s="38"/>
      <c r="BE323" s="77">
        <f t="shared" si="22"/>
        <v>1</v>
      </c>
      <c r="BF323" s="38"/>
    </row>
    <row r="324" spans="1:58" ht="22.5" hidden="1" customHeight="1">
      <c r="A324" s="33" t="str">
        <f>IF(OR(ISBLANK(E324),ISBLANK(C324)),"",IF(COUNTIF($E$8:E324,E324)&gt;1,"",(MAX($A$7:A323)+1)))</f>
        <v/>
      </c>
      <c r="B324" s="34">
        <f>IF(ISBLANK(C324),"",SUBTOTAL(3,$C$8:C324))</f>
        <v>44</v>
      </c>
      <c r="C324" s="78" t="s">
        <v>726</v>
      </c>
      <c r="D324" s="50" t="s">
        <v>727</v>
      </c>
      <c r="E324" s="50" t="s">
        <v>675</v>
      </c>
      <c r="F324" s="35" t="str">
        <f t="shared" si="20"/>
        <v/>
      </c>
      <c r="G324" s="36" t="str">
        <f t="shared" si="21"/>
        <v>C</v>
      </c>
      <c r="H324" s="51">
        <f t="shared" si="23"/>
        <v>1</v>
      </c>
      <c r="I324" s="51">
        <f t="shared" si="23"/>
        <v>1</v>
      </c>
      <c r="J324" s="51" t="str">
        <f t="shared" si="23"/>
        <v/>
      </c>
      <c r="K324" s="37"/>
      <c r="L324" s="37"/>
      <c r="M324" s="37"/>
      <c r="N324" s="37"/>
      <c r="O324" s="37"/>
      <c r="P324" s="37"/>
      <c r="Q324" s="37"/>
      <c r="R324" s="37" t="s">
        <v>47</v>
      </c>
      <c r="S324" s="37"/>
      <c r="T324" s="37"/>
      <c r="U324" s="37"/>
      <c r="V324" s="37"/>
      <c r="W324" s="37"/>
      <c r="X324" s="37"/>
      <c r="Y324" s="37"/>
      <c r="Z324" s="37" t="s">
        <v>47</v>
      </c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M324" s="38"/>
      <c r="AN324" s="38"/>
      <c r="AO324" s="38" t="s">
        <v>47</v>
      </c>
      <c r="AP324" s="38"/>
      <c r="AQ324" s="38"/>
      <c r="AR324" s="38"/>
      <c r="AS324" s="38"/>
      <c r="AT324" s="38"/>
      <c r="AU324" s="38"/>
      <c r="AV324" s="38"/>
      <c r="AW324" s="38"/>
      <c r="AX324" s="38"/>
      <c r="AY324" s="38"/>
      <c r="AZ324" s="38"/>
      <c r="BA324" s="38"/>
      <c r="BB324" s="38"/>
      <c r="BC324" s="38"/>
      <c r="BD324" s="38"/>
      <c r="BE324" s="77">
        <f t="shared" si="22"/>
        <v>1</v>
      </c>
      <c r="BF324" s="38"/>
    </row>
    <row r="325" spans="1:58" ht="22.5" hidden="1" customHeight="1">
      <c r="A325" s="33" t="str">
        <f>IF(OR(ISBLANK(E325),ISBLANK(C325)),"",IF(COUNTIF($E$8:E325,E325)&gt;1,"",(MAX($A$7:A324)+1)))</f>
        <v/>
      </c>
      <c r="B325" s="34">
        <f>IF(ISBLANK(C325),"",SUBTOTAL(3,$C$8:C325))</f>
        <v>44</v>
      </c>
      <c r="C325" s="78" t="s">
        <v>728</v>
      </c>
      <c r="D325" s="50" t="s">
        <v>729</v>
      </c>
      <c r="E325" s="50" t="s">
        <v>675</v>
      </c>
      <c r="F325" s="35" t="str">
        <f t="shared" si="20"/>
        <v/>
      </c>
      <c r="G325" s="36" t="str">
        <f t="shared" si="21"/>
        <v>B</v>
      </c>
      <c r="H325" s="51">
        <f t="shared" si="23"/>
        <v>2</v>
      </c>
      <c r="I325" s="51">
        <f t="shared" si="23"/>
        <v>1</v>
      </c>
      <c r="J325" s="51" t="str">
        <f t="shared" si="23"/>
        <v/>
      </c>
      <c r="K325" s="37"/>
      <c r="L325" s="37" t="s">
        <v>47</v>
      </c>
      <c r="M325" s="37"/>
      <c r="N325" s="37"/>
      <c r="O325" s="37"/>
      <c r="P325" s="37"/>
      <c r="Q325" s="37" t="s">
        <v>47</v>
      </c>
      <c r="R325" s="37"/>
      <c r="S325" s="37"/>
      <c r="T325" s="37"/>
      <c r="U325" s="37"/>
      <c r="V325" s="37"/>
      <c r="W325" s="37"/>
      <c r="X325" s="37"/>
      <c r="Y325" s="37"/>
      <c r="Z325" s="37" t="s">
        <v>47</v>
      </c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M325" s="38"/>
      <c r="AN325" s="38"/>
      <c r="AO325" s="38" t="s">
        <v>47</v>
      </c>
      <c r="AP325" s="38"/>
      <c r="AQ325" s="38"/>
      <c r="AR325" s="38" t="s">
        <v>47</v>
      </c>
      <c r="AS325" s="38"/>
      <c r="AT325" s="38"/>
      <c r="AU325" s="38"/>
      <c r="AV325" s="38"/>
      <c r="AW325" s="38"/>
      <c r="AX325" s="38"/>
      <c r="AY325" s="38"/>
      <c r="AZ325" s="38"/>
      <c r="BA325" s="38"/>
      <c r="BB325" s="38"/>
      <c r="BC325" s="38"/>
      <c r="BD325" s="38"/>
      <c r="BE325" s="77">
        <f t="shared" si="22"/>
        <v>2</v>
      </c>
      <c r="BF325" s="38"/>
    </row>
    <row r="326" spans="1:58" ht="22.5" hidden="1" customHeight="1">
      <c r="A326" s="33" t="str">
        <f>IF(OR(ISBLANK(E326),ISBLANK(C326)),"",IF(COUNTIF($E$8:E326,E326)&gt;1,"",(MAX($A$7:A325)+1)))</f>
        <v/>
      </c>
      <c r="B326" s="34">
        <f>IF(ISBLANK(C326),"",SUBTOTAL(3,$C$8:C326))</f>
        <v>44</v>
      </c>
      <c r="C326" s="78" t="s">
        <v>730</v>
      </c>
      <c r="D326" s="50" t="s">
        <v>731</v>
      </c>
      <c r="E326" s="50" t="s">
        <v>675</v>
      </c>
      <c r="F326" s="35" t="str">
        <f t="shared" si="20"/>
        <v/>
      </c>
      <c r="G326" s="36" t="str">
        <f t="shared" si="21"/>
        <v>B</v>
      </c>
      <c r="H326" s="51">
        <f t="shared" si="23"/>
        <v>2</v>
      </c>
      <c r="I326" s="51">
        <f t="shared" si="23"/>
        <v>1</v>
      </c>
      <c r="J326" s="51" t="str">
        <f t="shared" si="23"/>
        <v/>
      </c>
      <c r="K326" s="37"/>
      <c r="L326" s="37" t="s">
        <v>47</v>
      </c>
      <c r="M326" s="37"/>
      <c r="N326" s="37"/>
      <c r="O326" s="37"/>
      <c r="P326" s="37"/>
      <c r="Q326" s="37" t="s">
        <v>47</v>
      </c>
      <c r="R326" s="37"/>
      <c r="S326" s="37"/>
      <c r="T326" s="37"/>
      <c r="U326" s="37"/>
      <c r="V326" s="37"/>
      <c r="W326" s="37"/>
      <c r="X326" s="37"/>
      <c r="Y326" s="37"/>
      <c r="Z326" s="37" t="s">
        <v>47</v>
      </c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M326" s="38"/>
      <c r="AN326" s="38"/>
      <c r="AO326" s="38"/>
      <c r="AP326" s="38"/>
      <c r="AQ326" s="38"/>
      <c r="AR326" s="38"/>
      <c r="AS326" s="38" t="s">
        <v>47</v>
      </c>
      <c r="AT326" s="38"/>
      <c r="AU326" s="38"/>
      <c r="AV326" s="38" t="s">
        <v>47</v>
      </c>
      <c r="AW326" s="38"/>
      <c r="AX326" s="38"/>
      <c r="AY326" s="38"/>
      <c r="AZ326" s="38"/>
      <c r="BA326" s="38"/>
      <c r="BB326" s="38"/>
      <c r="BC326" s="38"/>
      <c r="BD326" s="38"/>
      <c r="BE326" s="77">
        <f t="shared" si="22"/>
        <v>2</v>
      </c>
      <c r="BF326" s="38"/>
    </row>
    <row r="327" spans="1:58" ht="22.5" hidden="1" customHeight="1">
      <c r="A327" s="33" t="str">
        <f>IF(OR(ISBLANK(E327),ISBLANK(C327)),"",IF(COUNTIF($E$8:E327,E327)&gt;1,"",(MAX($A$7:A326)+1)))</f>
        <v/>
      </c>
      <c r="B327" s="34">
        <f>IF(ISBLANK(C327),"",SUBTOTAL(3,$C$8:C327))</f>
        <v>44</v>
      </c>
      <c r="C327" s="78" t="s">
        <v>732</v>
      </c>
      <c r="D327" s="50" t="s">
        <v>733</v>
      </c>
      <c r="E327" s="50" t="s">
        <v>675</v>
      </c>
      <c r="F327" s="35" t="str">
        <f t="shared" si="20"/>
        <v/>
      </c>
      <c r="G327" s="36" t="str">
        <f t="shared" si="21"/>
        <v>B</v>
      </c>
      <c r="H327" s="51">
        <f t="shared" si="23"/>
        <v>1</v>
      </c>
      <c r="I327" s="51">
        <f t="shared" si="23"/>
        <v>4</v>
      </c>
      <c r="J327" s="51" t="str">
        <f t="shared" si="23"/>
        <v/>
      </c>
      <c r="K327" s="37" t="s">
        <v>47</v>
      </c>
      <c r="L327" s="37"/>
      <c r="M327" s="37"/>
      <c r="N327" s="37"/>
      <c r="O327" s="37" t="s">
        <v>47</v>
      </c>
      <c r="P327" s="37"/>
      <c r="Q327" s="37"/>
      <c r="R327" s="37" t="s">
        <v>47</v>
      </c>
      <c r="S327" s="37"/>
      <c r="T327" s="37"/>
      <c r="U327" s="37"/>
      <c r="V327" s="37"/>
      <c r="W327" s="37"/>
      <c r="X327" s="37" t="s">
        <v>47</v>
      </c>
      <c r="Y327" s="37"/>
      <c r="Z327" s="37"/>
      <c r="AA327" s="37"/>
      <c r="AB327" s="37"/>
      <c r="AC327" s="37"/>
      <c r="AD327" s="37" t="s">
        <v>47</v>
      </c>
      <c r="AE327" s="37"/>
      <c r="AF327" s="37"/>
      <c r="AG327" s="37"/>
      <c r="AH327" s="37"/>
      <c r="AI327" s="37"/>
      <c r="AJ327" s="37"/>
      <c r="AK327" s="37"/>
      <c r="AM327" s="38"/>
      <c r="AN327" s="38"/>
      <c r="AO327" s="38"/>
      <c r="AP327" s="38"/>
      <c r="AQ327" s="38"/>
      <c r="AR327" s="38"/>
      <c r="AS327" s="38" t="s">
        <v>47</v>
      </c>
      <c r="AT327" s="38"/>
      <c r="AU327" s="38"/>
      <c r="AV327" s="38"/>
      <c r="AW327" s="38" t="s">
        <v>47</v>
      </c>
      <c r="AX327" s="38"/>
      <c r="AY327" s="38"/>
      <c r="AZ327" s="38"/>
      <c r="BA327" s="38" t="s">
        <v>47</v>
      </c>
      <c r="BB327" s="38"/>
      <c r="BC327" s="38" t="s">
        <v>47</v>
      </c>
      <c r="BD327" s="38"/>
      <c r="BE327" s="77">
        <f t="shared" si="22"/>
        <v>4</v>
      </c>
      <c r="BF327" s="38"/>
    </row>
    <row r="328" spans="1:58" ht="22.5" hidden="1" customHeight="1">
      <c r="A328" s="33" t="str">
        <f>IF(OR(ISBLANK(E328),ISBLANK(C328)),"",IF(COUNTIF($E$8:E328,E328)&gt;1,"",(MAX($A$7:A327)+1)))</f>
        <v/>
      </c>
      <c r="B328" s="34">
        <f>IF(ISBLANK(C328),"",SUBTOTAL(3,$C$8:C328))</f>
        <v>44</v>
      </c>
      <c r="C328" s="78" t="s">
        <v>734</v>
      </c>
      <c r="D328" s="50" t="s">
        <v>735</v>
      </c>
      <c r="E328" s="50" t="s">
        <v>675</v>
      </c>
      <c r="F328" s="35" t="str">
        <f t="shared" ref="F328:F391" si="24">IFERROR(IF(OR(ISBLANK($C328),B328=""),"",INDEX(Luonggio,MATCH($C328,MaNVLuong,0))),"")</f>
        <v/>
      </c>
      <c r="G328" s="36" t="str">
        <f t="shared" si="21"/>
        <v>D</v>
      </c>
      <c r="H328" s="51" t="str">
        <f t="shared" si="23"/>
        <v/>
      </c>
      <c r="I328" s="51">
        <f t="shared" si="23"/>
        <v>1</v>
      </c>
      <c r="J328" s="51">
        <f t="shared" si="23"/>
        <v>2</v>
      </c>
      <c r="K328" s="37"/>
      <c r="L328" s="37" t="s">
        <v>47</v>
      </c>
      <c r="M328" s="37"/>
      <c r="N328" s="37"/>
      <c r="O328" s="37"/>
      <c r="P328" s="37" t="s">
        <v>47</v>
      </c>
      <c r="Q328" s="37"/>
      <c r="R328" s="37"/>
      <c r="S328" s="37" t="s">
        <v>47</v>
      </c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M328" s="38"/>
      <c r="AN328" s="38"/>
      <c r="AO328" s="38"/>
      <c r="AP328" s="38"/>
      <c r="AQ328" s="38"/>
      <c r="AR328" s="38" t="s">
        <v>47</v>
      </c>
      <c r="AS328" s="38" t="s">
        <v>47</v>
      </c>
      <c r="AT328" s="38"/>
      <c r="AU328" s="38"/>
      <c r="AV328" s="38"/>
      <c r="AW328" s="38"/>
      <c r="AX328" s="38"/>
      <c r="AY328" s="38"/>
      <c r="AZ328" s="38"/>
      <c r="BA328" s="38"/>
      <c r="BB328" s="38"/>
      <c r="BC328" s="38"/>
      <c r="BD328" s="38"/>
      <c r="BE328" s="77">
        <f t="shared" si="22"/>
        <v>2</v>
      </c>
      <c r="BF328" s="38"/>
    </row>
    <row r="329" spans="1:58" ht="22.5" hidden="1" customHeight="1">
      <c r="A329" s="33" t="str">
        <f>IF(OR(ISBLANK(E329),ISBLANK(C329)),"",IF(COUNTIF($E$8:E329,E329)&gt;1,"",(MAX($A$7:A328)+1)))</f>
        <v/>
      </c>
      <c r="B329" s="34">
        <f>IF(ISBLANK(C329),"",SUBTOTAL(3,$C$8:C329))</f>
        <v>44</v>
      </c>
      <c r="C329" s="78" t="s">
        <v>736</v>
      </c>
      <c r="D329" s="50" t="s">
        <v>737</v>
      </c>
      <c r="E329" s="50" t="s">
        <v>675</v>
      </c>
      <c r="F329" s="35" t="str">
        <f t="shared" si="24"/>
        <v/>
      </c>
      <c r="G329" s="36" t="str">
        <f t="shared" ref="G329:G392" si="25">IF(COUNTIF(H329:J329,"&gt;0")=0,"",IF(AND(OR(OR(SUM(H329)&gt;=2)),SUM(H329:J329)&gt;=4,OR(OR(SUM(I329)&gt;=1))),"A",IF(OR(OR(SUM(H329)&gt;=3)),"A",IF(AND(SUM(I329)&gt;=2,SUM(H329)=1),"B",IF(AND(SUM(I329)&gt;=1,SUM(H329)=2),"B",IF(H329=2,"B",IF(SUM(I329)&gt;=2,"C",IF(H329=1,"C",IF(AND(H329=1,I329=1),"C",IF(AND(SUM(H329:I329)=0,SUM(J329)&lt;=1),"D","D"))))))))))</f>
        <v>A</v>
      </c>
      <c r="H329" s="51">
        <f t="shared" si="23"/>
        <v>5</v>
      </c>
      <c r="I329" s="51">
        <f t="shared" si="23"/>
        <v>2</v>
      </c>
      <c r="J329" s="51" t="str">
        <f t="shared" si="23"/>
        <v/>
      </c>
      <c r="K329" s="37" t="s">
        <v>47</v>
      </c>
      <c r="L329" s="37"/>
      <c r="M329" s="37"/>
      <c r="N329" s="37" t="s">
        <v>47</v>
      </c>
      <c r="O329" s="37"/>
      <c r="P329" s="37"/>
      <c r="Q329" s="37" t="s">
        <v>47</v>
      </c>
      <c r="R329" s="37"/>
      <c r="S329" s="37"/>
      <c r="T329" s="37" t="s">
        <v>47</v>
      </c>
      <c r="U329" s="37"/>
      <c r="V329" s="37"/>
      <c r="W329" s="37" t="s">
        <v>47</v>
      </c>
      <c r="X329" s="37"/>
      <c r="Y329" s="37"/>
      <c r="Z329" s="37"/>
      <c r="AA329" s="37" t="s">
        <v>47</v>
      </c>
      <c r="AB329" s="37"/>
      <c r="AC329" s="37"/>
      <c r="AD329" s="37" t="s">
        <v>47</v>
      </c>
      <c r="AE329" s="37"/>
      <c r="AF329" s="37"/>
      <c r="AG329" s="37"/>
      <c r="AH329" s="37"/>
      <c r="AI329" s="37"/>
      <c r="AJ329" s="37"/>
      <c r="AK329" s="37"/>
      <c r="AM329" s="38"/>
      <c r="AN329" s="38"/>
      <c r="AO329" s="38"/>
      <c r="AP329" s="38"/>
      <c r="AQ329" s="38"/>
      <c r="AR329" s="38"/>
      <c r="AS329" s="38" t="s">
        <v>47</v>
      </c>
      <c r="AT329" s="38" t="s">
        <v>47</v>
      </c>
      <c r="AU329" s="38"/>
      <c r="AV329" s="38"/>
      <c r="AW329" s="38" t="s">
        <v>47</v>
      </c>
      <c r="AX329" s="38" t="s">
        <v>47</v>
      </c>
      <c r="AY329" s="38" t="s">
        <v>47</v>
      </c>
      <c r="AZ329" s="38"/>
      <c r="BA329" s="38"/>
      <c r="BB329" s="38" t="s">
        <v>47</v>
      </c>
      <c r="BC329" s="38" t="s">
        <v>47</v>
      </c>
      <c r="BD329" s="38" t="s">
        <v>47</v>
      </c>
      <c r="BE329" s="77">
        <f t="shared" ref="BE329:BE392" si="26">COUNTIF(AM329:BD329,"X")</f>
        <v>8</v>
      </c>
      <c r="BF329" s="38"/>
    </row>
    <row r="330" spans="1:58" ht="22.5" hidden="1" customHeight="1">
      <c r="A330" s="33" t="str">
        <f>IF(OR(ISBLANK(E330),ISBLANK(C330)),"",IF(COUNTIF($E$8:E330,E330)&gt;1,"",(MAX($A$7:A329)+1)))</f>
        <v/>
      </c>
      <c r="B330" s="34">
        <f>IF(ISBLANK(C330),"",SUBTOTAL(3,$C$8:C330))</f>
        <v>44</v>
      </c>
      <c r="C330" s="78" t="s">
        <v>738</v>
      </c>
      <c r="D330" s="50" t="s">
        <v>739</v>
      </c>
      <c r="E330" s="50" t="s">
        <v>675</v>
      </c>
      <c r="F330" s="35" t="str">
        <f t="shared" si="24"/>
        <v/>
      </c>
      <c r="G330" s="36" t="str">
        <f t="shared" si="25"/>
        <v>C</v>
      </c>
      <c r="H330" s="51" t="str">
        <f t="shared" si="23"/>
        <v/>
      </c>
      <c r="I330" s="51">
        <f t="shared" si="23"/>
        <v>2</v>
      </c>
      <c r="J330" s="51" t="str">
        <f t="shared" si="23"/>
        <v/>
      </c>
      <c r="K330" s="37"/>
      <c r="L330" s="37" t="s">
        <v>47</v>
      </c>
      <c r="M330" s="37"/>
      <c r="N330" s="37"/>
      <c r="O330" s="37"/>
      <c r="P330" s="37"/>
      <c r="Q330" s="37"/>
      <c r="R330" s="37" t="s">
        <v>47</v>
      </c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M330" s="38"/>
      <c r="AN330" s="38"/>
      <c r="AO330" s="38"/>
      <c r="AP330" s="38"/>
      <c r="AQ330" s="38"/>
      <c r="AR330" s="38"/>
      <c r="AS330" s="38" t="s">
        <v>47</v>
      </c>
      <c r="AT330" s="38"/>
      <c r="AU330" s="38"/>
      <c r="AV330" s="38"/>
      <c r="AW330" s="38" t="s">
        <v>47</v>
      </c>
      <c r="AX330" s="38"/>
      <c r="AY330" s="38"/>
      <c r="AZ330" s="38"/>
      <c r="BA330" s="38"/>
      <c r="BB330" s="38"/>
      <c r="BC330" s="38"/>
      <c r="BD330" s="38"/>
      <c r="BE330" s="77">
        <f t="shared" si="26"/>
        <v>2</v>
      </c>
      <c r="BF330" s="38"/>
    </row>
    <row r="331" spans="1:58" ht="22.5" hidden="1" customHeight="1">
      <c r="A331" s="33" t="str">
        <f>IF(OR(ISBLANK(E331),ISBLANK(C331)),"",IF(COUNTIF($E$8:E331,E331)&gt;1,"",(MAX($A$7:A330)+1)))</f>
        <v/>
      </c>
      <c r="B331" s="34">
        <f>IF(ISBLANK(C331),"",SUBTOTAL(3,$C$8:C331))</f>
        <v>44</v>
      </c>
      <c r="C331" s="78" t="s">
        <v>740</v>
      </c>
      <c r="D331" s="50" t="s">
        <v>741</v>
      </c>
      <c r="E331" s="50" t="s">
        <v>675</v>
      </c>
      <c r="F331" s="35" t="str">
        <f t="shared" si="24"/>
        <v/>
      </c>
      <c r="G331" s="36" t="str">
        <f t="shared" si="25"/>
        <v>C</v>
      </c>
      <c r="H331" s="51" t="str">
        <f t="shared" si="23"/>
        <v/>
      </c>
      <c r="I331" s="51">
        <f t="shared" si="23"/>
        <v>2</v>
      </c>
      <c r="J331" s="51" t="str">
        <f t="shared" si="23"/>
        <v/>
      </c>
      <c r="K331" s="37"/>
      <c r="L331" s="37" t="s">
        <v>47</v>
      </c>
      <c r="M331" s="37"/>
      <c r="N331" s="37"/>
      <c r="O331" s="37"/>
      <c r="P331" s="37"/>
      <c r="Q331" s="37"/>
      <c r="R331" s="37" t="s">
        <v>47</v>
      </c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M331" s="38"/>
      <c r="AN331" s="38"/>
      <c r="AO331" s="38"/>
      <c r="AP331" s="38"/>
      <c r="AQ331" s="38"/>
      <c r="AR331" s="38"/>
      <c r="AS331" s="38" t="s">
        <v>47</v>
      </c>
      <c r="AT331" s="38"/>
      <c r="AU331" s="38"/>
      <c r="AV331" s="38"/>
      <c r="AW331" s="38" t="s">
        <v>47</v>
      </c>
      <c r="AX331" s="38"/>
      <c r="AY331" s="38"/>
      <c r="AZ331" s="38"/>
      <c r="BA331" s="38"/>
      <c r="BB331" s="38"/>
      <c r="BC331" s="38"/>
      <c r="BD331" s="38"/>
      <c r="BE331" s="77">
        <f t="shared" si="26"/>
        <v>2</v>
      </c>
      <c r="BF331" s="38"/>
    </row>
    <row r="332" spans="1:58" ht="22.5" hidden="1" customHeight="1">
      <c r="A332" s="33" t="str">
        <f>IF(OR(ISBLANK(E332),ISBLANK(C332)),"",IF(COUNTIF($E$8:E332,E332)&gt;1,"",(MAX($A$7:A331)+1)))</f>
        <v/>
      </c>
      <c r="B332" s="34">
        <f>IF(ISBLANK(C332),"",SUBTOTAL(3,$C$8:C332))</f>
        <v>44</v>
      </c>
      <c r="C332" s="78" t="s">
        <v>742</v>
      </c>
      <c r="D332" s="50" t="s">
        <v>743</v>
      </c>
      <c r="E332" s="50" t="s">
        <v>675</v>
      </c>
      <c r="F332" s="35" t="str">
        <f t="shared" si="24"/>
        <v/>
      </c>
      <c r="G332" s="36" t="str">
        <f t="shared" si="25"/>
        <v>A</v>
      </c>
      <c r="H332" s="51">
        <f t="shared" si="23"/>
        <v>3</v>
      </c>
      <c r="I332" s="51">
        <f t="shared" si="23"/>
        <v>3</v>
      </c>
      <c r="J332" s="51" t="str">
        <f t="shared" si="23"/>
        <v/>
      </c>
      <c r="K332" s="37" t="s">
        <v>47</v>
      </c>
      <c r="L332" s="37"/>
      <c r="M332" s="37"/>
      <c r="N332" s="37"/>
      <c r="O332" s="37"/>
      <c r="P332" s="37"/>
      <c r="Q332" s="37" t="s">
        <v>47</v>
      </c>
      <c r="R332" s="37"/>
      <c r="S332" s="37"/>
      <c r="T332" s="37"/>
      <c r="U332" s="37" t="s">
        <v>47</v>
      </c>
      <c r="V332" s="37"/>
      <c r="W332" s="37"/>
      <c r="X332" s="37" t="s">
        <v>47</v>
      </c>
      <c r="Y332" s="37"/>
      <c r="Z332" s="37"/>
      <c r="AA332" s="37"/>
      <c r="AB332" s="37"/>
      <c r="AC332" s="37"/>
      <c r="AD332" s="37" t="s">
        <v>47</v>
      </c>
      <c r="AE332" s="37"/>
      <c r="AF332" s="37" t="s">
        <v>47</v>
      </c>
      <c r="AG332" s="37"/>
      <c r="AH332" s="37"/>
      <c r="AI332" s="37"/>
      <c r="AJ332" s="37"/>
      <c r="AK332" s="37"/>
      <c r="AM332" s="38"/>
      <c r="AN332" s="38"/>
      <c r="AO332" s="38"/>
      <c r="AP332" s="38"/>
      <c r="AQ332" s="38" t="s">
        <v>47</v>
      </c>
      <c r="AR332" s="38"/>
      <c r="AS332" s="38" t="s">
        <v>47</v>
      </c>
      <c r="AT332" s="38" t="s">
        <v>47</v>
      </c>
      <c r="AU332" s="38"/>
      <c r="AV332" s="38"/>
      <c r="AW332" s="38" t="s">
        <v>47</v>
      </c>
      <c r="AX332" s="38"/>
      <c r="AY332" s="38"/>
      <c r="AZ332" s="38"/>
      <c r="BA332" s="38"/>
      <c r="BB332" s="38"/>
      <c r="BC332" s="38" t="s">
        <v>47</v>
      </c>
      <c r="BD332" s="38"/>
      <c r="BE332" s="77">
        <f t="shared" si="26"/>
        <v>5</v>
      </c>
      <c r="BF332" s="38"/>
    </row>
    <row r="333" spans="1:58" ht="22.5" hidden="1" customHeight="1">
      <c r="A333" s="33" t="str">
        <f>IF(OR(ISBLANK(E333),ISBLANK(C333)),"",IF(COUNTIF($E$8:E333,E333)&gt;1,"",(MAX($A$7:A332)+1)))</f>
        <v/>
      </c>
      <c r="B333" s="34">
        <f>IF(ISBLANK(C333),"",SUBTOTAL(3,$C$8:C333))</f>
        <v>44</v>
      </c>
      <c r="C333" s="78" t="s">
        <v>744</v>
      </c>
      <c r="D333" s="50" t="s">
        <v>745</v>
      </c>
      <c r="E333" s="50" t="s">
        <v>675</v>
      </c>
      <c r="F333" s="35" t="str">
        <f t="shared" si="24"/>
        <v/>
      </c>
      <c r="G333" s="36" t="str">
        <f t="shared" si="25"/>
        <v>C</v>
      </c>
      <c r="H333" s="51" t="str">
        <f t="shared" si="23"/>
        <v/>
      </c>
      <c r="I333" s="51">
        <f t="shared" si="23"/>
        <v>2</v>
      </c>
      <c r="J333" s="51" t="str">
        <f t="shared" si="23"/>
        <v/>
      </c>
      <c r="K333" s="37"/>
      <c r="L333" s="37" t="s">
        <v>47</v>
      </c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 t="s">
        <v>47</v>
      </c>
      <c r="AH333" s="37"/>
      <c r="AI333" s="37"/>
      <c r="AJ333" s="37"/>
      <c r="AK333" s="37"/>
      <c r="AM333" s="38"/>
      <c r="AN333" s="38"/>
      <c r="AO333" s="38"/>
      <c r="AP333" s="38"/>
      <c r="AQ333" s="38" t="s">
        <v>47</v>
      </c>
      <c r="AR333" s="38" t="s">
        <v>47</v>
      </c>
      <c r="AS333" s="38" t="s">
        <v>47</v>
      </c>
      <c r="AT333" s="38"/>
      <c r="AU333" s="38"/>
      <c r="AV333" s="38"/>
      <c r="AW333" s="38"/>
      <c r="AX333" s="38"/>
      <c r="AY333" s="38"/>
      <c r="AZ333" s="38"/>
      <c r="BA333" s="38"/>
      <c r="BB333" s="38"/>
      <c r="BC333" s="38" t="s">
        <v>47</v>
      </c>
      <c r="BD333" s="38"/>
      <c r="BE333" s="77">
        <f t="shared" si="26"/>
        <v>4</v>
      </c>
      <c r="BF333" s="38"/>
    </row>
    <row r="334" spans="1:58" ht="22.5" hidden="1" customHeight="1">
      <c r="A334" s="33" t="str">
        <f>IF(OR(ISBLANK(E334),ISBLANK(C334)),"",IF(COUNTIF($E$8:E334,E334)&gt;1,"",(MAX($A$7:A333)+1)))</f>
        <v/>
      </c>
      <c r="B334" s="34">
        <f>IF(ISBLANK(C334),"",SUBTOTAL(3,$C$8:C334))</f>
        <v>44</v>
      </c>
      <c r="C334" s="78" t="s">
        <v>746</v>
      </c>
      <c r="D334" s="50" t="s">
        <v>747</v>
      </c>
      <c r="E334" s="50" t="s">
        <v>675</v>
      </c>
      <c r="F334" s="35" t="str">
        <f t="shared" si="24"/>
        <v/>
      </c>
      <c r="G334" s="36" t="str">
        <f t="shared" si="25"/>
        <v>B</v>
      </c>
      <c r="H334" s="51">
        <f t="shared" si="23"/>
        <v>1</v>
      </c>
      <c r="I334" s="51">
        <f t="shared" si="23"/>
        <v>2</v>
      </c>
      <c r="J334" s="51" t="str">
        <f t="shared" si="23"/>
        <v/>
      </c>
      <c r="K334" s="37" t="s">
        <v>47</v>
      </c>
      <c r="L334" s="37"/>
      <c r="M334" s="37"/>
      <c r="N334" s="37"/>
      <c r="O334" s="37" t="s">
        <v>47</v>
      </c>
      <c r="P334" s="37"/>
      <c r="Q334" s="37"/>
      <c r="R334" s="37" t="s">
        <v>47</v>
      </c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M334" s="38"/>
      <c r="AN334" s="38"/>
      <c r="AO334" s="38"/>
      <c r="AP334" s="38"/>
      <c r="AQ334" s="38"/>
      <c r="AR334" s="38"/>
      <c r="AS334" s="38" t="s">
        <v>47</v>
      </c>
      <c r="AT334" s="38"/>
      <c r="AU334" s="38" t="s">
        <v>47</v>
      </c>
      <c r="AV334" s="38"/>
      <c r="AW334" s="38" t="s">
        <v>47</v>
      </c>
      <c r="AX334" s="38" t="s">
        <v>47</v>
      </c>
      <c r="AY334" s="38"/>
      <c r="AZ334" s="38"/>
      <c r="BA334" s="38"/>
      <c r="BB334" s="38"/>
      <c r="BC334" s="38"/>
      <c r="BD334" s="38"/>
      <c r="BE334" s="77">
        <f t="shared" si="26"/>
        <v>4</v>
      </c>
      <c r="BF334" s="38"/>
    </row>
    <row r="335" spans="1:58" ht="22.5" hidden="1" customHeight="1">
      <c r="A335" s="33" t="str">
        <f>IF(OR(ISBLANK(E335),ISBLANK(C335)),"",IF(COUNTIF($E$8:E335,E335)&gt;1,"",(MAX($A$7:A334)+1)))</f>
        <v/>
      </c>
      <c r="B335" s="34">
        <f>IF(ISBLANK(C335),"",SUBTOTAL(3,$C$8:C335))</f>
        <v>44</v>
      </c>
      <c r="C335" s="78" t="s">
        <v>748</v>
      </c>
      <c r="D335" s="50" t="s">
        <v>749</v>
      </c>
      <c r="E335" s="50" t="s">
        <v>675</v>
      </c>
      <c r="F335" s="35" t="str">
        <f t="shared" si="24"/>
        <v/>
      </c>
      <c r="G335" s="36" t="str">
        <f t="shared" si="25"/>
        <v>C</v>
      </c>
      <c r="H335" s="51">
        <f t="shared" si="23"/>
        <v>1</v>
      </c>
      <c r="I335" s="51" t="str">
        <f t="shared" si="23"/>
        <v/>
      </c>
      <c r="J335" s="51">
        <f t="shared" si="23"/>
        <v>1</v>
      </c>
      <c r="K335" s="37" t="s">
        <v>47</v>
      </c>
      <c r="L335" s="37"/>
      <c r="M335" s="37"/>
      <c r="N335" s="37"/>
      <c r="O335" s="37"/>
      <c r="P335" s="37"/>
      <c r="Q335" s="37"/>
      <c r="R335" s="37"/>
      <c r="S335" s="37" t="s">
        <v>47</v>
      </c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M335" s="38"/>
      <c r="AN335" s="38"/>
      <c r="AO335" s="38"/>
      <c r="AP335" s="38"/>
      <c r="AQ335" s="38"/>
      <c r="AR335" s="38"/>
      <c r="AS335" s="38" t="s">
        <v>47</v>
      </c>
      <c r="AT335" s="38" t="s">
        <v>47</v>
      </c>
      <c r="AU335" s="38"/>
      <c r="AV335" s="38"/>
      <c r="AW335" s="38" t="s">
        <v>47</v>
      </c>
      <c r="AX335" s="38"/>
      <c r="AY335" s="38"/>
      <c r="AZ335" s="38"/>
      <c r="BA335" s="38"/>
      <c r="BB335" s="38" t="s">
        <v>47</v>
      </c>
      <c r="BC335" s="38" t="s">
        <v>47</v>
      </c>
      <c r="BD335" s="38"/>
      <c r="BE335" s="77">
        <f t="shared" si="26"/>
        <v>5</v>
      </c>
      <c r="BF335" s="38"/>
    </row>
    <row r="336" spans="1:58" ht="22.5" hidden="1" customHeight="1">
      <c r="A336" s="33" t="str">
        <f>IF(OR(ISBLANK(E336),ISBLANK(C336)),"",IF(COUNTIF($E$8:E336,E336)&gt;1,"",(MAX($A$7:A335)+1)))</f>
        <v/>
      </c>
      <c r="B336" s="34">
        <f>IF(ISBLANK(C336),"",SUBTOTAL(3,$C$8:C336))</f>
        <v>44</v>
      </c>
      <c r="C336" s="78" t="s">
        <v>750</v>
      </c>
      <c r="D336" s="50" t="s">
        <v>751</v>
      </c>
      <c r="E336" s="50" t="s">
        <v>675</v>
      </c>
      <c r="F336" s="35" t="str">
        <f t="shared" si="24"/>
        <v/>
      </c>
      <c r="G336" s="36" t="str">
        <f t="shared" si="25"/>
        <v/>
      </c>
      <c r="H336" s="51" t="str">
        <f t="shared" si="23"/>
        <v/>
      </c>
      <c r="I336" s="51" t="str">
        <f t="shared" si="23"/>
        <v/>
      </c>
      <c r="J336" s="51" t="str">
        <f t="shared" si="23"/>
        <v/>
      </c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M336" s="38"/>
      <c r="AN336" s="38" t="s">
        <v>47</v>
      </c>
      <c r="AO336" s="38"/>
      <c r="AP336" s="38"/>
      <c r="AQ336" s="38"/>
      <c r="AR336" s="38"/>
      <c r="AS336" s="38"/>
      <c r="AT336" s="38"/>
      <c r="AU336" s="38"/>
      <c r="AV336" s="38"/>
      <c r="AW336" s="38"/>
      <c r="AX336" s="38"/>
      <c r="AY336" s="38"/>
      <c r="AZ336" s="38"/>
      <c r="BA336" s="38"/>
      <c r="BB336" s="38"/>
      <c r="BC336" s="38"/>
      <c r="BD336" s="38"/>
      <c r="BE336" s="77">
        <f t="shared" si="26"/>
        <v>1</v>
      </c>
      <c r="BF336" s="38"/>
    </row>
    <row r="337" spans="1:58" ht="22.5" hidden="1" customHeight="1">
      <c r="A337" s="33" t="str">
        <f>IF(OR(ISBLANK(E337),ISBLANK(C337)),"",IF(COUNTIF($E$8:E337,E337)&gt;1,"",(MAX($A$7:A336)+1)))</f>
        <v/>
      </c>
      <c r="B337" s="34">
        <f>IF(ISBLANK(C337),"",SUBTOTAL(3,$C$8:C337))</f>
        <v>44</v>
      </c>
      <c r="C337" s="78" t="s">
        <v>752</v>
      </c>
      <c r="D337" s="50" t="s">
        <v>753</v>
      </c>
      <c r="E337" s="50" t="s">
        <v>675</v>
      </c>
      <c r="F337" s="35" t="str">
        <f t="shared" si="24"/>
        <v/>
      </c>
      <c r="G337" s="36" t="str">
        <f t="shared" si="25"/>
        <v>D</v>
      </c>
      <c r="H337" s="51" t="str">
        <f t="shared" si="23"/>
        <v/>
      </c>
      <c r="I337" s="51" t="str">
        <f t="shared" si="23"/>
        <v/>
      </c>
      <c r="J337" s="51">
        <f t="shared" si="23"/>
        <v>1</v>
      </c>
      <c r="K337" s="37"/>
      <c r="L337" s="37"/>
      <c r="M337" s="37" t="s">
        <v>47</v>
      </c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M337" s="38"/>
      <c r="AN337" s="38"/>
      <c r="AO337" s="38"/>
      <c r="AP337" s="38"/>
      <c r="AQ337" s="38"/>
      <c r="AR337" s="38"/>
      <c r="AS337" s="38" t="s">
        <v>47</v>
      </c>
      <c r="AT337" s="38"/>
      <c r="AU337" s="38"/>
      <c r="AV337" s="38"/>
      <c r="AW337" s="38"/>
      <c r="AX337" s="38"/>
      <c r="AY337" s="38"/>
      <c r="AZ337" s="38"/>
      <c r="BA337" s="38"/>
      <c r="BB337" s="38"/>
      <c r="BC337" s="38"/>
      <c r="BD337" s="38"/>
      <c r="BE337" s="77">
        <f t="shared" si="26"/>
        <v>1</v>
      </c>
      <c r="BF337" s="38"/>
    </row>
    <row r="338" spans="1:58" ht="22.5" hidden="1" customHeight="1">
      <c r="A338" s="33" t="str">
        <f>IF(OR(ISBLANK(E338),ISBLANK(C338)),"",IF(COUNTIF($E$8:E338,E338)&gt;1,"",(MAX($A$7:A337)+1)))</f>
        <v/>
      </c>
      <c r="B338" s="34">
        <f>IF(ISBLANK(C338),"",SUBTOTAL(3,$C$8:C338))</f>
        <v>44</v>
      </c>
      <c r="C338" s="78" t="s">
        <v>754</v>
      </c>
      <c r="D338" s="50" t="s">
        <v>755</v>
      </c>
      <c r="E338" s="50" t="s">
        <v>675</v>
      </c>
      <c r="F338" s="35" t="str">
        <f t="shared" si="24"/>
        <v/>
      </c>
      <c r="G338" s="36" t="str">
        <f t="shared" si="25"/>
        <v>D</v>
      </c>
      <c r="H338" s="51" t="str">
        <f t="shared" si="23"/>
        <v/>
      </c>
      <c r="I338" s="51">
        <f t="shared" si="23"/>
        <v>1</v>
      </c>
      <c r="J338" s="51">
        <f t="shared" si="23"/>
        <v>1</v>
      </c>
      <c r="K338" s="37"/>
      <c r="L338" s="37" t="s">
        <v>47</v>
      </c>
      <c r="M338" s="37"/>
      <c r="N338" s="37"/>
      <c r="O338" s="37"/>
      <c r="P338" s="37"/>
      <c r="Q338" s="37"/>
      <c r="R338" s="37"/>
      <c r="S338" s="37" t="s">
        <v>47</v>
      </c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M338" s="38"/>
      <c r="AN338" s="38"/>
      <c r="AO338" s="38"/>
      <c r="AP338" s="38"/>
      <c r="AQ338" s="38"/>
      <c r="AR338" s="38"/>
      <c r="AS338" s="38" t="s">
        <v>47</v>
      </c>
      <c r="AT338" s="38"/>
      <c r="AU338" s="38"/>
      <c r="AV338" s="38"/>
      <c r="AW338" s="38" t="s">
        <v>47</v>
      </c>
      <c r="AX338" s="38"/>
      <c r="AY338" s="38"/>
      <c r="AZ338" s="38"/>
      <c r="BA338" s="38"/>
      <c r="BB338" s="38"/>
      <c r="BC338" s="38"/>
      <c r="BD338" s="38"/>
      <c r="BE338" s="77">
        <f t="shared" si="26"/>
        <v>2</v>
      </c>
      <c r="BF338" s="38"/>
    </row>
    <row r="339" spans="1:58" ht="22.5" hidden="1" customHeight="1">
      <c r="A339" s="33" t="str">
        <f>IF(OR(ISBLANK(E339),ISBLANK(C339)),"",IF(COUNTIF($E$8:E339,E339)&gt;1,"",(MAX($A$7:A338)+1)))</f>
        <v/>
      </c>
      <c r="B339" s="34">
        <f>IF(ISBLANK(C339),"",SUBTOTAL(3,$C$8:C339))</f>
        <v>44</v>
      </c>
      <c r="C339" s="78" t="s">
        <v>756</v>
      </c>
      <c r="D339" s="50" t="s">
        <v>757</v>
      </c>
      <c r="E339" s="50" t="s">
        <v>675</v>
      </c>
      <c r="F339" s="35" t="str">
        <f t="shared" si="24"/>
        <v/>
      </c>
      <c r="G339" s="36" t="str">
        <f t="shared" si="25"/>
        <v>B</v>
      </c>
      <c r="H339" s="51">
        <f t="shared" si="23"/>
        <v>2</v>
      </c>
      <c r="I339" s="51" t="str">
        <f t="shared" si="23"/>
        <v/>
      </c>
      <c r="J339" s="51">
        <f t="shared" si="23"/>
        <v>1</v>
      </c>
      <c r="K339" s="37" t="s">
        <v>47</v>
      </c>
      <c r="L339" s="37"/>
      <c r="M339" s="37"/>
      <c r="N339" s="37"/>
      <c r="O339" s="37"/>
      <c r="P339" s="37"/>
      <c r="Q339" s="37" t="s">
        <v>47</v>
      </c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 t="s">
        <v>47</v>
      </c>
      <c r="AF339" s="37"/>
      <c r="AG339" s="37"/>
      <c r="AH339" s="37"/>
      <c r="AI339" s="37"/>
      <c r="AJ339" s="37"/>
      <c r="AK339" s="37"/>
      <c r="AM339" s="38"/>
      <c r="AN339" s="38"/>
      <c r="AO339" s="38"/>
      <c r="AP339" s="38"/>
      <c r="AQ339" s="38"/>
      <c r="AR339" s="38" t="s">
        <v>47</v>
      </c>
      <c r="AS339" s="38" t="s">
        <v>47</v>
      </c>
      <c r="AT339" s="38"/>
      <c r="AU339" s="38"/>
      <c r="AV339" s="38"/>
      <c r="AW339" s="38" t="s">
        <v>47</v>
      </c>
      <c r="AX339" s="38"/>
      <c r="AY339" s="38"/>
      <c r="AZ339" s="38"/>
      <c r="BA339" s="38"/>
      <c r="BB339" s="38"/>
      <c r="BC339" s="38" t="s">
        <v>47</v>
      </c>
      <c r="BD339" s="38"/>
      <c r="BE339" s="77">
        <f t="shared" si="26"/>
        <v>4</v>
      </c>
      <c r="BF339" s="38"/>
    </row>
    <row r="340" spans="1:58" ht="22.5" hidden="1" customHeight="1">
      <c r="A340" s="33">
        <f>IF(OR(ISBLANK(E340),ISBLANK(C340)),"",IF(COUNTIF($E$8:E340,E340)&gt;1,"",(MAX($A$7:A339)+1)))</f>
        <v>9</v>
      </c>
      <c r="B340" s="34">
        <f>IF(ISBLANK(C340),"",SUBTOTAL(3,$C$8:C340))</f>
        <v>44</v>
      </c>
      <c r="C340" s="78" t="s">
        <v>758</v>
      </c>
      <c r="D340" s="50" t="s">
        <v>759</v>
      </c>
      <c r="E340" s="50" t="s">
        <v>760</v>
      </c>
      <c r="F340" s="35" t="str">
        <f t="shared" si="24"/>
        <v/>
      </c>
      <c r="G340" s="36" t="str">
        <f t="shared" si="25"/>
        <v/>
      </c>
      <c r="H340" s="51" t="str">
        <f t="shared" si="23"/>
        <v/>
      </c>
      <c r="I340" s="51" t="str">
        <f t="shared" si="23"/>
        <v/>
      </c>
      <c r="J340" s="51" t="str">
        <f t="shared" si="23"/>
        <v/>
      </c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M340" s="38"/>
      <c r="AN340" s="38"/>
      <c r="AO340" s="38"/>
      <c r="AP340" s="38"/>
      <c r="AQ340" s="38"/>
      <c r="AR340" s="38"/>
      <c r="AS340" s="38"/>
      <c r="AT340" s="38"/>
      <c r="AU340" s="38"/>
      <c r="AV340" s="38"/>
      <c r="AW340" s="38"/>
      <c r="AX340" s="38"/>
      <c r="AY340" s="38"/>
      <c r="AZ340" s="38"/>
      <c r="BA340" s="38"/>
      <c r="BB340" s="38"/>
      <c r="BC340" s="38"/>
      <c r="BD340" s="38"/>
      <c r="BE340" s="77">
        <f t="shared" si="26"/>
        <v>0</v>
      </c>
      <c r="BF340" s="38"/>
    </row>
    <row r="341" spans="1:58" ht="22.5" hidden="1" customHeight="1">
      <c r="A341" s="33" t="str">
        <f>IF(OR(ISBLANK(E341),ISBLANK(C341)),"",IF(COUNTIF($E$8:E341,E341)&gt;1,"",(MAX($A$7:A340)+1)))</f>
        <v/>
      </c>
      <c r="B341" s="34">
        <f>IF(ISBLANK(C341),"",SUBTOTAL(3,$C$8:C341))</f>
        <v>44</v>
      </c>
      <c r="C341" s="78" t="s">
        <v>761</v>
      </c>
      <c r="D341" s="50" t="s">
        <v>762</v>
      </c>
      <c r="E341" s="50" t="s">
        <v>760</v>
      </c>
      <c r="F341" s="35" t="str">
        <f t="shared" si="24"/>
        <v/>
      </c>
      <c r="G341" s="36" t="str">
        <f t="shared" si="25"/>
        <v/>
      </c>
      <c r="H341" s="51" t="str">
        <f t="shared" si="23"/>
        <v/>
      </c>
      <c r="I341" s="51" t="str">
        <f t="shared" si="23"/>
        <v/>
      </c>
      <c r="J341" s="51" t="str">
        <f t="shared" si="23"/>
        <v/>
      </c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M341" s="38"/>
      <c r="AN341" s="38"/>
      <c r="AO341" s="38"/>
      <c r="AP341" s="38"/>
      <c r="AQ341" s="38"/>
      <c r="AR341" s="38"/>
      <c r="AS341" s="38"/>
      <c r="AT341" s="38"/>
      <c r="AU341" s="38"/>
      <c r="AV341" s="38"/>
      <c r="AW341" s="38"/>
      <c r="AX341" s="38"/>
      <c r="AY341" s="38"/>
      <c r="AZ341" s="38"/>
      <c r="BA341" s="38"/>
      <c r="BB341" s="38"/>
      <c r="BC341" s="38"/>
      <c r="BD341" s="38"/>
      <c r="BE341" s="77">
        <f t="shared" si="26"/>
        <v>0</v>
      </c>
      <c r="BF341" s="38"/>
    </row>
    <row r="342" spans="1:58" ht="22.5" hidden="1" customHeight="1">
      <c r="A342" s="33" t="str">
        <f>IF(OR(ISBLANK(E342),ISBLANK(C342)),"",IF(COUNTIF($E$8:E342,E342)&gt;1,"",(MAX($A$7:A341)+1)))</f>
        <v/>
      </c>
      <c r="B342" s="34">
        <f>IF(ISBLANK(C342),"",SUBTOTAL(3,$C$8:C342))</f>
        <v>44</v>
      </c>
      <c r="C342" s="78" t="s">
        <v>763</v>
      </c>
      <c r="D342" s="50" t="s">
        <v>764</v>
      </c>
      <c r="E342" s="50" t="s">
        <v>760</v>
      </c>
      <c r="F342" s="35" t="str">
        <f t="shared" si="24"/>
        <v/>
      </c>
      <c r="G342" s="36" t="str">
        <f t="shared" si="25"/>
        <v>C</v>
      </c>
      <c r="H342" s="51">
        <f t="shared" si="23"/>
        <v>1</v>
      </c>
      <c r="I342" s="51">
        <f t="shared" si="23"/>
        <v>1</v>
      </c>
      <c r="J342" s="51">
        <f t="shared" si="23"/>
        <v>5</v>
      </c>
      <c r="K342" s="37" t="s">
        <v>47</v>
      </c>
      <c r="L342" s="37"/>
      <c r="M342" s="37"/>
      <c r="N342" s="37"/>
      <c r="O342" s="37" t="s">
        <v>47</v>
      </c>
      <c r="P342" s="37"/>
      <c r="Q342" s="37"/>
      <c r="R342" s="37"/>
      <c r="S342" s="37" t="s">
        <v>47</v>
      </c>
      <c r="T342" s="37"/>
      <c r="U342" s="37"/>
      <c r="V342" s="37" t="s">
        <v>47</v>
      </c>
      <c r="W342" s="37"/>
      <c r="X342" s="37"/>
      <c r="Y342" s="37" t="s">
        <v>47</v>
      </c>
      <c r="Z342" s="37"/>
      <c r="AA342" s="37"/>
      <c r="AB342" s="37" t="s">
        <v>47</v>
      </c>
      <c r="AC342" s="37"/>
      <c r="AD342" s="37"/>
      <c r="AE342" s="37" t="s">
        <v>47</v>
      </c>
      <c r="AF342" s="37"/>
      <c r="AG342" s="37"/>
      <c r="AH342" s="37"/>
      <c r="AI342" s="37"/>
      <c r="AJ342" s="37"/>
      <c r="AK342" s="37"/>
      <c r="AM342" s="38"/>
      <c r="AN342" s="38"/>
      <c r="AO342" s="38"/>
      <c r="AP342" s="38"/>
      <c r="AQ342" s="38"/>
      <c r="AR342" s="38" t="s">
        <v>47</v>
      </c>
      <c r="AS342" s="38" t="s">
        <v>47</v>
      </c>
      <c r="AT342" s="38"/>
      <c r="AU342" s="38"/>
      <c r="AV342" s="38"/>
      <c r="AW342" s="38"/>
      <c r="AX342" s="38"/>
      <c r="AY342" s="38" t="s">
        <v>47</v>
      </c>
      <c r="AZ342" s="38"/>
      <c r="BA342" s="38"/>
      <c r="BB342" s="38"/>
      <c r="BC342" s="38"/>
      <c r="BD342" s="38"/>
      <c r="BE342" s="77">
        <f t="shared" si="26"/>
        <v>3</v>
      </c>
      <c r="BF342" s="38"/>
    </row>
    <row r="343" spans="1:58" ht="22.5" hidden="1" customHeight="1">
      <c r="A343" s="33" t="str">
        <f>IF(OR(ISBLANK(E343),ISBLANK(C343)),"",IF(COUNTIF($E$8:E343,E343)&gt;1,"",(MAX($A$7:A342)+1)))</f>
        <v/>
      </c>
      <c r="B343" s="34">
        <f>IF(ISBLANK(C343),"",SUBTOTAL(3,$C$8:C343))</f>
        <v>44</v>
      </c>
      <c r="C343" s="78" t="s">
        <v>765</v>
      </c>
      <c r="D343" s="50" t="s">
        <v>766</v>
      </c>
      <c r="E343" s="50" t="s">
        <v>760</v>
      </c>
      <c r="F343" s="35" t="str">
        <f t="shared" si="24"/>
        <v/>
      </c>
      <c r="G343" s="36" t="str">
        <f t="shared" si="25"/>
        <v>D</v>
      </c>
      <c r="H343" s="51" t="str">
        <f t="shared" si="23"/>
        <v/>
      </c>
      <c r="I343" s="51">
        <f t="shared" si="23"/>
        <v>1</v>
      </c>
      <c r="J343" s="51">
        <f t="shared" si="23"/>
        <v>6</v>
      </c>
      <c r="K343" s="37"/>
      <c r="L343" s="37" t="s">
        <v>47</v>
      </c>
      <c r="M343" s="37"/>
      <c r="N343" s="37"/>
      <c r="O343" s="37"/>
      <c r="P343" s="37" t="s">
        <v>47</v>
      </c>
      <c r="Q343" s="37"/>
      <c r="R343" s="37"/>
      <c r="S343" s="37" t="s">
        <v>47</v>
      </c>
      <c r="T343" s="37"/>
      <c r="U343" s="37"/>
      <c r="V343" s="37" t="s">
        <v>47</v>
      </c>
      <c r="W343" s="37"/>
      <c r="X343" s="37"/>
      <c r="Y343" s="37" t="s">
        <v>47</v>
      </c>
      <c r="Z343" s="37"/>
      <c r="AA343" s="37"/>
      <c r="AB343" s="37" t="s">
        <v>47</v>
      </c>
      <c r="AC343" s="37"/>
      <c r="AD343" s="37"/>
      <c r="AE343" s="37" t="s">
        <v>47</v>
      </c>
      <c r="AF343" s="37"/>
      <c r="AG343" s="37"/>
      <c r="AH343" s="37"/>
      <c r="AI343" s="37"/>
      <c r="AJ343" s="37"/>
      <c r="AK343" s="37"/>
      <c r="AM343" s="38" t="s">
        <v>47</v>
      </c>
      <c r="AN343" s="38" t="s">
        <v>47</v>
      </c>
      <c r="AO343" s="38"/>
      <c r="AP343" s="38"/>
      <c r="AQ343" s="38"/>
      <c r="AR343" s="38"/>
      <c r="AS343" s="38" t="s">
        <v>47</v>
      </c>
      <c r="AT343" s="38"/>
      <c r="AU343" s="38"/>
      <c r="AV343" s="38"/>
      <c r="AW343" s="38"/>
      <c r="AX343" s="38"/>
      <c r="AY343" s="38"/>
      <c r="AZ343" s="38"/>
      <c r="BA343" s="38"/>
      <c r="BB343" s="38"/>
      <c r="BC343" s="38"/>
      <c r="BD343" s="38"/>
      <c r="BE343" s="77">
        <f t="shared" si="26"/>
        <v>3</v>
      </c>
      <c r="BF343" s="38"/>
    </row>
    <row r="344" spans="1:58" ht="22.5" hidden="1" customHeight="1">
      <c r="A344" s="33" t="str">
        <f>IF(OR(ISBLANK(E344),ISBLANK(C344)),"",IF(COUNTIF($E$8:E344,E344)&gt;1,"",(MAX($A$7:A343)+1)))</f>
        <v/>
      </c>
      <c r="B344" s="34">
        <f>IF(ISBLANK(C344),"",SUBTOTAL(3,$C$8:C344))</f>
        <v>44</v>
      </c>
      <c r="C344" s="78" t="s">
        <v>767</v>
      </c>
      <c r="D344" s="50" t="s">
        <v>768</v>
      </c>
      <c r="E344" s="50" t="s">
        <v>760</v>
      </c>
      <c r="F344" s="35" t="str">
        <f t="shared" si="24"/>
        <v/>
      </c>
      <c r="G344" s="36" t="str">
        <f t="shared" si="25"/>
        <v>C</v>
      </c>
      <c r="H344" s="51">
        <f t="shared" ref="H344:J407" si="27">IF(OR(ISBLANK($C344),COUNTIFS($K344:$AH344,"X",$K$7:$AH$7,H$7)=0,),"",COUNTIFS($K344:$AH344,"X",$K$7:$AH$7,H$7))</f>
        <v>1</v>
      </c>
      <c r="I344" s="51">
        <f t="shared" si="27"/>
        <v>1</v>
      </c>
      <c r="J344" s="51">
        <f t="shared" si="27"/>
        <v>5</v>
      </c>
      <c r="K344" s="37" t="s">
        <v>47</v>
      </c>
      <c r="L344" s="37"/>
      <c r="M344" s="37"/>
      <c r="N344" s="37"/>
      <c r="O344" s="37" t="s">
        <v>47</v>
      </c>
      <c r="P344" s="37"/>
      <c r="Q344" s="37"/>
      <c r="R344" s="37"/>
      <c r="S344" s="37" t="s">
        <v>47</v>
      </c>
      <c r="T344" s="37"/>
      <c r="U344" s="37"/>
      <c r="V344" s="37" t="s">
        <v>47</v>
      </c>
      <c r="W344" s="37"/>
      <c r="X344" s="37"/>
      <c r="Y344" s="37" t="s">
        <v>47</v>
      </c>
      <c r="Z344" s="37"/>
      <c r="AA344" s="37"/>
      <c r="AB344" s="37" t="s">
        <v>47</v>
      </c>
      <c r="AC344" s="37"/>
      <c r="AD344" s="37"/>
      <c r="AE344" s="37" t="s">
        <v>47</v>
      </c>
      <c r="AF344" s="37"/>
      <c r="AG344" s="37"/>
      <c r="AH344" s="37"/>
      <c r="AI344" s="37"/>
      <c r="AJ344" s="37"/>
      <c r="AK344" s="37"/>
      <c r="AM344" s="38"/>
      <c r="AN344" s="38"/>
      <c r="AO344" s="38"/>
      <c r="AP344" s="38"/>
      <c r="AQ344" s="38"/>
      <c r="AR344" s="38" t="s">
        <v>47</v>
      </c>
      <c r="AS344" s="38" t="s">
        <v>47</v>
      </c>
      <c r="AT344" s="38"/>
      <c r="AU344" s="38"/>
      <c r="AV344" s="38"/>
      <c r="AW344" s="38"/>
      <c r="AX344" s="38"/>
      <c r="AY344" s="38"/>
      <c r="AZ344" s="38"/>
      <c r="BA344" s="38"/>
      <c r="BB344" s="38"/>
      <c r="BC344" s="38"/>
      <c r="BD344" s="38"/>
      <c r="BE344" s="77">
        <f t="shared" si="26"/>
        <v>2</v>
      </c>
      <c r="BF344" s="38"/>
    </row>
    <row r="345" spans="1:58" ht="22.5" hidden="1" customHeight="1">
      <c r="A345" s="33" t="str">
        <f>IF(OR(ISBLANK(E345),ISBLANK(C345)),"",IF(COUNTIF($E$8:E345,E345)&gt;1,"",(MAX($A$7:A344)+1)))</f>
        <v/>
      </c>
      <c r="B345" s="34">
        <f>IF(ISBLANK(C345),"",SUBTOTAL(3,$C$8:C345))</f>
        <v>44</v>
      </c>
      <c r="C345" s="78" t="s">
        <v>769</v>
      </c>
      <c r="D345" s="50" t="s">
        <v>770</v>
      </c>
      <c r="E345" s="50" t="s">
        <v>760</v>
      </c>
      <c r="F345" s="35" t="str">
        <f t="shared" si="24"/>
        <v/>
      </c>
      <c r="G345" s="36" t="str">
        <f t="shared" si="25"/>
        <v>A</v>
      </c>
      <c r="H345" s="51">
        <f t="shared" si="27"/>
        <v>3</v>
      </c>
      <c r="I345" s="51">
        <f t="shared" si="27"/>
        <v>3</v>
      </c>
      <c r="J345" s="51">
        <f t="shared" si="27"/>
        <v>1</v>
      </c>
      <c r="K345" s="37" t="s">
        <v>47</v>
      </c>
      <c r="L345" s="37"/>
      <c r="M345" s="37"/>
      <c r="N345" s="37"/>
      <c r="O345" s="37" t="s">
        <v>47</v>
      </c>
      <c r="P345" s="37"/>
      <c r="Q345" s="37" t="s">
        <v>47</v>
      </c>
      <c r="R345" s="37"/>
      <c r="S345" s="37"/>
      <c r="T345" s="37"/>
      <c r="U345" s="37" t="s">
        <v>47</v>
      </c>
      <c r="V345" s="37"/>
      <c r="W345" s="37"/>
      <c r="X345" s="37" t="s">
        <v>47</v>
      </c>
      <c r="Y345" s="37"/>
      <c r="Z345" s="37"/>
      <c r="AA345" s="37"/>
      <c r="AB345" s="37" t="s">
        <v>47</v>
      </c>
      <c r="AC345" s="37" t="s">
        <v>47</v>
      </c>
      <c r="AD345" s="37"/>
      <c r="AE345" s="37"/>
      <c r="AF345" s="37"/>
      <c r="AG345" s="37"/>
      <c r="AH345" s="37"/>
      <c r="AI345" s="37"/>
      <c r="AJ345" s="37"/>
      <c r="AK345" s="37"/>
      <c r="AM345" s="38"/>
      <c r="AN345" s="38"/>
      <c r="AO345" s="38"/>
      <c r="AP345" s="38"/>
      <c r="AQ345" s="38"/>
      <c r="AR345" s="38"/>
      <c r="AS345" s="38" t="s">
        <v>47</v>
      </c>
      <c r="AT345" s="38" t="s">
        <v>47</v>
      </c>
      <c r="AU345" s="38"/>
      <c r="AV345" s="38" t="s">
        <v>47</v>
      </c>
      <c r="AW345" s="38" t="s">
        <v>47</v>
      </c>
      <c r="AX345" s="38"/>
      <c r="AY345" s="38" t="s">
        <v>47</v>
      </c>
      <c r="AZ345" s="38"/>
      <c r="BA345" s="38" t="s">
        <v>47</v>
      </c>
      <c r="BB345" s="38"/>
      <c r="BC345" s="38" t="s">
        <v>47</v>
      </c>
      <c r="BD345" s="38"/>
      <c r="BE345" s="77">
        <f t="shared" si="26"/>
        <v>7</v>
      </c>
      <c r="BF345" s="38"/>
    </row>
    <row r="346" spans="1:58" ht="22.5" hidden="1" customHeight="1">
      <c r="A346" s="33" t="str">
        <f>IF(OR(ISBLANK(E346),ISBLANK(C346)),"",IF(COUNTIF($E$8:E346,E346)&gt;1,"",(MAX($A$7:A345)+1)))</f>
        <v/>
      </c>
      <c r="B346" s="34">
        <f>IF(ISBLANK(C346),"",SUBTOTAL(3,$C$8:C346))</f>
        <v>44</v>
      </c>
      <c r="C346" s="78" t="s">
        <v>771</v>
      </c>
      <c r="D346" s="50" t="s">
        <v>772</v>
      </c>
      <c r="E346" s="50" t="s">
        <v>760</v>
      </c>
      <c r="F346" s="35" t="str">
        <f t="shared" si="24"/>
        <v/>
      </c>
      <c r="G346" s="36" t="str">
        <f t="shared" si="25"/>
        <v>A</v>
      </c>
      <c r="H346" s="51">
        <f t="shared" si="27"/>
        <v>2</v>
      </c>
      <c r="I346" s="51">
        <f t="shared" si="27"/>
        <v>5</v>
      </c>
      <c r="J346" s="51" t="str">
        <f t="shared" si="27"/>
        <v/>
      </c>
      <c r="K346" s="37" t="s">
        <v>47</v>
      </c>
      <c r="L346" s="37"/>
      <c r="M346" s="37"/>
      <c r="N346" s="37" t="s">
        <v>47</v>
      </c>
      <c r="O346" s="37"/>
      <c r="P346" s="37"/>
      <c r="Q346" s="37"/>
      <c r="R346" s="37" t="s">
        <v>47</v>
      </c>
      <c r="S346" s="37"/>
      <c r="T346" s="37"/>
      <c r="U346" s="37" t="s">
        <v>47</v>
      </c>
      <c r="V346" s="37"/>
      <c r="W346" s="37"/>
      <c r="X346" s="37" t="s">
        <v>47</v>
      </c>
      <c r="Y346" s="37"/>
      <c r="Z346" s="37"/>
      <c r="AA346" s="37" t="s">
        <v>47</v>
      </c>
      <c r="AB346" s="37"/>
      <c r="AC346" s="37"/>
      <c r="AD346" s="37" t="s">
        <v>47</v>
      </c>
      <c r="AE346" s="37"/>
      <c r="AF346" s="37"/>
      <c r="AG346" s="37"/>
      <c r="AH346" s="37"/>
      <c r="AI346" s="37"/>
      <c r="AJ346" s="37"/>
      <c r="AK346" s="37"/>
      <c r="AM346" s="38"/>
      <c r="AN346" s="38"/>
      <c r="AO346" s="38"/>
      <c r="AP346" s="38"/>
      <c r="AQ346" s="38"/>
      <c r="AR346" s="38"/>
      <c r="AS346" s="38" t="s">
        <v>47</v>
      </c>
      <c r="AT346" s="38"/>
      <c r="AU346" s="38"/>
      <c r="AV346" s="38"/>
      <c r="AW346" s="38" t="s">
        <v>47</v>
      </c>
      <c r="AX346" s="38"/>
      <c r="AY346" s="38" t="s">
        <v>47</v>
      </c>
      <c r="AZ346" s="38"/>
      <c r="BA346" s="38" t="s">
        <v>47</v>
      </c>
      <c r="BB346" s="38" t="s">
        <v>47</v>
      </c>
      <c r="BC346" s="38" t="s">
        <v>47</v>
      </c>
      <c r="BD346" s="38"/>
      <c r="BE346" s="77">
        <f t="shared" si="26"/>
        <v>6</v>
      </c>
      <c r="BF346" s="38"/>
    </row>
    <row r="347" spans="1:58" ht="22.5" hidden="1" customHeight="1">
      <c r="A347" s="33" t="str">
        <f>IF(OR(ISBLANK(E347),ISBLANK(C347)),"",IF(COUNTIF($E$8:E347,E347)&gt;1,"",(MAX($A$7:A346)+1)))</f>
        <v/>
      </c>
      <c r="B347" s="34">
        <f>IF(ISBLANK(C347),"",SUBTOTAL(3,$C$8:C347))</f>
        <v>44</v>
      </c>
      <c r="C347" s="78" t="s">
        <v>773</v>
      </c>
      <c r="D347" s="50" t="s">
        <v>774</v>
      </c>
      <c r="E347" s="50" t="s">
        <v>760</v>
      </c>
      <c r="F347" s="35" t="str">
        <f t="shared" si="24"/>
        <v/>
      </c>
      <c r="G347" s="36" t="str">
        <f t="shared" si="25"/>
        <v/>
      </c>
      <c r="H347" s="51" t="str">
        <f t="shared" si="27"/>
        <v/>
      </c>
      <c r="I347" s="51" t="str">
        <f t="shared" si="27"/>
        <v/>
      </c>
      <c r="J347" s="51" t="str">
        <f t="shared" si="27"/>
        <v/>
      </c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M347" s="38" t="s">
        <v>47</v>
      </c>
      <c r="AN347" s="38" t="s">
        <v>47</v>
      </c>
      <c r="AO347" s="38"/>
      <c r="AP347" s="38"/>
      <c r="AQ347" s="38"/>
      <c r="AR347" s="38"/>
      <c r="AS347" s="38" t="s">
        <v>47</v>
      </c>
      <c r="AT347" s="38"/>
      <c r="AU347" s="38"/>
      <c r="AV347" s="38"/>
      <c r="AW347" s="38"/>
      <c r="AX347" s="38"/>
      <c r="AY347" s="38"/>
      <c r="AZ347" s="38"/>
      <c r="BA347" s="38"/>
      <c r="BB347" s="38"/>
      <c r="BC347" s="38"/>
      <c r="BD347" s="38"/>
      <c r="BE347" s="77">
        <f t="shared" si="26"/>
        <v>3</v>
      </c>
      <c r="BF347" s="38"/>
    </row>
    <row r="348" spans="1:58" ht="22.5" hidden="1" customHeight="1">
      <c r="A348" s="33" t="str">
        <f>IF(OR(ISBLANK(E348),ISBLANK(C348)),"",IF(COUNTIF($E$8:E348,E348)&gt;1,"",(MAX($A$7:A347)+1)))</f>
        <v/>
      </c>
      <c r="B348" s="34">
        <f>IF(ISBLANK(C348),"",SUBTOTAL(3,$C$8:C348))</f>
        <v>44</v>
      </c>
      <c r="C348" s="78" t="s">
        <v>775</v>
      </c>
      <c r="D348" s="50" t="s">
        <v>776</v>
      </c>
      <c r="E348" s="50" t="s">
        <v>760</v>
      </c>
      <c r="F348" s="35" t="str">
        <f t="shared" si="24"/>
        <v/>
      </c>
      <c r="G348" s="36" t="str">
        <f t="shared" si="25"/>
        <v>A</v>
      </c>
      <c r="H348" s="51">
        <f t="shared" si="27"/>
        <v>2</v>
      </c>
      <c r="I348" s="51">
        <f t="shared" si="27"/>
        <v>2</v>
      </c>
      <c r="J348" s="51">
        <f t="shared" si="27"/>
        <v>3</v>
      </c>
      <c r="K348" s="37" t="s">
        <v>47</v>
      </c>
      <c r="L348" s="37"/>
      <c r="M348" s="37"/>
      <c r="N348" s="37"/>
      <c r="O348" s="37" t="s">
        <v>47</v>
      </c>
      <c r="P348" s="37"/>
      <c r="Q348" s="37"/>
      <c r="R348" s="37" t="s">
        <v>47</v>
      </c>
      <c r="S348" s="37"/>
      <c r="T348" s="37"/>
      <c r="U348" s="37"/>
      <c r="V348" s="37" t="s">
        <v>47</v>
      </c>
      <c r="W348" s="37"/>
      <c r="X348" s="37"/>
      <c r="Y348" s="37" t="s">
        <v>47</v>
      </c>
      <c r="Z348" s="37"/>
      <c r="AA348" s="37"/>
      <c r="AB348" s="37" t="s">
        <v>47</v>
      </c>
      <c r="AC348" s="37"/>
      <c r="AD348" s="37"/>
      <c r="AE348" s="37"/>
      <c r="AF348" s="37" t="s">
        <v>47</v>
      </c>
      <c r="AG348" s="37"/>
      <c r="AH348" s="37"/>
      <c r="AI348" s="37"/>
      <c r="AJ348" s="37"/>
      <c r="AK348" s="37"/>
      <c r="AM348" s="38"/>
      <c r="AN348" s="38" t="s">
        <v>47</v>
      </c>
      <c r="AO348" s="38"/>
      <c r="AP348" s="38"/>
      <c r="AQ348" s="38" t="s">
        <v>47</v>
      </c>
      <c r="AR348" s="38" t="s">
        <v>47</v>
      </c>
      <c r="AS348" s="38" t="s">
        <v>47</v>
      </c>
      <c r="AT348" s="38"/>
      <c r="AU348" s="38"/>
      <c r="AV348" s="38"/>
      <c r="AW348" s="38"/>
      <c r="AX348" s="38"/>
      <c r="AY348" s="38"/>
      <c r="AZ348" s="38"/>
      <c r="BA348" s="38"/>
      <c r="BB348" s="38"/>
      <c r="BC348" s="38"/>
      <c r="BD348" s="38"/>
      <c r="BE348" s="77">
        <f t="shared" si="26"/>
        <v>4</v>
      </c>
      <c r="BF348" s="38"/>
    </row>
    <row r="349" spans="1:58" ht="22.5" hidden="1" customHeight="1">
      <c r="A349" s="33" t="str">
        <f>IF(OR(ISBLANK(E349),ISBLANK(C349)),"",IF(COUNTIF($E$8:E349,E349)&gt;1,"",(MAX($A$7:A348)+1)))</f>
        <v/>
      </c>
      <c r="B349" s="34">
        <f>IF(ISBLANK(C349),"",SUBTOTAL(3,$C$8:C349))</f>
        <v>44</v>
      </c>
      <c r="C349" s="78" t="s">
        <v>777</v>
      </c>
      <c r="D349" s="50" t="s">
        <v>778</v>
      </c>
      <c r="E349" s="50" t="s">
        <v>760</v>
      </c>
      <c r="F349" s="35" t="str">
        <f t="shared" si="24"/>
        <v/>
      </c>
      <c r="G349" s="36" t="str">
        <f t="shared" si="25"/>
        <v>A</v>
      </c>
      <c r="H349" s="51">
        <f t="shared" si="27"/>
        <v>2</v>
      </c>
      <c r="I349" s="51">
        <f t="shared" si="27"/>
        <v>3</v>
      </c>
      <c r="J349" s="51" t="str">
        <f t="shared" si="27"/>
        <v/>
      </c>
      <c r="K349" s="37"/>
      <c r="L349" s="37" t="s">
        <v>47</v>
      </c>
      <c r="M349" s="37"/>
      <c r="N349" s="37"/>
      <c r="O349" s="37"/>
      <c r="P349" s="37"/>
      <c r="Q349" s="37" t="s">
        <v>47</v>
      </c>
      <c r="R349" s="37"/>
      <c r="S349" s="37"/>
      <c r="T349" s="37"/>
      <c r="U349" s="37" t="s">
        <v>47</v>
      </c>
      <c r="V349" s="37"/>
      <c r="W349" s="37"/>
      <c r="X349" s="37" t="s">
        <v>47</v>
      </c>
      <c r="Y349" s="37"/>
      <c r="Z349" s="37"/>
      <c r="AA349" s="37"/>
      <c r="AB349" s="37"/>
      <c r="AC349" s="37" t="s">
        <v>47</v>
      </c>
      <c r="AD349" s="37"/>
      <c r="AE349" s="37"/>
      <c r="AF349" s="37"/>
      <c r="AG349" s="37"/>
      <c r="AH349" s="37"/>
      <c r="AI349" s="37"/>
      <c r="AJ349" s="37"/>
      <c r="AK349" s="37"/>
      <c r="AM349" s="38"/>
      <c r="AN349" s="38"/>
      <c r="AO349" s="38"/>
      <c r="AP349" s="38"/>
      <c r="AQ349" s="38"/>
      <c r="AR349" s="38"/>
      <c r="AS349" s="38" t="s">
        <v>47</v>
      </c>
      <c r="AT349" s="38" t="s">
        <v>47</v>
      </c>
      <c r="AU349" s="38"/>
      <c r="AV349" s="38" t="s">
        <v>47</v>
      </c>
      <c r="AW349" s="38" t="s">
        <v>47</v>
      </c>
      <c r="AX349" s="38"/>
      <c r="AY349" s="38"/>
      <c r="AZ349" s="38"/>
      <c r="BA349" s="38" t="s">
        <v>47</v>
      </c>
      <c r="BB349" s="38"/>
      <c r="BC349" s="38"/>
      <c r="BD349" s="38"/>
      <c r="BE349" s="77">
        <f t="shared" si="26"/>
        <v>5</v>
      </c>
      <c r="BF349" s="38"/>
    </row>
    <row r="350" spans="1:58" ht="22.5" hidden="1" customHeight="1">
      <c r="A350" s="33" t="str">
        <f>IF(OR(ISBLANK(E350),ISBLANK(C350)),"",IF(COUNTIF($E$8:E350,E350)&gt;1,"",(MAX($A$7:A349)+1)))</f>
        <v/>
      </c>
      <c r="B350" s="34">
        <f>IF(ISBLANK(C350),"",SUBTOTAL(3,$C$8:C350))</f>
        <v>44</v>
      </c>
      <c r="C350" s="78" t="s">
        <v>779</v>
      </c>
      <c r="D350" s="50" t="s">
        <v>780</v>
      </c>
      <c r="E350" s="50" t="s">
        <v>760</v>
      </c>
      <c r="F350" s="35" t="str">
        <f t="shared" si="24"/>
        <v/>
      </c>
      <c r="G350" s="36" t="str">
        <f t="shared" si="25"/>
        <v/>
      </c>
      <c r="H350" s="51" t="str">
        <f t="shared" si="27"/>
        <v/>
      </c>
      <c r="I350" s="51" t="str">
        <f t="shared" si="27"/>
        <v/>
      </c>
      <c r="J350" s="51" t="str">
        <f t="shared" si="27"/>
        <v/>
      </c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M350" s="38"/>
      <c r="AN350" s="38"/>
      <c r="AO350" s="38"/>
      <c r="AP350" s="38"/>
      <c r="AQ350" s="38"/>
      <c r="AR350" s="38"/>
      <c r="AS350" s="38"/>
      <c r="AT350" s="38"/>
      <c r="AU350" s="38"/>
      <c r="AV350" s="38"/>
      <c r="AW350" s="38"/>
      <c r="AX350" s="38"/>
      <c r="AY350" s="38"/>
      <c r="AZ350" s="38"/>
      <c r="BA350" s="38"/>
      <c r="BB350" s="38"/>
      <c r="BC350" s="38"/>
      <c r="BD350" s="38"/>
      <c r="BE350" s="77">
        <f t="shared" si="26"/>
        <v>0</v>
      </c>
      <c r="BF350" s="38"/>
    </row>
    <row r="351" spans="1:58" ht="22.5" hidden="1" customHeight="1">
      <c r="A351" s="33" t="str">
        <f>IF(OR(ISBLANK(E351),ISBLANK(C351)),"",IF(COUNTIF($E$8:E351,E351)&gt;1,"",(MAX($A$7:A350)+1)))</f>
        <v/>
      </c>
      <c r="B351" s="34">
        <f>IF(ISBLANK(C351),"",SUBTOTAL(3,$C$8:C351))</f>
        <v>44</v>
      </c>
      <c r="C351" s="78" t="s">
        <v>781</v>
      </c>
      <c r="D351" s="50" t="s">
        <v>782</v>
      </c>
      <c r="E351" s="50" t="s">
        <v>760</v>
      </c>
      <c r="F351" s="35" t="str">
        <f t="shared" si="24"/>
        <v/>
      </c>
      <c r="G351" s="36" t="str">
        <f t="shared" si="25"/>
        <v>C</v>
      </c>
      <c r="H351" s="51">
        <f t="shared" si="27"/>
        <v>1</v>
      </c>
      <c r="I351" s="51">
        <f t="shared" si="27"/>
        <v>1</v>
      </c>
      <c r="J351" s="51" t="str">
        <f t="shared" si="27"/>
        <v/>
      </c>
      <c r="K351" s="37"/>
      <c r="L351" s="37" t="s">
        <v>47</v>
      </c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 t="s">
        <v>47</v>
      </c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M351" s="38" t="s">
        <v>47</v>
      </c>
      <c r="AN351" s="38" t="s">
        <v>47</v>
      </c>
      <c r="AO351" s="38" t="s">
        <v>47</v>
      </c>
      <c r="AP351" s="38"/>
      <c r="AQ351" s="38"/>
      <c r="AR351" s="38"/>
      <c r="AS351" s="38" t="s">
        <v>47</v>
      </c>
      <c r="AT351" s="38"/>
      <c r="AU351" s="38"/>
      <c r="AV351" s="38"/>
      <c r="AW351" s="38"/>
      <c r="AX351" s="38"/>
      <c r="AY351" s="38"/>
      <c r="AZ351" s="38"/>
      <c r="BA351" s="38"/>
      <c r="BB351" s="38"/>
      <c r="BC351" s="38"/>
      <c r="BD351" s="38"/>
      <c r="BE351" s="77">
        <f t="shared" si="26"/>
        <v>4</v>
      </c>
      <c r="BF351" s="38"/>
    </row>
    <row r="352" spans="1:58" ht="22.5" hidden="1" customHeight="1">
      <c r="A352" s="33" t="str">
        <f>IF(OR(ISBLANK(E352),ISBLANK(C352)),"",IF(COUNTIF($E$8:E352,E352)&gt;1,"",(MAX($A$7:A351)+1)))</f>
        <v/>
      </c>
      <c r="B352" s="34">
        <f>IF(ISBLANK(C352),"",SUBTOTAL(3,$C$8:C352))</f>
        <v>44</v>
      </c>
      <c r="C352" s="80" t="s">
        <v>783</v>
      </c>
      <c r="D352" s="50" t="s">
        <v>784</v>
      </c>
      <c r="E352" s="50" t="s">
        <v>760</v>
      </c>
      <c r="F352" s="35" t="str">
        <f t="shared" si="24"/>
        <v/>
      </c>
      <c r="G352" s="36" t="str">
        <f t="shared" si="25"/>
        <v/>
      </c>
      <c r="H352" s="51" t="str">
        <f t="shared" si="27"/>
        <v/>
      </c>
      <c r="I352" s="51" t="str">
        <f t="shared" si="27"/>
        <v/>
      </c>
      <c r="J352" s="51" t="str">
        <f t="shared" si="27"/>
        <v/>
      </c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M352" s="38"/>
      <c r="AN352" s="38"/>
      <c r="AO352" s="38"/>
      <c r="AP352" s="38"/>
      <c r="AQ352" s="38"/>
      <c r="AR352" s="38"/>
      <c r="AS352" s="38"/>
      <c r="AT352" s="38"/>
      <c r="AU352" s="38"/>
      <c r="AV352" s="38"/>
      <c r="AW352" s="38"/>
      <c r="AX352" s="38"/>
      <c r="AY352" s="38"/>
      <c r="AZ352" s="38"/>
      <c r="BA352" s="38"/>
      <c r="BB352" s="38"/>
      <c r="BC352" s="38"/>
      <c r="BD352" s="38"/>
      <c r="BE352" s="77">
        <f t="shared" si="26"/>
        <v>0</v>
      </c>
      <c r="BF352" s="38"/>
    </row>
    <row r="353" spans="1:58" ht="22.5" hidden="1" customHeight="1">
      <c r="A353" s="33" t="str">
        <f>IF(OR(ISBLANK(E353),ISBLANK(C353)),"",IF(COUNTIF($E$8:E353,E353)&gt;1,"",(MAX($A$7:A352)+1)))</f>
        <v/>
      </c>
      <c r="B353" s="34">
        <f>IF(ISBLANK(C353),"",SUBTOTAL(3,$C$8:C353))</f>
        <v>44</v>
      </c>
      <c r="C353" s="80" t="s">
        <v>785</v>
      </c>
      <c r="D353" s="50" t="s">
        <v>786</v>
      </c>
      <c r="E353" s="50" t="s">
        <v>760</v>
      </c>
      <c r="F353" s="35" t="str">
        <f t="shared" si="24"/>
        <v/>
      </c>
      <c r="G353" s="36" t="str">
        <f t="shared" si="25"/>
        <v>A</v>
      </c>
      <c r="H353" s="51">
        <f t="shared" si="27"/>
        <v>4</v>
      </c>
      <c r="I353" s="51">
        <f t="shared" si="27"/>
        <v>2</v>
      </c>
      <c r="J353" s="51" t="str">
        <f t="shared" si="27"/>
        <v/>
      </c>
      <c r="K353" s="37" t="s">
        <v>47</v>
      </c>
      <c r="L353" s="37"/>
      <c r="M353" s="37"/>
      <c r="N353" s="37" t="s">
        <v>47</v>
      </c>
      <c r="O353" s="37"/>
      <c r="P353" s="37"/>
      <c r="Q353" s="37" t="s">
        <v>47</v>
      </c>
      <c r="R353" s="37"/>
      <c r="S353" s="37"/>
      <c r="T353" s="37"/>
      <c r="U353" s="37" t="s">
        <v>47</v>
      </c>
      <c r="V353" s="37"/>
      <c r="W353" s="37"/>
      <c r="X353" s="37" t="s">
        <v>47</v>
      </c>
      <c r="Y353" s="37"/>
      <c r="Z353" s="37" t="s">
        <v>47</v>
      </c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M353" s="38"/>
      <c r="AN353" s="38"/>
      <c r="AO353" s="38"/>
      <c r="AP353" s="38"/>
      <c r="AQ353" s="38" t="s">
        <v>47</v>
      </c>
      <c r="AR353" s="38" t="s">
        <v>47</v>
      </c>
      <c r="AS353" s="38" t="s">
        <v>47</v>
      </c>
      <c r="AT353" s="38" t="s">
        <v>47</v>
      </c>
      <c r="AU353" s="38"/>
      <c r="AV353" s="38" t="s">
        <v>47</v>
      </c>
      <c r="AW353" s="38" t="s">
        <v>47</v>
      </c>
      <c r="AX353" s="38" t="s">
        <v>47</v>
      </c>
      <c r="AY353" s="38" t="s">
        <v>47</v>
      </c>
      <c r="AZ353" s="38"/>
      <c r="BA353" s="38" t="s">
        <v>47</v>
      </c>
      <c r="BB353" s="38" t="s">
        <v>47</v>
      </c>
      <c r="BC353" s="38" t="s">
        <v>47</v>
      </c>
      <c r="BD353" s="38"/>
      <c r="BE353" s="77">
        <f t="shared" si="26"/>
        <v>11</v>
      </c>
      <c r="BF353" s="38"/>
    </row>
    <row r="354" spans="1:58" ht="22.5" hidden="1" customHeight="1">
      <c r="A354" s="33" t="str">
        <f>IF(OR(ISBLANK(E354),ISBLANK(C354)),"",IF(COUNTIF($E$8:E354,E354)&gt;1,"",(MAX($A$7:A353)+1)))</f>
        <v/>
      </c>
      <c r="B354" s="34">
        <f>IF(ISBLANK(C354),"",SUBTOTAL(3,$C$8:C354))</f>
        <v>44</v>
      </c>
      <c r="C354" s="80" t="s">
        <v>787</v>
      </c>
      <c r="D354" s="50" t="s">
        <v>788</v>
      </c>
      <c r="E354" s="50" t="s">
        <v>760</v>
      </c>
      <c r="F354" s="35" t="str">
        <f t="shared" si="24"/>
        <v/>
      </c>
      <c r="G354" s="36" t="str">
        <f t="shared" si="25"/>
        <v>A</v>
      </c>
      <c r="H354" s="51">
        <f t="shared" si="27"/>
        <v>4</v>
      </c>
      <c r="I354" s="51">
        <f t="shared" si="27"/>
        <v>3</v>
      </c>
      <c r="J354" s="51" t="str">
        <f t="shared" si="27"/>
        <v/>
      </c>
      <c r="K354" s="37" t="s">
        <v>47</v>
      </c>
      <c r="L354" s="37"/>
      <c r="M354" s="37"/>
      <c r="N354" s="37" t="s">
        <v>47</v>
      </c>
      <c r="O354" s="37"/>
      <c r="P354" s="37"/>
      <c r="Q354" s="37" t="s">
        <v>47</v>
      </c>
      <c r="R354" s="37"/>
      <c r="S354" s="37"/>
      <c r="T354" s="37"/>
      <c r="U354" s="37" t="s">
        <v>47</v>
      </c>
      <c r="V354" s="37"/>
      <c r="W354" s="37"/>
      <c r="X354" s="37" t="s">
        <v>47</v>
      </c>
      <c r="Y354" s="37"/>
      <c r="Z354" s="37"/>
      <c r="AA354" s="37" t="s">
        <v>47</v>
      </c>
      <c r="AB354" s="37"/>
      <c r="AC354" s="37" t="s">
        <v>47</v>
      </c>
      <c r="AD354" s="37"/>
      <c r="AE354" s="37"/>
      <c r="AF354" s="37"/>
      <c r="AG354" s="37"/>
      <c r="AH354" s="37"/>
      <c r="AI354" s="37"/>
      <c r="AJ354" s="37"/>
      <c r="AK354" s="37"/>
      <c r="AM354" s="38"/>
      <c r="AN354" s="38"/>
      <c r="AO354" s="38"/>
      <c r="AP354" s="38"/>
      <c r="AQ354" s="38" t="s">
        <v>47</v>
      </c>
      <c r="AR354" s="38" t="s">
        <v>47</v>
      </c>
      <c r="AS354" s="38" t="s">
        <v>47</v>
      </c>
      <c r="AT354" s="38" t="s">
        <v>47</v>
      </c>
      <c r="AU354" s="38"/>
      <c r="AV354" s="38" t="s">
        <v>47</v>
      </c>
      <c r="AW354" s="38" t="s">
        <v>47</v>
      </c>
      <c r="AX354" s="38"/>
      <c r="AY354" s="38" t="s">
        <v>47</v>
      </c>
      <c r="AZ354" s="38"/>
      <c r="BA354" s="38"/>
      <c r="BB354" s="38"/>
      <c r="BC354" s="38"/>
      <c r="BD354" s="38"/>
      <c r="BE354" s="77">
        <f t="shared" si="26"/>
        <v>7</v>
      </c>
      <c r="BF354" s="38"/>
    </row>
    <row r="355" spans="1:58" ht="22.5" hidden="1" customHeight="1">
      <c r="A355" s="33" t="str">
        <f>IF(OR(ISBLANK(E355),ISBLANK(C355)),"",IF(COUNTIF($E$8:E355,E355)&gt;1,"",(MAX($A$7:A354)+1)))</f>
        <v/>
      </c>
      <c r="B355" s="34">
        <f>IF(ISBLANK(C355),"",SUBTOTAL(3,$C$8:C355))</f>
        <v>44</v>
      </c>
      <c r="C355" s="80" t="s">
        <v>789</v>
      </c>
      <c r="D355" s="50" t="s">
        <v>112</v>
      </c>
      <c r="E355" s="50" t="s">
        <v>760</v>
      </c>
      <c r="F355" s="35" t="str">
        <f t="shared" si="24"/>
        <v/>
      </c>
      <c r="G355" s="36" t="str">
        <f t="shared" si="25"/>
        <v>A</v>
      </c>
      <c r="H355" s="51">
        <f t="shared" si="27"/>
        <v>2</v>
      </c>
      <c r="I355" s="51">
        <f t="shared" si="27"/>
        <v>2</v>
      </c>
      <c r="J355" s="51">
        <f t="shared" si="27"/>
        <v>2</v>
      </c>
      <c r="K355" s="37" t="s">
        <v>47</v>
      </c>
      <c r="L355" s="37"/>
      <c r="M355" s="37"/>
      <c r="N355" s="37" t="s">
        <v>47</v>
      </c>
      <c r="O355" s="37"/>
      <c r="P355" s="37"/>
      <c r="Q355" s="37"/>
      <c r="R355" s="37"/>
      <c r="S355" s="37"/>
      <c r="T355" s="37"/>
      <c r="U355" s="37"/>
      <c r="V355" s="37" t="s">
        <v>47</v>
      </c>
      <c r="W355" s="37"/>
      <c r="X355" s="37" t="s">
        <v>47</v>
      </c>
      <c r="Y355" s="37"/>
      <c r="Z355" s="37"/>
      <c r="AA355" s="37" t="s">
        <v>47</v>
      </c>
      <c r="AB355" s="37"/>
      <c r="AC355" s="37"/>
      <c r="AD355" s="37"/>
      <c r="AE355" s="37" t="s">
        <v>47</v>
      </c>
      <c r="AF355" s="37"/>
      <c r="AG355" s="37"/>
      <c r="AH355" s="37"/>
      <c r="AI355" s="37"/>
      <c r="AJ355" s="37"/>
      <c r="AK355" s="37"/>
      <c r="AM355" s="38" t="s">
        <v>47</v>
      </c>
      <c r="AN355" s="38" t="s">
        <v>47</v>
      </c>
      <c r="AO355" s="38"/>
      <c r="AP355" s="38"/>
      <c r="AQ355" s="38"/>
      <c r="AR355" s="38" t="s">
        <v>47</v>
      </c>
      <c r="AS355" s="38" t="s">
        <v>47</v>
      </c>
      <c r="AT355" s="38"/>
      <c r="AU355" s="38"/>
      <c r="AV355" s="38"/>
      <c r="AW355" s="38"/>
      <c r="AX355" s="38"/>
      <c r="AY355" s="38" t="s">
        <v>47</v>
      </c>
      <c r="AZ355" s="38"/>
      <c r="BA355" s="38"/>
      <c r="BB355" s="38"/>
      <c r="BC355" s="38"/>
      <c r="BD355" s="38"/>
      <c r="BE355" s="77">
        <f t="shared" si="26"/>
        <v>5</v>
      </c>
      <c r="BF355" s="38"/>
    </row>
    <row r="356" spans="1:58" ht="22.5" hidden="1" customHeight="1">
      <c r="A356" s="33" t="str">
        <f>IF(OR(ISBLANK(E356),ISBLANK(C356)),"",IF(COUNTIF($E$8:E356,E356)&gt;1,"",(MAX($A$7:A355)+1)))</f>
        <v/>
      </c>
      <c r="B356" s="34">
        <f>IF(ISBLANK(C356),"",SUBTOTAL(3,$C$8:C356))</f>
        <v>44</v>
      </c>
      <c r="C356" s="80" t="s">
        <v>790</v>
      </c>
      <c r="D356" s="50" t="s">
        <v>791</v>
      </c>
      <c r="E356" s="50" t="s">
        <v>760</v>
      </c>
      <c r="F356" s="35" t="str">
        <f t="shared" si="24"/>
        <v/>
      </c>
      <c r="G356" s="36" t="str">
        <f t="shared" si="25"/>
        <v>D</v>
      </c>
      <c r="H356" s="51" t="str">
        <f t="shared" si="27"/>
        <v/>
      </c>
      <c r="I356" s="51">
        <f t="shared" si="27"/>
        <v>1</v>
      </c>
      <c r="J356" s="51">
        <f t="shared" si="27"/>
        <v>6</v>
      </c>
      <c r="K356" s="37"/>
      <c r="L356" s="37" t="s">
        <v>47</v>
      </c>
      <c r="M356" s="37"/>
      <c r="N356" s="37"/>
      <c r="O356" s="37"/>
      <c r="P356" s="37" t="s">
        <v>47</v>
      </c>
      <c r="Q356" s="37"/>
      <c r="R356" s="37"/>
      <c r="S356" s="37" t="s">
        <v>47</v>
      </c>
      <c r="T356" s="37"/>
      <c r="U356" s="37"/>
      <c r="V356" s="37" t="s">
        <v>47</v>
      </c>
      <c r="W356" s="37"/>
      <c r="X356" s="37"/>
      <c r="Y356" s="37" t="s">
        <v>47</v>
      </c>
      <c r="Z356" s="37"/>
      <c r="AA356" s="37"/>
      <c r="AB356" s="37" t="s">
        <v>47</v>
      </c>
      <c r="AC356" s="37"/>
      <c r="AD356" s="37"/>
      <c r="AE356" s="37" t="s">
        <v>47</v>
      </c>
      <c r="AF356" s="37"/>
      <c r="AG356" s="37"/>
      <c r="AH356" s="37"/>
      <c r="AI356" s="37"/>
      <c r="AJ356" s="37"/>
      <c r="AK356" s="37"/>
      <c r="AM356" s="38"/>
      <c r="AN356" s="38"/>
      <c r="AO356" s="38"/>
      <c r="AP356" s="38"/>
      <c r="AQ356" s="38"/>
      <c r="AR356" s="38"/>
      <c r="AS356" s="38" t="s">
        <v>47</v>
      </c>
      <c r="AT356" s="38"/>
      <c r="AU356" s="38"/>
      <c r="AV356" s="38"/>
      <c r="AW356" s="38"/>
      <c r="AX356" s="38"/>
      <c r="AY356" s="38"/>
      <c r="AZ356" s="38"/>
      <c r="BA356" s="38" t="s">
        <v>47</v>
      </c>
      <c r="BB356" s="38"/>
      <c r="BC356" s="38"/>
      <c r="BD356" s="38"/>
      <c r="BE356" s="77">
        <f t="shared" si="26"/>
        <v>2</v>
      </c>
      <c r="BF356" s="38"/>
    </row>
    <row r="357" spans="1:58" ht="22.5" hidden="1" customHeight="1">
      <c r="A357" s="33" t="str">
        <f>IF(OR(ISBLANK(E357),ISBLANK(C357)),"",IF(COUNTIF($E$8:E357,E357)&gt;1,"",(MAX($A$7:A356)+1)))</f>
        <v/>
      </c>
      <c r="B357" s="34">
        <f>IF(ISBLANK(C357),"",SUBTOTAL(3,$C$8:C357))</f>
        <v>44</v>
      </c>
      <c r="C357" s="80" t="s">
        <v>792</v>
      </c>
      <c r="D357" s="50" t="s">
        <v>793</v>
      </c>
      <c r="E357" s="50" t="s">
        <v>760</v>
      </c>
      <c r="F357" s="35" t="str">
        <f t="shared" si="24"/>
        <v/>
      </c>
      <c r="G357" s="36" t="str">
        <f t="shared" si="25"/>
        <v>C</v>
      </c>
      <c r="H357" s="51">
        <f t="shared" si="27"/>
        <v>1</v>
      </c>
      <c r="I357" s="51">
        <f t="shared" si="27"/>
        <v>1</v>
      </c>
      <c r="J357" s="51">
        <f t="shared" si="27"/>
        <v>5</v>
      </c>
      <c r="K357" s="37" t="s">
        <v>47</v>
      </c>
      <c r="L357" s="37"/>
      <c r="M357" s="37"/>
      <c r="N357" s="37"/>
      <c r="O357" s="37" t="s">
        <v>47</v>
      </c>
      <c r="P357" s="37"/>
      <c r="Q357" s="37"/>
      <c r="R357" s="37"/>
      <c r="S357" s="37" t="s">
        <v>47</v>
      </c>
      <c r="T357" s="37"/>
      <c r="U357" s="37"/>
      <c r="V357" s="37" t="s">
        <v>47</v>
      </c>
      <c r="W357" s="37"/>
      <c r="X357" s="37"/>
      <c r="Y357" s="37" t="s">
        <v>47</v>
      </c>
      <c r="Z357" s="37"/>
      <c r="AA357" s="37"/>
      <c r="AB357" s="37" t="s">
        <v>47</v>
      </c>
      <c r="AC357" s="37"/>
      <c r="AD357" s="37"/>
      <c r="AE357" s="37" t="s">
        <v>47</v>
      </c>
      <c r="AF357" s="37"/>
      <c r="AG357" s="37"/>
      <c r="AH357" s="37"/>
      <c r="AI357" s="37"/>
      <c r="AJ357" s="37"/>
      <c r="AK357" s="37"/>
      <c r="AM357" s="38" t="s">
        <v>47</v>
      </c>
      <c r="AN357" s="38" t="s">
        <v>47</v>
      </c>
      <c r="AO357" s="38"/>
      <c r="AP357" s="38"/>
      <c r="AQ357" s="38"/>
      <c r="AR357" s="38" t="s">
        <v>47</v>
      </c>
      <c r="AS357" s="38" t="s">
        <v>47</v>
      </c>
      <c r="AT357" s="38"/>
      <c r="AU357" s="38"/>
      <c r="AV357" s="38"/>
      <c r="AW357" s="38"/>
      <c r="AX357" s="38"/>
      <c r="AY357" s="38"/>
      <c r="AZ357" s="38"/>
      <c r="BA357" s="38"/>
      <c r="BB357" s="38"/>
      <c r="BC357" s="38"/>
      <c r="BD357" s="38"/>
      <c r="BE357" s="77">
        <f t="shared" si="26"/>
        <v>4</v>
      </c>
      <c r="BF357" s="38"/>
    </row>
    <row r="358" spans="1:58" ht="22.5" hidden="1" customHeight="1">
      <c r="A358" s="33" t="str">
        <f>IF(OR(ISBLANK(E358),ISBLANK(C358)),"",IF(COUNTIF($E$8:E358,E358)&gt;1,"",(MAX($A$7:A357)+1)))</f>
        <v/>
      </c>
      <c r="B358" s="34">
        <f>IF(ISBLANK(C358),"",SUBTOTAL(3,$C$8:C358))</f>
        <v>44</v>
      </c>
      <c r="C358" s="78" t="s">
        <v>794</v>
      </c>
      <c r="D358" s="50" t="s">
        <v>795</v>
      </c>
      <c r="E358" s="50" t="s">
        <v>760</v>
      </c>
      <c r="F358" s="35" t="str">
        <f t="shared" si="24"/>
        <v/>
      </c>
      <c r="G358" s="36" t="str">
        <f t="shared" si="25"/>
        <v>B</v>
      </c>
      <c r="H358" s="51">
        <f t="shared" si="27"/>
        <v>1</v>
      </c>
      <c r="I358" s="51">
        <f t="shared" si="27"/>
        <v>3</v>
      </c>
      <c r="J358" s="51">
        <f t="shared" si="27"/>
        <v>1</v>
      </c>
      <c r="K358" s="37" t="s">
        <v>47</v>
      </c>
      <c r="L358" s="37"/>
      <c r="M358" s="37"/>
      <c r="N358" s="37"/>
      <c r="O358" s="37" t="s">
        <v>47</v>
      </c>
      <c r="P358" s="37"/>
      <c r="Q358" s="37"/>
      <c r="R358" s="37" t="s">
        <v>47</v>
      </c>
      <c r="S358" s="37"/>
      <c r="T358" s="37"/>
      <c r="U358" s="37"/>
      <c r="V358" s="37"/>
      <c r="W358" s="37"/>
      <c r="X358" s="37"/>
      <c r="Y358" s="37"/>
      <c r="Z358" s="37"/>
      <c r="AA358" s="37" t="s">
        <v>47</v>
      </c>
      <c r="AB358" s="37"/>
      <c r="AC358" s="37"/>
      <c r="AD358" s="37"/>
      <c r="AE358" s="37" t="s">
        <v>47</v>
      </c>
      <c r="AF358" s="37"/>
      <c r="AG358" s="37"/>
      <c r="AH358" s="37"/>
      <c r="AI358" s="37"/>
      <c r="AJ358" s="37"/>
      <c r="AK358" s="37"/>
      <c r="AM358" s="38"/>
      <c r="AN358" s="38"/>
      <c r="AO358" s="38"/>
      <c r="AP358" s="38"/>
      <c r="AQ358" s="38"/>
      <c r="AR358" s="38"/>
      <c r="AS358" s="38" t="s">
        <v>47</v>
      </c>
      <c r="AT358" s="38" t="s">
        <v>47</v>
      </c>
      <c r="AU358" s="38"/>
      <c r="AV358" s="38"/>
      <c r="AW358" s="38"/>
      <c r="AX358" s="38"/>
      <c r="AY358" s="38" t="s">
        <v>47</v>
      </c>
      <c r="AZ358" s="38"/>
      <c r="BA358" s="38"/>
      <c r="BB358" s="38"/>
      <c r="BC358" s="38"/>
      <c r="BD358" s="38"/>
      <c r="BE358" s="77">
        <f t="shared" si="26"/>
        <v>3</v>
      </c>
      <c r="BF358" s="38"/>
    </row>
    <row r="359" spans="1:58" ht="22.5" hidden="1" customHeight="1">
      <c r="A359" s="33" t="str">
        <f>IF(OR(ISBLANK(E359),ISBLANK(C359)),"",IF(COUNTIF($E$8:E359,E359)&gt;1,"",(MAX($A$7:A358)+1)))</f>
        <v/>
      </c>
      <c r="B359" s="34">
        <f>IF(ISBLANK(C359),"",SUBTOTAL(3,$C$8:C359))</f>
        <v>44</v>
      </c>
      <c r="C359" s="78" t="s">
        <v>796</v>
      </c>
      <c r="D359" s="50" t="s">
        <v>797</v>
      </c>
      <c r="E359" s="50" t="s">
        <v>760</v>
      </c>
      <c r="F359" s="35" t="str">
        <f t="shared" si="24"/>
        <v/>
      </c>
      <c r="G359" s="36" t="str">
        <f t="shared" si="25"/>
        <v>B</v>
      </c>
      <c r="H359" s="51">
        <f t="shared" si="27"/>
        <v>2</v>
      </c>
      <c r="I359" s="51" t="str">
        <f t="shared" si="27"/>
        <v/>
      </c>
      <c r="J359" s="51" t="str">
        <f t="shared" si="27"/>
        <v/>
      </c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 t="s">
        <v>47</v>
      </c>
      <c r="AA359" s="37"/>
      <c r="AB359" s="37"/>
      <c r="AC359" s="37"/>
      <c r="AD359" s="37"/>
      <c r="AE359" s="37"/>
      <c r="AF359" s="37" t="s">
        <v>47</v>
      </c>
      <c r="AG359" s="37"/>
      <c r="AH359" s="37"/>
      <c r="AI359" s="37"/>
      <c r="AJ359" s="37"/>
      <c r="AK359" s="37"/>
      <c r="AM359" s="38"/>
      <c r="AN359" s="38"/>
      <c r="AO359" s="38" t="s">
        <v>47</v>
      </c>
      <c r="AP359" s="38" t="s">
        <v>47</v>
      </c>
      <c r="AQ359" s="38"/>
      <c r="AR359" s="38"/>
      <c r="AS359" s="38"/>
      <c r="AT359" s="38"/>
      <c r="AU359" s="38"/>
      <c r="AV359" s="38"/>
      <c r="AW359" s="38"/>
      <c r="AX359" s="38"/>
      <c r="AY359" s="38"/>
      <c r="AZ359" s="38"/>
      <c r="BA359" s="38"/>
      <c r="BB359" s="38"/>
      <c r="BC359" s="38"/>
      <c r="BD359" s="38"/>
      <c r="BE359" s="77">
        <f t="shared" si="26"/>
        <v>2</v>
      </c>
      <c r="BF359" s="38"/>
    </row>
    <row r="360" spans="1:58" ht="22.5" hidden="1" customHeight="1">
      <c r="A360" s="33" t="str">
        <f>IF(OR(ISBLANK(E360),ISBLANK(C360)),"",IF(COUNTIF($E$8:E360,E360)&gt;1,"",(MAX($A$7:A359)+1)))</f>
        <v/>
      </c>
      <c r="B360" s="34">
        <f>IF(ISBLANK(C360),"",SUBTOTAL(3,$C$8:C360))</f>
        <v>44</v>
      </c>
      <c r="C360" s="78" t="s">
        <v>798</v>
      </c>
      <c r="D360" s="50" t="s">
        <v>799</v>
      </c>
      <c r="E360" s="50" t="s">
        <v>760</v>
      </c>
      <c r="F360" s="35" t="str">
        <f t="shared" si="24"/>
        <v/>
      </c>
      <c r="G360" s="36" t="str">
        <f t="shared" si="25"/>
        <v>A</v>
      </c>
      <c r="H360" s="51">
        <f t="shared" si="27"/>
        <v>3</v>
      </c>
      <c r="I360" s="51">
        <f t="shared" si="27"/>
        <v>2</v>
      </c>
      <c r="J360" s="51" t="str">
        <f t="shared" si="27"/>
        <v/>
      </c>
      <c r="K360" s="37"/>
      <c r="L360" s="37" t="s">
        <v>47</v>
      </c>
      <c r="M360" s="37"/>
      <c r="N360" s="37"/>
      <c r="O360" s="37" t="s">
        <v>47</v>
      </c>
      <c r="P360" s="37"/>
      <c r="Q360" s="37" t="s">
        <v>47</v>
      </c>
      <c r="R360" s="37"/>
      <c r="S360" s="37"/>
      <c r="T360" s="37"/>
      <c r="U360" s="37"/>
      <c r="V360" s="37"/>
      <c r="W360" s="37"/>
      <c r="X360" s="37"/>
      <c r="Y360" s="37"/>
      <c r="Z360" s="37" t="s">
        <v>47</v>
      </c>
      <c r="AA360" s="37"/>
      <c r="AB360" s="37"/>
      <c r="AC360" s="37"/>
      <c r="AD360" s="37"/>
      <c r="AE360" s="37"/>
      <c r="AF360" s="37" t="s">
        <v>47</v>
      </c>
      <c r="AG360" s="37"/>
      <c r="AH360" s="37"/>
      <c r="AI360" s="37"/>
      <c r="AJ360" s="37"/>
      <c r="AK360" s="37"/>
      <c r="AM360" s="38"/>
      <c r="AN360" s="38"/>
      <c r="AO360" s="38" t="s">
        <v>47</v>
      </c>
      <c r="AP360" s="38" t="s">
        <v>47</v>
      </c>
      <c r="AQ360" s="38"/>
      <c r="AR360" s="38"/>
      <c r="AS360" s="38" t="s">
        <v>47</v>
      </c>
      <c r="AT360" s="38"/>
      <c r="AU360" s="38"/>
      <c r="AV360" s="38"/>
      <c r="AW360" s="38"/>
      <c r="AX360" s="38"/>
      <c r="AY360" s="38"/>
      <c r="AZ360" s="38"/>
      <c r="BA360" s="38"/>
      <c r="BB360" s="38"/>
      <c r="BC360" s="38"/>
      <c r="BD360" s="38"/>
      <c r="BE360" s="77">
        <f t="shared" si="26"/>
        <v>3</v>
      </c>
      <c r="BF360" s="38"/>
    </row>
    <row r="361" spans="1:58" ht="22.5" hidden="1" customHeight="1">
      <c r="A361" s="33" t="str">
        <f>IF(OR(ISBLANK(E361),ISBLANK(C361)),"",IF(COUNTIF($E$8:E361,E361)&gt;1,"",(MAX($A$7:A360)+1)))</f>
        <v/>
      </c>
      <c r="B361" s="34">
        <f>IF(ISBLANK(C361),"",SUBTOTAL(3,$C$8:C361))</f>
        <v>44</v>
      </c>
      <c r="C361" s="78" t="s">
        <v>800</v>
      </c>
      <c r="D361" s="50" t="s">
        <v>801</v>
      </c>
      <c r="E361" s="50" t="s">
        <v>760</v>
      </c>
      <c r="F361" s="35" t="str">
        <f t="shared" si="24"/>
        <v/>
      </c>
      <c r="G361" s="36" t="str">
        <f t="shared" si="25"/>
        <v>A</v>
      </c>
      <c r="H361" s="51">
        <f t="shared" si="27"/>
        <v>3</v>
      </c>
      <c r="I361" s="51">
        <f t="shared" si="27"/>
        <v>3</v>
      </c>
      <c r="J361" s="51" t="str">
        <f t="shared" si="27"/>
        <v/>
      </c>
      <c r="K361" s="37" t="s">
        <v>47</v>
      </c>
      <c r="L361" s="37"/>
      <c r="M361" s="37"/>
      <c r="N361" s="37" t="s">
        <v>47</v>
      </c>
      <c r="O361" s="37"/>
      <c r="P361" s="37"/>
      <c r="Q361" s="37" t="s">
        <v>47</v>
      </c>
      <c r="R361" s="37"/>
      <c r="S361" s="37"/>
      <c r="T361" s="37"/>
      <c r="U361" s="37" t="s">
        <v>47</v>
      </c>
      <c r="V361" s="37"/>
      <c r="W361" s="37"/>
      <c r="X361" s="37" t="s">
        <v>47</v>
      </c>
      <c r="Y361" s="37"/>
      <c r="Z361" s="37"/>
      <c r="AA361" s="37"/>
      <c r="AB361" s="37"/>
      <c r="AC361" s="37"/>
      <c r="AD361" s="37" t="s">
        <v>47</v>
      </c>
      <c r="AE361" s="37"/>
      <c r="AF361" s="37"/>
      <c r="AG361" s="37"/>
      <c r="AH361" s="37"/>
      <c r="AI361" s="37"/>
      <c r="AJ361" s="37"/>
      <c r="AK361" s="37"/>
      <c r="AM361" s="38"/>
      <c r="AN361" s="38"/>
      <c r="AO361" s="38"/>
      <c r="AP361" s="38"/>
      <c r="AQ361" s="38" t="s">
        <v>47</v>
      </c>
      <c r="AR361" s="38" t="s">
        <v>47</v>
      </c>
      <c r="AS361" s="38" t="s">
        <v>47</v>
      </c>
      <c r="AT361" s="38"/>
      <c r="AU361" s="38"/>
      <c r="AV361" s="38"/>
      <c r="AW361" s="38" t="s">
        <v>47</v>
      </c>
      <c r="AX361" s="38"/>
      <c r="AY361" s="38" t="s">
        <v>47</v>
      </c>
      <c r="AZ361" s="38"/>
      <c r="BA361" s="38"/>
      <c r="BB361" s="38"/>
      <c r="BC361" s="38"/>
      <c r="BD361" s="38"/>
      <c r="BE361" s="77">
        <f t="shared" si="26"/>
        <v>5</v>
      </c>
      <c r="BF361" s="38"/>
    </row>
    <row r="362" spans="1:58" ht="22.5" hidden="1" customHeight="1">
      <c r="A362" s="33" t="str">
        <f>IF(OR(ISBLANK(E362),ISBLANK(C362)),"",IF(COUNTIF($E$8:E362,E362)&gt;1,"",(MAX($A$7:A361)+1)))</f>
        <v/>
      </c>
      <c r="B362" s="34">
        <f>IF(ISBLANK(C362),"",SUBTOTAL(3,$C$8:C362))</f>
        <v>44</v>
      </c>
      <c r="C362" s="78" t="s">
        <v>802</v>
      </c>
      <c r="D362" s="50" t="s">
        <v>803</v>
      </c>
      <c r="E362" s="50" t="s">
        <v>760</v>
      </c>
      <c r="F362" s="35" t="str">
        <f t="shared" si="24"/>
        <v/>
      </c>
      <c r="G362" s="36" t="str">
        <f t="shared" si="25"/>
        <v>A</v>
      </c>
      <c r="H362" s="51">
        <f t="shared" si="27"/>
        <v>3</v>
      </c>
      <c r="I362" s="51" t="str">
        <f t="shared" si="27"/>
        <v/>
      </c>
      <c r="J362" s="51" t="str">
        <f t="shared" si="27"/>
        <v/>
      </c>
      <c r="K362" s="37" t="s">
        <v>47</v>
      </c>
      <c r="L362" s="37"/>
      <c r="M362" s="37"/>
      <c r="N362" s="37" t="s">
        <v>47</v>
      </c>
      <c r="O362" s="37"/>
      <c r="P362" s="37"/>
      <c r="Q362" s="37" t="s">
        <v>47</v>
      </c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M362" s="38"/>
      <c r="AN362" s="38" t="s">
        <v>47</v>
      </c>
      <c r="AO362" s="38"/>
      <c r="AP362" s="38"/>
      <c r="AQ362" s="38" t="s">
        <v>47</v>
      </c>
      <c r="AR362" s="38" t="s">
        <v>47</v>
      </c>
      <c r="AS362" s="38" t="s">
        <v>47</v>
      </c>
      <c r="AT362" s="38"/>
      <c r="AU362" s="38"/>
      <c r="AV362" s="38"/>
      <c r="AW362" s="38"/>
      <c r="AX362" s="38"/>
      <c r="AY362" s="38"/>
      <c r="AZ362" s="38"/>
      <c r="BA362" s="38"/>
      <c r="BB362" s="38"/>
      <c r="BC362" s="38"/>
      <c r="BD362" s="38"/>
      <c r="BE362" s="77">
        <f t="shared" si="26"/>
        <v>4</v>
      </c>
      <c r="BF362" s="38"/>
    </row>
    <row r="363" spans="1:58" ht="22.5" hidden="1" customHeight="1">
      <c r="A363" s="33" t="str">
        <f>IF(OR(ISBLANK(E363),ISBLANK(C363)),"",IF(COUNTIF($E$8:E363,E363)&gt;1,"",(MAX($A$7:A362)+1)))</f>
        <v/>
      </c>
      <c r="B363" s="34">
        <f>IF(ISBLANK(C363),"",SUBTOTAL(3,$C$8:C363))</f>
        <v>44</v>
      </c>
      <c r="C363" s="78" t="s">
        <v>804</v>
      </c>
      <c r="D363" s="50" t="s">
        <v>805</v>
      </c>
      <c r="E363" s="50" t="s">
        <v>760</v>
      </c>
      <c r="F363" s="35" t="str">
        <f t="shared" si="24"/>
        <v/>
      </c>
      <c r="G363" s="36" t="str">
        <f t="shared" si="25"/>
        <v>A</v>
      </c>
      <c r="H363" s="51">
        <f t="shared" si="27"/>
        <v>3</v>
      </c>
      <c r="I363" s="51">
        <f t="shared" si="27"/>
        <v>2</v>
      </c>
      <c r="J363" s="51">
        <f t="shared" si="27"/>
        <v>2</v>
      </c>
      <c r="K363" s="37" t="s">
        <v>47</v>
      </c>
      <c r="L363" s="37"/>
      <c r="M363" s="37"/>
      <c r="N363" s="37" t="s">
        <v>47</v>
      </c>
      <c r="O363" s="37"/>
      <c r="P363" s="37"/>
      <c r="Q363" s="37"/>
      <c r="R363" s="37" t="s">
        <v>47</v>
      </c>
      <c r="S363" s="37"/>
      <c r="T363" s="37" t="s">
        <v>47</v>
      </c>
      <c r="U363" s="37"/>
      <c r="V363" s="37"/>
      <c r="W363" s="37"/>
      <c r="X363" s="37"/>
      <c r="Y363" s="37" t="s">
        <v>47</v>
      </c>
      <c r="Z363" s="37"/>
      <c r="AA363" s="37"/>
      <c r="AB363" s="37" t="s">
        <v>47</v>
      </c>
      <c r="AC363" s="37"/>
      <c r="AD363" s="37" t="s">
        <v>47</v>
      </c>
      <c r="AE363" s="37"/>
      <c r="AF363" s="37"/>
      <c r="AG363" s="37"/>
      <c r="AH363" s="37"/>
      <c r="AI363" s="37"/>
      <c r="AJ363" s="37"/>
      <c r="AK363" s="37"/>
      <c r="AM363" s="38"/>
      <c r="AN363" s="38"/>
      <c r="AO363" s="38"/>
      <c r="AP363" s="38"/>
      <c r="AQ363" s="38"/>
      <c r="AR363" s="38"/>
      <c r="AS363" s="38" t="s">
        <v>47</v>
      </c>
      <c r="AT363" s="38"/>
      <c r="AU363" s="38"/>
      <c r="AV363" s="38"/>
      <c r="AW363" s="38" t="s">
        <v>47</v>
      </c>
      <c r="AX363" s="38"/>
      <c r="AY363" s="38" t="s">
        <v>47</v>
      </c>
      <c r="AZ363" s="38" t="s">
        <v>47</v>
      </c>
      <c r="BA363" s="38"/>
      <c r="BB363" s="38" t="s">
        <v>47</v>
      </c>
      <c r="BC363" s="38" t="s">
        <v>47</v>
      </c>
      <c r="BD363" s="38"/>
      <c r="BE363" s="77">
        <f t="shared" si="26"/>
        <v>6</v>
      </c>
      <c r="BF363" s="38"/>
    </row>
    <row r="364" spans="1:58" ht="22.5" hidden="1" customHeight="1">
      <c r="A364" s="33" t="str">
        <f>IF(OR(ISBLANK(E364),ISBLANK(C364)),"",IF(COUNTIF($E$8:E364,E364)&gt;1,"",(MAX($A$7:A363)+1)))</f>
        <v/>
      </c>
      <c r="B364" s="34">
        <f>IF(ISBLANK(C364),"",SUBTOTAL(3,$C$8:C364))</f>
        <v>44</v>
      </c>
      <c r="C364" s="78" t="s">
        <v>806</v>
      </c>
      <c r="D364" s="50" t="s">
        <v>807</v>
      </c>
      <c r="E364" s="50" t="s">
        <v>760</v>
      </c>
      <c r="F364" s="35" t="str">
        <f t="shared" si="24"/>
        <v/>
      </c>
      <c r="G364" s="36" t="str">
        <f t="shared" si="25"/>
        <v>A</v>
      </c>
      <c r="H364" s="51">
        <f t="shared" si="27"/>
        <v>4</v>
      </c>
      <c r="I364" s="51">
        <f t="shared" si="27"/>
        <v>2</v>
      </c>
      <c r="J364" s="51">
        <f t="shared" si="27"/>
        <v>1</v>
      </c>
      <c r="K364" s="37" t="s">
        <v>47</v>
      </c>
      <c r="L364" s="37"/>
      <c r="M364" s="37"/>
      <c r="N364" s="37" t="s">
        <v>47</v>
      </c>
      <c r="O364" s="37"/>
      <c r="P364" s="37"/>
      <c r="Q364" s="37" t="s">
        <v>47</v>
      </c>
      <c r="R364" s="37"/>
      <c r="S364" s="37"/>
      <c r="T364" s="37"/>
      <c r="U364" s="37" t="s">
        <v>47</v>
      </c>
      <c r="V364" s="37"/>
      <c r="W364" s="37"/>
      <c r="X364" s="37" t="s">
        <v>47</v>
      </c>
      <c r="Y364" s="37"/>
      <c r="Z364" s="37"/>
      <c r="AA364" s="37"/>
      <c r="AB364" s="37" t="s">
        <v>47</v>
      </c>
      <c r="AC364" s="37" t="s">
        <v>47</v>
      </c>
      <c r="AD364" s="37"/>
      <c r="AE364" s="37"/>
      <c r="AF364" s="37"/>
      <c r="AG364" s="37"/>
      <c r="AH364" s="37"/>
      <c r="AI364" s="37"/>
      <c r="AJ364" s="37"/>
      <c r="AK364" s="37"/>
      <c r="AM364" s="38"/>
      <c r="AN364" s="38"/>
      <c r="AO364" s="38"/>
      <c r="AP364" s="38"/>
      <c r="AQ364" s="38"/>
      <c r="AR364" s="38"/>
      <c r="AS364" s="38" t="s">
        <v>47</v>
      </c>
      <c r="AT364" s="38"/>
      <c r="AU364" s="38"/>
      <c r="AV364" s="38" t="s">
        <v>47</v>
      </c>
      <c r="AW364" s="38" t="s">
        <v>47</v>
      </c>
      <c r="AX364" s="38" t="s">
        <v>47</v>
      </c>
      <c r="AY364" s="38" t="s">
        <v>47</v>
      </c>
      <c r="AZ364" s="38"/>
      <c r="BA364" s="38" t="s">
        <v>47</v>
      </c>
      <c r="BB364" s="38" t="s">
        <v>47</v>
      </c>
      <c r="BC364" s="38" t="s">
        <v>47</v>
      </c>
      <c r="BD364" s="38"/>
      <c r="BE364" s="77">
        <f t="shared" si="26"/>
        <v>8</v>
      </c>
      <c r="BF364" s="38"/>
    </row>
    <row r="365" spans="1:58" ht="22.5" hidden="1" customHeight="1">
      <c r="A365" s="33" t="str">
        <f>IF(OR(ISBLANK(E365),ISBLANK(C365)),"",IF(COUNTIF($E$8:E365,E365)&gt;1,"",(MAX($A$7:A364)+1)))</f>
        <v/>
      </c>
      <c r="B365" s="34">
        <f>IF(ISBLANK(C365),"",SUBTOTAL(3,$C$8:C365))</f>
        <v>44</v>
      </c>
      <c r="C365" s="78" t="s">
        <v>808</v>
      </c>
      <c r="D365" s="50" t="s">
        <v>809</v>
      </c>
      <c r="E365" s="50" t="s">
        <v>760</v>
      </c>
      <c r="F365" s="35" t="str">
        <f t="shared" si="24"/>
        <v/>
      </c>
      <c r="G365" s="36" t="str">
        <f t="shared" si="25"/>
        <v>A</v>
      </c>
      <c r="H365" s="51">
        <f t="shared" si="27"/>
        <v>3</v>
      </c>
      <c r="I365" s="51">
        <f t="shared" si="27"/>
        <v>3</v>
      </c>
      <c r="J365" s="51">
        <f t="shared" si="27"/>
        <v>1</v>
      </c>
      <c r="K365" s="37" t="s">
        <v>47</v>
      </c>
      <c r="L365" s="37"/>
      <c r="M365" s="37"/>
      <c r="N365" s="37" t="s">
        <v>47</v>
      </c>
      <c r="O365" s="37"/>
      <c r="P365" s="37"/>
      <c r="Q365" s="37" t="s">
        <v>47</v>
      </c>
      <c r="R365" s="37"/>
      <c r="S365" s="37"/>
      <c r="T365" s="37"/>
      <c r="U365" s="37" t="s">
        <v>47</v>
      </c>
      <c r="V365" s="37"/>
      <c r="W365" s="37"/>
      <c r="X365" s="37" t="s">
        <v>47</v>
      </c>
      <c r="Y365" s="37"/>
      <c r="Z365" s="37"/>
      <c r="AA365" s="37"/>
      <c r="AB365" s="37" t="s">
        <v>47</v>
      </c>
      <c r="AC365" s="37"/>
      <c r="AD365" s="37" t="s">
        <v>47</v>
      </c>
      <c r="AE365" s="37"/>
      <c r="AF365" s="37"/>
      <c r="AG365" s="37"/>
      <c r="AH365" s="37"/>
      <c r="AI365" s="37"/>
      <c r="AJ365" s="37"/>
      <c r="AK365" s="37"/>
      <c r="AM365" s="38"/>
      <c r="AN365" s="38"/>
      <c r="AO365" s="38"/>
      <c r="AP365" s="38"/>
      <c r="AQ365" s="38"/>
      <c r="AR365" s="38"/>
      <c r="AS365" s="38" t="s">
        <v>47</v>
      </c>
      <c r="AT365" s="38" t="s">
        <v>47</v>
      </c>
      <c r="AU365" s="38"/>
      <c r="AV365" s="38"/>
      <c r="AW365" s="38" t="s">
        <v>47</v>
      </c>
      <c r="AX365" s="38"/>
      <c r="AY365" s="38"/>
      <c r="AZ365" s="38"/>
      <c r="BA365" s="38" t="s">
        <v>47</v>
      </c>
      <c r="BB365" s="38"/>
      <c r="BC365" s="38"/>
      <c r="BD365" s="38"/>
      <c r="BE365" s="77">
        <f t="shared" si="26"/>
        <v>4</v>
      </c>
      <c r="BF365" s="38"/>
    </row>
    <row r="366" spans="1:58" ht="22.5" hidden="1" customHeight="1">
      <c r="A366" s="33" t="str">
        <f>IF(OR(ISBLANK(E366),ISBLANK(C366)),"",IF(COUNTIF($E$8:E366,E366)&gt;1,"",(MAX($A$7:A365)+1)))</f>
        <v/>
      </c>
      <c r="B366" s="34">
        <f>IF(ISBLANK(C366),"",SUBTOTAL(3,$C$8:C366))</f>
        <v>44</v>
      </c>
      <c r="C366" s="78" t="s">
        <v>810</v>
      </c>
      <c r="D366" s="50" t="s">
        <v>811</v>
      </c>
      <c r="E366" s="50" t="s">
        <v>760</v>
      </c>
      <c r="F366" s="35" t="str">
        <f t="shared" si="24"/>
        <v/>
      </c>
      <c r="G366" s="36" t="str">
        <f t="shared" si="25"/>
        <v>C</v>
      </c>
      <c r="H366" s="51">
        <f t="shared" si="27"/>
        <v>1</v>
      </c>
      <c r="I366" s="51" t="str">
        <f t="shared" si="27"/>
        <v/>
      </c>
      <c r="J366" s="51">
        <f t="shared" si="27"/>
        <v>4</v>
      </c>
      <c r="K366" s="37" t="s">
        <v>47</v>
      </c>
      <c r="L366" s="37"/>
      <c r="M366" s="37" t="s">
        <v>47</v>
      </c>
      <c r="N366" s="37"/>
      <c r="O366" s="37"/>
      <c r="P366" s="37"/>
      <c r="Q366" s="37"/>
      <c r="R366" s="37"/>
      <c r="S366" s="37" t="s">
        <v>47</v>
      </c>
      <c r="T366" s="37"/>
      <c r="U366" s="37"/>
      <c r="V366" s="37"/>
      <c r="W366" s="37"/>
      <c r="X366" s="37"/>
      <c r="Y366" s="37" t="s">
        <v>47</v>
      </c>
      <c r="Z366" s="37"/>
      <c r="AA366" s="37"/>
      <c r="AB366" s="37"/>
      <c r="AC366" s="37"/>
      <c r="AD366" s="37"/>
      <c r="AE366" s="37" t="s">
        <v>47</v>
      </c>
      <c r="AF366" s="37"/>
      <c r="AG366" s="37"/>
      <c r="AH366" s="37"/>
      <c r="AI366" s="37"/>
      <c r="AJ366" s="37"/>
      <c r="AK366" s="37"/>
      <c r="AM366" s="38" t="s">
        <v>47</v>
      </c>
      <c r="AN366" s="38" t="s">
        <v>47</v>
      </c>
      <c r="AO366" s="38"/>
      <c r="AP366" s="38"/>
      <c r="AQ366" s="38"/>
      <c r="AR366" s="38" t="s">
        <v>47</v>
      </c>
      <c r="AS366" s="38" t="s">
        <v>47</v>
      </c>
      <c r="AT366" s="38"/>
      <c r="AU366" s="38"/>
      <c r="AV366" s="38"/>
      <c r="AW366" s="38"/>
      <c r="AX366" s="38"/>
      <c r="AY366" s="38" t="s">
        <v>47</v>
      </c>
      <c r="AZ366" s="38"/>
      <c r="BA366" s="38"/>
      <c r="BB366" s="38"/>
      <c r="BC366" s="38"/>
      <c r="BD366" s="38"/>
      <c r="BE366" s="77">
        <f t="shared" si="26"/>
        <v>5</v>
      </c>
      <c r="BF366" s="38"/>
    </row>
    <row r="367" spans="1:58" ht="22.5" hidden="1" customHeight="1">
      <c r="A367" s="33" t="str">
        <f>IF(OR(ISBLANK(E367),ISBLANK(C367)),"",IF(COUNTIF($E$8:E367,E367)&gt;1,"",(MAX($A$7:A366)+1)))</f>
        <v/>
      </c>
      <c r="B367" s="34">
        <f>IF(ISBLANK(C367),"",SUBTOTAL(3,$C$8:C367))</f>
        <v>44</v>
      </c>
      <c r="C367" s="78" t="s">
        <v>812</v>
      </c>
      <c r="D367" s="50" t="s">
        <v>813</v>
      </c>
      <c r="E367" s="50" t="s">
        <v>760</v>
      </c>
      <c r="F367" s="35" t="str">
        <f t="shared" si="24"/>
        <v/>
      </c>
      <c r="G367" s="36" t="str">
        <f t="shared" si="25"/>
        <v>A</v>
      </c>
      <c r="H367" s="51">
        <f t="shared" si="27"/>
        <v>2</v>
      </c>
      <c r="I367" s="51">
        <f t="shared" si="27"/>
        <v>4</v>
      </c>
      <c r="J367" s="51">
        <f t="shared" si="27"/>
        <v>1</v>
      </c>
      <c r="K367" s="37" t="s">
        <v>47</v>
      </c>
      <c r="L367" s="37"/>
      <c r="M367" s="37"/>
      <c r="N367" s="37" t="s">
        <v>47</v>
      </c>
      <c r="O367" s="37"/>
      <c r="P367" s="37"/>
      <c r="Q367" s="37"/>
      <c r="R367" s="37" t="s">
        <v>47</v>
      </c>
      <c r="S367" s="37"/>
      <c r="T367" s="37"/>
      <c r="U367" s="37" t="s">
        <v>47</v>
      </c>
      <c r="V367" s="37"/>
      <c r="W367" s="37"/>
      <c r="X367" s="37" t="s">
        <v>47</v>
      </c>
      <c r="Y367" s="37"/>
      <c r="Z367" s="37"/>
      <c r="AA367" s="37"/>
      <c r="AB367" s="37" t="s">
        <v>47</v>
      </c>
      <c r="AC367" s="37"/>
      <c r="AD367" s="37" t="s">
        <v>47</v>
      </c>
      <c r="AE367" s="37"/>
      <c r="AF367" s="37"/>
      <c r="AG367" s="37"/>
      <c r="AH367" s="37"/>
      <c r="AI367" s="37"/>
      <c r="AJ367" s="37"/>
      <c r="AK367" s="37"/>
      <c r="AM367" s="38"/>
      <c r="AN367" s="38"/>
      <c r="AO367" s="38"/>
      <c r="AP367" s="38"/>
      <c r="AQ367" s="38"/>
      <c r="AR367" s="38"/>
      <c r="AS367" s="38" t="s">
        <v>47</v>
      </c>
      <c r="AT367" s="38" t="s">
        <v>47</v>
      </c>
      <c r="AU367" s="38"/>
      <c r="AV367" s="38"/>
      <c r="AW367" s="38" t="s">
        <v>47</v>
      </c>
      <c r="AX367" s="38"/>
      <c r="AY367" s="38" t="s">
        <v>47</v>
      </c>
      <c r="AZ367" s="38"/>
      <c r="BA367" s="38" t="s">
        <v>47</v>
      </c>
      <c r="BB367" s="38" t="s">
        <v>47</v>
      </c>
      <c r="BC367" s="38" t="s">
        <v>47</v>
      </c>
      <c r="BD367" s="38"/>
      <c r="BE367" s="77">
        <f t="shared" si="26"/>
        <v>7</v>
      </c>
      <c r="BF367" s="38"/>
    </row>
    <row r="368" spans="1:58" ht="22.5" hidden="1" customHeight="1">
      <c r="A368" s="33" t="str">
        <f>IF(OR(ISBLANK(E368),ISBLANK(C368)),"",IF(COUNTIF($E$8:E368,E368)&gt;1,"",(MAX($A$7:A367)+1)))</f>
        <v/>
      </c>
      <c r="B368" s="34">
        <f>IF(ISBLANK(C368),"",SUBTOTAL(3,$C$8:C368))</f>
        <v>44</v>
      </c>
      <c r="C368" s="78" t="s">
        <v>814</v>
      </c>
      <c r="D368" s="50" t="s">
        <v>815</v>
      </c>
      <c r="E368" s="50" t="s">
        <v>760</v>
      </c>
      <c r="F368" s="35" t="str">
        <f t="shared" si="24"/>
        <v/>
      </c>
      <c r="G368" s="36" t="str">
        <f t="shared" si="25"/>
        <v>B</v>
      </c>
      <c r="H368" s="51">
        <f t="shared" si="27"/>
        <v>2</v>
      </c>
      <c r="I368" s="51" t="str">
        <f t="shared" si="27"/>
        <v/>
      </c>
      <c r="J368" s="51" t="str">
        <f t="shared" si="27"/>
        <v/>
      </c>
      <c r="K368" s="37" t="s">
        <v>47</v>
      </c>
      <c r="L368" s="37"/>
      <c r="M368" s="37"/>
      <c r="N368" s="37" t="s">
        <v>47</v>
      </c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M368" s="38"/>
      <c r="AN368" s="38"/>
      <c r="AO368" s="38"/>
      <c r="AP368" s="38"/>
      <c r="AQ368" s="38"/>
      <c r="AR368" s="38" t="s">
        <v>47</v>
      </c>
      <c r="AS368" s="38" t="s">
        <v>47</v>
      </c>
      <c r="AT368" s="38" t="s">
        <v>47</v>
      </c>
      <c r="AU368" s="38"/>
      <c r="AV368" s="38"/>
      <c r="AW368" s="38" t="s">
        <v>47</v>
      </c>
      <c r="AX368" s="38"/>
      <c r="AY368" s="38" t="s">
        <v>47</v>
      </c>
      <c r="AZ368" s="38"/>
      <c r="BA368" s="38" t="s">
        <v>47</v>
      </c>
      <c r="BB368" s="38"/>
      <c r="BC368" s="38" t="s">
        <v>47</v>
      </c>
      <c r="BD368" s="38"/>
      <c r="BE368" s="77">
        <f t="shared" si="26"/>
        <v>7</v>
      </c>
      <c r="BF368" s="38"/>
    </row>
    <row r="369" spans="1:58" ht="22.5" hidden="1" customHeight="1">
      <c r="A369" s="33" t="str">
        <f>IF(OR(ISBLANK(E369),ISBLANK(C369)),"",IF(COUNTIF($E$8:E369,E369)&gt;1,"",(MAX($A$7:A368)+1)))</f>
        <v/>
      </c>
      <c r="B369" s="34">
        <f>IF(ISBLANK(C369),"",SUBTOTAL(3,$C$8:C369))</f>
        <v>44</v>
      </c>
      <c r="C369" s="78" t="s">
        <v>816</v>
      </c>
      <c r="D369" s="50" t="s">
        <v>817</v>
      </c>
      <c r="E369" s="50" t="s">
        <v>760</v>
      </c>
      <c r="F369" s="35" t="str">
        <f t="shared" si="24"/>
        <v/>
      </c>
      <c r="G369" s="36" t="str">
        <f t="shared" si="25"/>
        <v>A</v>
      </c>
      <c r="H369" s="51">
        <f t="shared" si="27"/>
        <v>3</v>
      </c>
      <c r="I369" s="51">
        <f t="shared" si="27"/>
        <v>4</v>
      </c>
      <c r="J369" s="51" t="str">
        <f t="shared" si="27"/>
        <v/>
      </c>
      <c r="K369" s="37" t="s">
        <v>47</v>
      </c>
      <c r="L369" s="37"/>
      <c r="M369" s="37"/>
      <c r="N369" s="37" t="s">
        <v>47</v>
      </c>
      <c r="O369" s="37"/>
      <c r="P369" s="37"/>
      <c r="Q369" s="37"/>
      <c r="R369" s="37" t="s">
        <v>47</v>
      </c>
      <c r="S369" s="37"/>
      <c r="T369" s="37"/>
      <c r="U369" s="37" t="s">
        <v>47</v>
      </c>
      <c r="V369" s="37"/>
      <c r="W369" s="37"/>
      <c r="X369" s="37" t="s">
        <v>47</v>
      </c>
      <c r="Y369" s="37"/>
      <c r="Z369" s="37"/>
      <c r="AA369" s="37" t="s">
        <v>47</v>
      </c>
      <c r="AB369" s="37"/>
      <c r="AC369" s="37" t="s">
        <v>47</v>
      </c>
      <c r="AD369" s="37"/>
      <c r="AE369" s="37"/>
      <c r="AF369" s="37"/>
      <c r="AG369" s="37"/>
      <c r="AH369" s="37"/>
      <c r="AI369" s="37"/>
      <c r="AJ369" s="37"/>
      <c r="AK369" s="37"/>
      <c r="AM369" s="38"/>
      <c r="AN369" s="38"/>
      <c r="AO369" s="38"/>
      <c r="AP369" s="38"/>
      <c r="AQ369" s="38"/>
      <c r="AR369" s="38"/>
      <c r="AS369" s="38" t="s">
        <v>47</v>
      </c>
      <c r="AT369" s="38"/>
      <c r="AU369" s="38" t="s">
        <v>47</v>
      </c>
      <c r="AV369" s="38"/>
      <c r="AW369" s="38" t="s">
        <v>47</v>
      </c>
      <c r="AX369" s="38"/>
      <c r="AY369" s="38" t="s">
        <v>47</v>
      </c>
      <c r="AZ369" s="38"/>
      <c r="BA369" s="38" t="s">
        <v>47</v>
      </c>
      <c r="BB369" s="38" t="s">
        <v>47</v>
      </c>
      <c r="BC369" s="38" t="s">
        <v>47</v>
      </c>
      <c r="BD369" s="38"/>
      <c r="BE369" s="77">
        <f t="shared" si="26"/>
        <v>7</v>
      </c>
      <c r="BF369" s="38"/>
    </row>
    <row r="370" spans="1:58" ht="22.5" hidden="1" customHeight="1">
      <c r="A370" s="33" t="str">
        <f>IF(OR(ISBLANK(E370),ISBLANK(C370)),"",IF(COUNTIF($E$8:E370,E370)&gt;1,"",(MAX($A$7:A369)+1)))</f>
        <v/>
      </c>
      <c r="B370" s="34">
        <f>IF(ISBLANK(C370),"",SUBTOTAL(3,$C$8:C370))</f>
        <v>44</v>
      </c>
      <c r="C370" s="78" t="s">
        <v>818</v>
      </c>
      <c r="D370" s="50" t="s">
        <v>819</v>
      </c>
      <c r="E370" s="50" t="s">
        <v>760</v>
      </c>
      <c r="F370" s="35" t="str">
        <f t="shared" si="24"/>
        <v/>
      </c>
      <c r="G370" s="36" t="str">
        <f t="shared" si="25"/>
        <v>A</v>
      </c>
      <c r="H370" s="51">
        <f t="shared" si="27"/>
        <v>2</v>
      </c>
      <c r="I370" s="51">
        <f t="shared" si="27"/>
        <v>3</v>
      </c>
      <c r="J370" s="51">
        <f t="shared" si="27"/>
        <v>2</v>
      </c>
      <c r="K370" s="37" t="s">
        <v>47</v>
      </c>
      <c r="L370" s="37"/>
      <c r="M370" s="37"/>
      <c r="N370" s="37" t="s">
        <v>47</v>
      </c>
      <c r="O370" s="37"/>
      <c r="P370" s="37"/>
      <c r="Q370" s="37"/>
      <c r="R370" s="37" t="s">
        <v>47</v>
      </c>
      <c r="S370" s="37"/>
      <c r="T370" s="37"/>
      <c r="U370" s="37" t="s">
        <v>47</v>
      </c>
      <c r="V370" s="37"/>
      <c r="W370" s="37"/>
      <c r="X370" s="37" t="s">
        <v>47</v>
      </c>
      <c r="Y370" s="37"/>
      <c r="Z370" s="37"/>
      <c r="AA370" s="37"/>
      <c r="AB370" s="37" t="s">
        <v>47</v>
      </c>
      <c r="AC370" s="37"/>
      <c r="AD370" s="37"/>
      <c r="AE370" s="37" t="s">
        <v>47</v>
      </c>
      <c r="AF370" s="37"/>
      <c r="AG370" s="37"/>
      <c r="AH370" s="37"/>
      <c r="AI370" s="37"/>
      <c r="AJ370" s="37"/>
      <c r="AK370" s="37"/>
      <c r="AM370" s="38"/>
      <c r="AN370" s="38"/>
      <c r="AO370" s="38"/>
      <c r="AP370" s="38"/>
      <c r="AQ370" s="38"/>
      <c r="AR370" s="38"/>
      <c r="AS370" s="38" t="s">
        <v>47</v>
      </c>
      <c r="AT370" s="38" t="s">
        <v>47</v>
      </c>
      <c r="AU370" s="38" t="s">
        <v>47</v>
      </c>
      <c r="AV370" s="38"/>
      <c r="AW370" s="38" t="s">
        <v>47</v>
      </c>
      <c r="AX370" s="38"/>
      <c r="AY370" s="38" t="s">
        <v>47</v>
      </c>
      <c r="AZ370" s="38"/>
      <c r="BA370" s="38"/>
      <c r="BB370" s="38" t="s">
        <v>47</v>
      </c>
      <c r="BC370" s="38" t="s">
        <v>47</v>
      </c>
      <c r="BD370" s="38"/>
      <c r="BE370" s="77">
        <f t="shared" si="26"/>
        <v>7</v>
      </c>
      <c r="BF370" s="38"/>
    </row>
    <row r="371" spans="1:58" ht="22.5" hidden="1" customHeight="1">
      <c r="A371" s="33" t="str">
        <f>IF(OR(ISBLANK(E371),ISBLANK(C371)),"",IF(COUNTIF($E$8:E371,E371)&gt;1,"",(MAX($A$7:A370)+1)))</f>
        <v/>
      </c>
      <c r="B371" s="34">
        <f>IF(ISBLANK(C371),"",SUBTOTAL(3,$C$8:C371))</f>
        <v>44</v>
      </c>
      <c r="C371" s="78" t="s">
        <v>820</v>
      </c>
      <c r="D371" s="50" t="s">
        <v>821</v>
      </c>
      <c r="E371" s="50" t="s">
        <v>760</v>
      </c>
      <c r="F371" s="35" t="str">
        <f t="shared" si="24"/>
        <v/>
      </c>
      <c r="G371" s="36" t="str">
        <f t="shared" si="25"/>
        <v>A</v>
      </c>
      <c r="H371" s="51">
        <f t="shared" si="27"/>
        <v>4</v>
      </c>
      <c r="I371" s="51">
        <f t="shared" si="27"/>
        <v>3</v>
      </c>
      <c r="J371" s="51" t="str">
        <f t="shared" si="27"/>
        <v/>
      </c>
      <c r="K371" s="37" t="s">
        <v>47</v>
      </c>
      <c r="L371" s="37"/>
      <c r="M371" s="37"/>
      <c r="N371" s="37" t="s">
        <v>47</v>
      </c>
      <c r="O371" s="37"/>
      <c r="P371" s="37"/>
      <c r="Q371" s="37"/>
      <c r="R371" s="37" t="s">
        <v>47</v>
      </c>
      <c r="S371" s="37"/>
      <c r="T371" s="37" t="s">
        <v>47</v>
      </c>
      <c r="U371" s="37"/>
      <c r="V371" s="37"/>
      <c r="W371" s="37" t="s">
        <v>47</v>
      </c>
      <c r="X371" s="37"/>
      <c r="Y371" s="37"/>
      <c r="Z371" s="37"/>
      <c r="AA371" s="37" t="s">
        <v>47</v>
      </c>
      <c r="AB371" s="37"/>
      <c r="AC371" s="37"/>
      <c r="AD371" s="37" t="s">
        <v>47</v>
      </c>
      <c r="AE371" s="37"/>
      <c r="AF371" s="37"/>
      <c r="AG371" s="37"/>
      <c r="AH371" s="37"/>
      <c r="AI371" s="37"/>
      <c r="AJ371" s="37"/>
      <c r="AK371" s="37"/>
      <c r="AM371" s="38"/>
      <c r="AN371" s="38"/>
      <c r="AO371" s="38"/>
      <c r="AP371" s="38"/>
      <c r="AQ371" s="38" t="s">
        <v>47</v>
      </c>
      <c r="AR371" s="38" t="s">
        <v>47</v>
      </c>
      <c r="AS371" s="38" t="s">
        <v>47</v>
      </c>
      <c r="AT371" s="38"/>
      <c r="AU371" s="38"/>
      <c r="AV371" s="38" t="s">
        <v>47</v>
      </c>
      <c r="AW371" s="38" t="s">
        <v>47</v>
      </c>
      <c r="AX371" s="38"/>
      <c r="AY371" s="38" t="s">
        <v>47</v>
      </c>
      <c r="AZ371" s="38"/>
      <c r="BA371" s="38" t="s">
        <v>47</v>
      </c>
      <c r="BB371" s="38" t="s">
        <v>47</v>
      </c>
      <c r="BC371" s="38" t="s">
        <v>47</v>
      </c>
      <c r="BD371" s="38"/>
      <c r="BE371" s="77">
        <f t="shared" si="26"/>
        <v>9</v>
      </c>
      <c r="BF371" s="38"/>
    </row>
    <row r="372" spans="1:58" ht="22.5" hidden="1" customHeight="1">
      <c r="A372" s="33" t="str">
        <f>IF(OR(ISBLANK(E372),ISBLANK(C372)),"",IF(COUNTIF($E$8:E372,E372)&gt;1,"",(MAX($A$7:A371)+1)))</f>
        <v/>
      </c>
      <c r="B372" s="34">
        <f>IF(ISBLANK(C372),"",SUBTOTAL(3,$C$8:C372))</f>
        <v>44</v>
      </c>
      <c r="C372" s="78" t="s">
        <v>822</v>
      </c>
      <c r="D372" s="50" t="s">
        <v>823</v>
      </c>
      <c r="E372" s="50" t="s">
        <v>760</v>
      </c>
      <c r="F372" s="35" t="str">
        <f t="shared" si="24"/>
        <v/>
      </c>
      <c r="G372" s="36" t="str">
        <f t="shared" si="25"/>
        <v>A</v>
      </c>
      <c r="H372" s="51">
        <f t="shared" si="27"/>
        <v>4</v>
      </c>
      <c r="I372" s="51">
        <f t="shared" si="27"/>
        <v>2</v>
      </c>
      <c r="J372" s="51">
        <f t="shared" si="27"/>
        <v>1</v>
      </c>
      <c r="K372" s="37" t="s">
        <v>47</v>
      </c>
      <c r="L372" s="37"/>
      <c r="M372" s="37"/>
      <c r="N372" s="37" t="s">
        <v>47</v>
      </c>
      <c r="O372" s="37"/>
      <c r="P372" s="37"/>
      <c r="Q372" s="37" t="s">
        <v>47</v>
      </c>
      <c r="R372" s="37"/>
      <c r="S372" s="37"/>
      <c r="T372" s="37"/>
      <c r="U372" s="37" t="s">
        <v>47</v>
      </c>
      <c r="V372" s="37"/>
      <c r="W372" s="37"/>
      <c r="X372" s="37" t="s">
        <v>47</v>
      </c>
      <c r="Y372" s="37"/>
      <c r="Z372" s="37"/>
      <c r="AA372" s="37"/>
      <c r="AB372" s="37" t="s">
        <v>47</v>
      </c>
      <c r="AC372" s="37" t="s">
        <v>47</v>
      </c>
      <c r="AD372" s="37"/>
      <c r="AE372" s="37"/>
      <c r="AF372" s="37"/>
      <c r="AG372" s="37"/>
      <c r="AH372" s="37"/>
      <c r="AI372" s="37"/>
      <c r="AJ372" s="37"/>
      <c r="AK372" s="37"/>
      <c r="AM372" s="38"/>
      <c r="AN372" s="38"/>
      <c r="AO372" s="38"/>
      <c r="AP372" s="38"/>
      <c r="AQ372" s="38" t="s">
        <v>47</v>
      </c>
      <c r="AR372" s="38"/>
      <c r="AS372" s="38" t="s">
        <v>47</v>
      </c>
      <c r="AT372" s="38" t="s">
        <v>47</v>
      </c>
      <c r="AU372" s="38" t="s">
        <v>47</v>
      </c>
      <c r="AV372" s="38"/>
      <c r="AW372" s="38" t="s">
        <v>47</v>
      </c>
      <c r="AX372" s="38" t="s">
        <v>47</v>
      </c>
      <c r="AY372" s="38" t="s">
        <v>47</v>
      </c>
      <c r="AZ372" s="38"/>
      <c r="BA372" s="38" t="s">
        <v>47</v>
      </c>
      <c r="BB372" s="38" t="s">
        <v>47</v>
      </c>
      <c r="BC372" s="38" t="s">
        <v>47</v>
      </c>
      <c r="BD372" s="38"/>
      <c r="BE372" s="77">
        <f t="shared" si="26"/>
        <v>10</v>
      </c>
      <c r="BF372" s="38"/>
    </row>
    <row r="373" spans="1:58" ht="22.5" hidden="1" customHeight="1">
      <c r="A373" s="33" t="str">
        <f>IF(OR(ISBLANK(E373),ISBLANK(C373)),"",IF(COUNTIF($E$8:E373,E373)&gt;1,"",(MAX($A$7:A372)+1)))</f>
        <v/>
      </c>
      <c r="B373" s="34">
        <f>IF(ISBLANK(C373),"",SUBTOTAL(3,$C$8:C373))</f>
        <v>44</v>
      </c>
      <c r="C373" s="78" t="s">
        <v>824</v>
      </c>
      <c r="D373" s="50" t="s">
        <v>825</v>
      </c>
      <c r="E373" s="50" t="s">
        <v>760</v>
      </c>
      <c r="F373" s="35" t="str">
        <f t="shared" si="24"/>
        <v/>
      </c>
      <c r="G373" s="36" t="str">
        <f t="shared" si="25"/>
        <v>A</v>
      </c>
      <c r="H373" s="51">
        <f t="shared" si="27"/>
        <v>4</v>
      </c>
      <c r="I373" s="51" t="str">
        <f t="shared" si="27"/>
        <v/>
      </c>
      <c r="J373" s="51" t="str">
        <f t="shared" si="27"/>
        <v/>
      </c>
      <c r="K373" s="37" t="s">
        <v>47</v>
      </c>
      <c r="L373" s="37"/>
      <c r="M373" s="37"/>
      <c r="N373" s="37" t="s">
        <v>47</v>
      </c>
      <c r="O373" s="37"/>
      <c r="P373" s="37"/>
      <c r="Q373" s="37" t="s">
        <v>47</v>
      </c>
      <c r="R373" s="37"/>
      <c r="S373" s="37"/>
      <c r="T373" s="37" t="s">
        <v>47</v>
      </c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7"/>
      <c r="AK373" s="37"/>
      <c r="AM373" s="38"/>
      <c r="AN373" s="38"/>
      <c r="AO373" s="38"/>
      <c r="AP373" s="38"/>
      <c r="AQ373" s="38" t="s">
        <v>47</v>
      </c>
      <c r="AR373" s="38" t="s">
        <v>47</v>
      </c>
      <c r="AS373" s="38" t="s">
        <v>47</v>
      </c>
      <c r="AT373" s="38" t="s">
        <v>47</v>
      </c>
      <c r="AU373" s="38"/>
      <c r="AV373" s="38"/>
      <c r="AW373" s="38" t="s">
        <v>47</v>
      </c>
      <c r="AX373" s="38"/>
      <c r="AY373" s="38" t="s">
        <v>47</v>
      </c>
      <c r="AZ373" s="38"/>
      <c r="BA373" s="38" t="s">
        <v>47</v>
      </c>
      <c r="BB373" s="38" t="s">
        <v>47</v>
      </c>
      <c r="BC373" s="38" t="s">
        <v>47</v>
      </c>
      <c r="BD373" s="38"/>
      <c r="BE373" s="77">
        <f t="shared" si="26"/>
        <v>9</v>
      </c>
      <c r="BF373" s="38"/>
    </row>
    <row r="374" spans="1:58" ht="22.5" hidden="1" customHeight="1">
      <c r="A374" s="33" t="str">
        <f>IF(OR(ISBLANK(E374),ISBLANK(C374)),"",IF(COUNTIF($E$8:E374,E374)&gt;1,"",(MAX($A$7:A373)+1)))</f>
        <v/>
      </c>
      <c r="B374" s="34">
        <f>IF(ISBLANK(C374),"",SUBTOTAL(3,$C$8:C374))</f>
        <v>44</v>
      </c>
      <c r="C374" s="78" t="s">
        <v>826</v>
      </c>
      <c r="D374" s="50" t="s">
        <v>827</v>
      </c>
      <c r="E374" s="50" t="s">
        <v>760</v>
      </c>
      <c r="F374" s="35" t="str">
        <f t="shared" si="24"/>
        <v/>
      </c>
      <c r="G374" s="36" t="str">
        <f t="shared" si="25"/>
        <v>C</v>
      </c>
      <c r="H374" s="51" t="str">
        <f t="shared" si="27"/>
        <v/>
      </c>
      <c r="I374" s="51">
        <f t="shared" si="27"/>
        <v>2</v>
      </c>
      <c r="J374" s="51">
        <f t="shared" si="27"/>
        <v>5</v>
      </c>
      <c r="K374" s="37"/>
      <c r="L374" s="37" t="s">
        <v>47</v>
      </c>
      <c r="M374" s="37"/>
      <c r="N374" s="37"/>
      <c r="O374" s="37" t="s">
        <v>47</v>
      </c>
      <c r="P374" s="37"/>
      <c r="Q374" s="37"/>
      <c r="R374" s="37"/>
      <c r="S374" s="37" t="s">
        <v>47</v>
      </c>
      <c r="T374" s="37"/>
      <c r="U374" s="37"/>
      <c r="V374" s="37" t="s">
        <v>47</v>
      </c>
      <c r="W374" s="37"/>
      <c r="X374" s="37"/>
      <c r="Y374" s="37" t="s">
        <v>47</v>
      </c>
      <c r="Z374" s="37"/>
      <c r="AA374" s="37"/>
      <c r="AB374" s="37" t="s">
        <v>47</v>
      </c>
      <c r="AC374" s="37"/>
      <c r="AD374" s="37"/>
      <c r="AE374" s="37" t="s">
        <v>47</v>
      </c>
      <c r="AF374" s="37"/>
      <c r="AG374" s="37"/>
      <c r="AH374" s="37"/>
      <c r="AI374" s="37"/>
      <c r="AJ374" s="37"/>
      <c r="AK374" s="37"/>
      <c r="AM374" s="38" t="s">
        <v>47</v>
      </c>
      <c r="AN374" s="38" t="s">
        <v>47</v>
      </c>
      <c r="AO374" s="38"/>
      <c r="AP374" s="38"/>
      <c r="AQ374" s="38" t="s">
        <v>47</v>
      </c>
      <c r="AR374" s="38" t="s">
        <v>47</v>
      </c>
      <c r="AS374" s="38" t="s">
        <v>47</v>
      </c>
      <c r="AT374" s="38"/>
      <c r="AU374" s="38"/>
      <c r="AV374" s="38"/>
      <c r="AW374" s="38"/>
      <c r="AX374" s="38"/>
      <c r="AY374" s="38"/>
      <c r="AZ374" s="38"/>
      <c r="BA374" s="38"/>
      <c r="BB374" s="38"/>
      <c r="BC374" s="38"/>
      <c r="BD374" s="38"/>
      <c r="BE374" s="77">
        <f t="shared" si="26"/>
        <v>5</v>
      </c>
      <c r="BF374" s="38"/>
    </row>
    <row r="375" spans="1:58" ht="22.5" hidden="1" customHeight="1">
      <c r="A375" s="33" t="str">
        <f>IF(OR(ISBLANK(E375),ISBLANK(C375)),"",IF(COUNTIF($E$8:E375,E375)&gt;1,"",(MAX($A$7:A374)+1)))</f>
        <v/>
      </c>
      <c r="B375" s="34">
        <f>IF(ISBLANK(C375),"",SUBTOTAL(3,$C$8:C375))</f>
        <v>44</v>
      </c>
      <c r="C375" s="78" t="s">
        <v>828</v>
      </c>
      <c r="D375" s="50" t="s">
        <v>829</v>
      </c>
      <c r="E375" s="50" t="s">
        <v>760</v>
      </c>
      <c r="F375" s="35" t="str">
        <f t="shared" si="24"/>
        <v/>
      </c>
      <c r="G375" s="36" t="str">
        <f t="shared" si="25"/>
        <v>C</v>
      </c>
      <c r="H375" s="51" t="str">
        <f t="shared" si="27"/>
        <v/>
      </c>
      <c r="I375" s="51">
        <f t="shared" si="27"/>
        <v>2</v>
      </c>
      <c r="J375" s="51">
        <f t="shared" si="27"/>
        <v>4</v>
      </c>
      <c r="K375" s="37"/>
      <c r="L375" s="37" t="s">
        <v>47</v>
      </c>
      <c r="M375" s="37"/>
      <c r="N375" s="37"/>
      <c r="O375" s="37" t="s">
        <v>47</v>
      </c>
      <c r="P375" s="37"/>
      <c r="Q375" s="37"/>
      <c r="R375" s="37"/>
      <c r="S375" s="37" t="s">
        <v>47</v>
      </c>
      <c r="T375" s="37"/>
      <c r="U375" s="37"/>
      <c r="V375" s="37"/>
      <c r="W375" s="37"/>
      <c r="X375" s="37"/>
      <c r="Y375" s="37" t="s">
        <v>47</v>
      </c>
      <c r="Z375" s="37"/>
      <c r="AA375" s="37"/>
      <c r="AB375" s="37" t="s">
        <v>47</v>
      </c>
      <c r="AC375" s="37"/>
      <c r="AD375" s="37"/>
      <c r="AE375" s="37" t="s">
        <v>47</v>
      </c>
      <c r="AF375" s="37"/>
      <c r="AG375" s="37"/>
      <c r="AH375" s="37"/>
      <c r="AI375" s="37"/>
      <c r="AJ375" s="37"/>
      <c r="AK375" s="37"/>
      <c r="AM375" s="38" t="s">
        <v>47</v>
      </c>
      <c r="AN375" s="38" t="s">
        <v>47</v>
      </c>
      <c r="AO375" s="38"/>
      <c r="AP375" s="38"/>
      <c r="AQ375" s="38" t="s">
        <v>47</v>
      </c>
      <c r="AR375" s="38" t="s">
        <v>47</v>
      </c>
      <c r="AS375" s="38" t="s">
        <v>47</v>
      </c>
      <c r="AT375" s="38"/>
      <c r="AU375" s="38"/>
      <c r="AV375" s="38"/>
      <c r="AW375" s="38"/>
      <c r="AX375" s="38"/>
      <c r="AY375" s="38"/>
      <c r="AZ375" s="38"/>
      <c r="BA375" s="38"/>
      <c r="BB375" s="38"/>
      <c r="BC375" s="38"/>
      <c r="BD375" s="38"/>
      <c r="BE375" s="77">
        <f t="shared" si="26"/>
        <v>5</v>
      </c>
      <c r="BF375" s="38"/>
    </row>
    <row r="376" spans="1:58" ht="22.5" hidden="1" customHeight="1">
      <c r="A376" s="33" t="str">
        <f>IF(OR(ISBLANK(E376),ISBLANK(C376)),"",IF(COUNTIF($E$8:E376,E376)&gt;1,"",(MAX($A$7:A375)+1)))</f>
        <v/>
      </c>
      <c r="B376" s="34">
        <f>IF(ISBLANK(C376),"",SUBTOTAL(3,$C$8:C376))</f>
        <v>44</v>
      </c>
      <c r="C376" s="78" t="s">
        <v>830</v>
      </c>
      <c r="D376" s="50" t="s">
        <v>831</v>
      </c>
      <c r="E376" s="50" t="s">
        <v>760</v>
      </c>
      <c r="F376" s="35" t="str">
        <f t="shared" si="24"/>
        <v/>
      </c>
      <c r="G376" s="36" t="str">
        <f t="shared" si="25"/>
        <v>D</v>
      </c>
      <c r="H376" s="51" t="str">
        <f t="shared" si="27"/>
        <v/>
      </c>
      <c r="I376" s="51">
        <f t="shared" si="27"/>
        <v>1</v>
      </c>
      <c r="J376" s="51">
        <f t="shared" si="27"/>
        <v>3</v>
      </c>
      <c r="K376" s="37"/>
      <c r="L376" s="37" t="s">
        <v>47</v>
      </c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 t="s">
        <v>47</v>
      </c>
      <c r="Z376" s="37"/>
      <c r="AA376" s="37"/>
      <c r="AB376" s="37" t="s">
        <v>47</v>
      </c>
      <c r="AC376" s="37"/>
      <c r="AD376" s="37"/>
      <c r="AE376" s="37" t="s">
        <v>47</v>
      </c>
      <c r="AF376" s="37"/>
      <c r="AG376" s="37"/>
      <c r="AH376" s="37"/>
      <c r="AI376" s="37"/>
      <c r="AJ376" s="37"/>
      <c r="AK376" s="37"/>
      <c r="AM376" s="38"/>
      <c r="AN376" s="38" t="s">
        <v>47</v>
      </c>
      <c r="AO376" s="38"/>
      <c r="AP376" s="38"/>
      <c r="AQ376" s="38"/>
      <c r="AR376" s="38" t="s">
        <v>47</v>
      </c>
      <c r="AS376" s="38" t="s">
        <v>47</v>
      </c>
      <c r="AT376" s="38"/>
      <c r="AU376" s="38"/>
      <c r="AV376" s="38"/>
      <c r="AW376" s="38"/>
      <c r="AX376" s="38"/>
      <c r="AY376" s="38"/>
      <c r="AZ376" s="38"/>
      <c r="BA376" s="38"/>
      <c r="BB376" s="38"/>
      <c r="BC376" s="38"/>
      <c r="BD376" s="38"/>
      <c r="BE376" s="77">
        <f t="shared" si="26"/>
        <v>3</v>
      </c>
      <c r="BF376" s="38"/>
    </row>
    <row r="377" spans="1:58" ht="22.5" hidden="1" customHeight="1">
      <c r="A377" s="33" t="str">
        <f>IF(OR(ISBLANK(E377),ISBLANK(C377)),"",IF(COUNTIF($E$8:E377,E377)&gt;1,"",(MAX($A$7:A376)+1)))</f>
        <v/>
      </c>
      <c r="B377" s="34">
        <f>IF(ISBLANK(C377),"",SUBTOTAL(3,$C$8:C377))</f>
        <v>44</v>
      </c>
      <c r="C377" s="78" t="s">
        <v>832</v>
      </c>
      <c r="D377" s="50" t="s">
        <v>833</v>
      </c>
      <c r="E377" s="50" t="s">
        <v>760</v>
      </c>
      <c r="F377" s="35" t="str">
        <f t="shared" si="24"/>
        <v/>
      </c>
      <c r="G377" s="36" t="str">
        <f t="shared" si="25"/>
        <v>C</v>
      </c>
      <c r="H377" s="51">
        <f t="shared" si="27"/>
        <v>1</v>
      </c>
      <c r="I377" s="51" t="str">
        <f t="shared" si="27"/>
        <v/>
      </c>
      <c r="J377" s="51">
        <f t="shared" si="27"/>
        <v>6</v>
      </c>
      <c r="K377" s="37"/>
      <c r="L377" s="37"/>
      <c r="M377" s="37" t="s">
        <v>47</v>
      </c>
      <c r="N377" s="37"/>
      <c r="O377" s="37"/>
      <c r="P377" s="37" t="s">
        <v>47</v>
      </c>
      <c r="Q377" s="37" t="s">
        <v>47</v>
      </c>
      <c r="R377" s="37"/>
      <c r="S377" s="37"/>
      <c r="T377" s="37"/>
      <c r="U377" s="37"/>
      <c r="V377" s="37" t="s">
        <v>47</v>
      </c>
      <c r="W377" s="37"/>
      <c r="X377" s="37"/>
      <c r="Y377" s="37" t="s">
        <v>47</v>
      </c>
      <c r="Z377" s="37"/>
      <c r="AA377" s="37"/>
      <c r="AB377" s="37" t="s">
        <v>47</v>
      </c>
      <c r="AC377" s="37"/>
      <c r="AD377" s="37"/>
      <c r="AE377" s="37" t="s">
        <v>47</v>
      </c>
      <c r="AF377" s="37"/>
      <c r="AG377" s="37"/>
      <c r="AH377" s="37"/>
      <c r="AI377" s="37"/>
      <c r="AJ377" s="37"/>
      <c r="AK377" s="37"/>
      <c r="AM377" s="38"/>
      <c r="AN377" s="38"/>
      <c r="AO377" s="38"/>
      <c r="AP377" s="38"/>
      <c r="AQ377" s="38"/>
      <c r="AR377" s="38"/>
      <c r="AS377" s="38" t="s">
        <v>47</v>
      </c>
      <c r="AT377" s="38"/>
      <c r="AU377" s="38"/>
      <c r="AV377" s="38" t="s">
        <v>47</v>
      </c>
      <c r="AW377" s="38"/>
      <c r="AX377" s="38"/>
      <c r="AY377" s="38"/>
      <c r="AZ377" s="38"/>
      <c r="BA377" s="38"/>
      <c r="BB377" s="38"/>
      <c r="BC377" s="38"/>
      <c r="BD377" s="38"/>
      <c r="BE377" s="77">
        <f t="shared" si="26"/>
        <v>2</v>
      </c>
      <c r="BF377" s="38"/>
    </row>
    <row r="378" spans="1:58" ht="22.5" hidden="1" customHeight="1">
      <c r="A378" s="33" t="str">
        <f>IF(OR(ISBLANK(E378),ISBLANK(C378)),"",IF(COUNTIF($E$8:E378,E378)&gt;1,"",(MAX($A$7:A377)+1)))</f>
        <v/>
      </c>
      <c r="B378" s="34">
        <f>IF(ISBLANK(C378),"",SUBTOTAL(3,$C$8:C378))</f>
        <v>44</v>
      </c>
      <c r="C378" s="78" t="s">
        <v>834</v>
      </c>
      <c r="D378" s="50" t="s">
        <v>835</v>
      </c>
      <c r="E378" s="50" t="s">
        <v>760</v>
      </c>
      <c r="F378" s="35" t="str">
        <f t="shared" si="24"/>
        <v/>
      </c>
      <c r="G378" s="36" t="str">
        <f t="shared" si="25"/>
        <v>C</v>
      </c>
      <c r="H378" s="51">
        <f t="shared" si="27"/>
        <v>1</v>
      </c>
      <c r="I378" s="51">
        <f t="shared" si="27"/>
        <v>1</v>
      </c>
      <c r="J378" s="51">
        <f t="shared" si="27"/>
        <v>3</v>
      </c>
      <c r="K378" s="37"/>
      <c r="L378" s="37" t="s">
        <v>47</v>
      </c>
      <c r="M378" s="37"/>
      <c r="N378" s="37"/>
      <c r="O378" s="37"/>
      <c r="P378" s="37"/>
      <c r="Q378" s="37" t="s">
        <v>47</v>
      </c>
      <c r="R378" s="37"/>
      <c r="S378" s="37"/>
      <c r="T378" s="37"/>
      <c r="U378" s="37"/>
      <c r="V378" s="37"/>
      <c r="W378" s="37"/>
      <c r="X378" s="37"/>
      <c r="Y378" s="37" t="s">
        <v>47</v>
      </c>
      <c r="Z378" s="37"/>
      <c r="AA378" s="37"/>
      <c r="AB378" s="37" t="s">
        <v>47</v>
      </c>
      <c r="AC378" s="37"/>
      <c r="AD378" s="37"/>
      <c r="AE378" s="37" t="s">
        <v>47</v>
      </c>
      <c r="AF378" s="37"/>
      <c r="AG378" s="37"/>
      <c r="AH378" s="37"/>
      <c r="AI378" s="37"/>
      <c r="AJ378" s="37"/>
      <c r="AK378" s="37"/>
      <c r="AM378" s="38" t="s">
        <v>47</v>
      </c>
      <c r="AN378" s="38" t="s">
        <v>47</v>
      </c>
      <c r="AO378" s="38"/>
      <c r="AP378" s="38"/>
      <c r="AQ378" s="38"/>
      <c r="AR378" s="38" t="s">
        <v>47</v>
      </c>
      <c r="AS378" s="38" t="s">
        <v>47</v>
      </c>
      <c r="AT378" s="38"/>
      <c r="AU378" s="38"/>
      <c r="AV378" s="38"/>
      <c r="AW378" s="38"/>
      <c r="AX378" s="38"/>
      <c r="AY378" s="38"/>
      <c r="AZ378" s="38"/>
      <c r="BA378" s="38"/>
      <c r="BB378" s="38"/>
      <c r="BC378" s="38"/>
      <c r="BD378" s="38"/>
      <c r="BE378" s="77">
        <f t="shared" si="26"/>
        <v>4</v>
      </c>
      <c r="BF378" s="38"/>
    </row>
    <row r="379" spans="1:58" ht="22.5" hidden="1" customHeight="1">
      <c r="A379" s="33" t="str">
        <f>IF(OR(ISBLANK(E379),ISBLANK(C379)),"",IF(COUNTIF($E$8:E379,E379)&gt;1,"",(MAX($A$7:A378)+1)))</f>
        <v/>
      </c>
      <c r="B379" s="34">
        <f>IF(ISBLANK(C379),"",SUBTOTAL(3,$C$8:C379))</f>
        <v>44</v>
      </c>
      <c r="C379" s="78" t="s">
        <v>836</v>
      </c>
      <c r="D379" s="50" t="s">
        <v>837</v>
      </c>
      <c r="E379" s="50" t="s">
        <v>760</v>
      </c>
      <c r="F379" s="35" t="str">
        <f t="shared" si="24"/>
        <v/>
      </c>
      <c r="G379" s="36" t="str">
        <f t="shared" si="25"/>
        <v>A</v>
      </c>
      <c r="H379" s="51">
        <f t="shared" si="27"/>
        <v>5</v>
      </c>
      <c r="I379" s="51">
        <f t="shared" si="27"/>
        <v>3</v>
      </c>
      <c r="J379" s="51" t="str">
        <f t="shared" si="27"/>
        <v/>
      </c>
      <c r="K379" s="37" t="s">
        <v>47</v>
      </c>
      <c r="L379" s="37"/>
      <c r="M379" s="37"/>
      <c r="N379" s="37" t="s">
        <v>47</v>
      </c>
      <c r="O379" s="37"/>
      <c r="P379" s="37"/>
      <c r="Q379" s="37" t="s">
        <v>47</v>
      </c>
      <c r="R379" s="37"/>
      <c r="S379" s="37"/>
      <c r="T379" s="37" t="s">
        <v>47</v>
      </c>
      <c r="U379" s="37"/>
      <c r="V379" s="37"/>
      <c r="W379" s="37"/>
      <c r="X379" s="37" t="s">
        <v>47</v>
      </c>
      <c r="Y379" s="37"/>
      <c r="Z379" s="37"/>
      <c r="AA379" s="37" t="s">
        <v>47</v>
      </c>
      <c r="AB379" s="37"/>
      <c r="AC379" s="37" t="s">
        <v>47</v>
      </c>
      <c r="AD379" s="37"/>
      <c r="AE379" s="37"/>
      <c r="AF379" s="37"/>
      <c r="AG379" s="37" t="s">
        <v>47</v>
      </c>
      <c r="AH379" s="37"/>
      <c r="AI379" s="37"/>
      <c r="AJ379" s="37"/>
      <c r="AK379" s="37"/>
      <c r="AM379" s="38"/>
      <c r="AN379" s="38"/>
      <c r="AO379" s="38"/>
      <c r="AP379" s="38"/>
      <c r="AQ379" s="38"/>
      <c r="AR379" s="38"/>
      <c r="AS379" s="38"/>
      <c r="AT379" s="38"/>
      <c r="AU379" s="38"/>
      <c r="AV379" s="38"/>
      <c r="AW379" s="38"/>
      <c r="AX379" s="38"/>
      <c r="AY379" s="38"/>
      <c r="AZ379" s="38"/>
      <c r="BA379" s="38"/>
      <c r="BB379" s="38"/>
      <c r="BC379" s="38"/>
      <c r="BD379" s="38" t="s">
        <v>47</v>
      </c>
      <c r="BE379" s="77">
        <f t="shared" si="26"/>
        <v>1</v>
      </c>
      <c r="BF379" s="38"/>
    </row>
    <row r="380" spans="1:58" ht="22.5" hidden="1" customHeight="1">
      <c r="A380" s="33" t="str">
        <f>IF(OR(ISBLANK(E380),ISBLANK(C380)),"",IF(COUNTIF($E$8:E380,E380)&gt;1,"",(MAX($A$7:A379)+1)))</f>
        <v/>
      </c>
      <c r="B380" s="34">
        <f>IF(ISBLANK(C380),"",SUBTOTAL(3,$C$8:C380))</f>
        <v>44</v>
      </c>
      <c r="C380" s="78" t="s">
        <v>838</v>
      </c>
      <c r="D380" s="50" t="s">
        <v>839</v>
      </c>
      <c r="E380" s="50" t="s">
        <v>760</v>
      </c>
      <c r="F380" s="35" t="str">
        <f t="shared" si="24"/>
        <v/>
      </c>
      <c r="G380" s="36" t="str">
        <f t="shared" si="25"/>
        <v>D</v>
      </c>
      <c r="H380" s="51" t="str">
        <f t="shared" si="27"/>
        <v/>
      </c>
      <c r="I380" s="51">
        <f t="shared" si="27"/>
        <v>1</v>
      </c>
      <c r="J380" s="51">
        <f t="shared" si="27"/>
        <v>7</v>
      </c>
      <c r="K380" s="37"/>
      <c r="L380" s="37" t="s">
        <v>47</v>
      </c>
      <c r="M380" s="37"/>
      <c r="N380" s="37"/>
      <c r="O380" s="37"/>
      <c r="P380" s="37" t="s">
        <v>47</v>
      </c>
      <c r="Q380" s="37"/>
      <c r="R380" s="37"/>
      <c r="S380" s="37" t="s">
        <v>47</v>
      </c>
      <c r="T380" s="37"/>
      <c r="U380" s="37"/>
      <c r="V380" s="37" t="s">
        <v>47</v>
      </c>
      <c r="W380" s="37"/>
      <c r="X380" s="37"/>
      <c r="Y380" s="37" t="s">
        <v>47</v>
      </c>
      <c r="Z380" s="37"/>
      <c r="AA380" s="37"/>
      <c r="AB380" s="37" t="s">
        <v>47</v>
      </c>
      <c r="AC380" s="37"/>
      <c r="AD380" s="37"/>
      <c r="AE380" s="37" t="s">
        <v>47</v>
      </c>
      <c r="AF380" s="37"/>
      <c r="AG380" s="37"/>
      <c r="AH380" s="37" t="s">
        <v>47</v>
      </c>
      <c r="AI380" s="37"/>
      <c r="AJ380" s="37"/>
      <c r="AK380" s="37"/>
      <c r="AM380" s="38" t="s">
        <v>47</v>
      </c>
      <c r="AN380" s="38" t="s">
        <v>47</v>
      </c>
      <c r="AO380" s="38"/>
      <c r="AP380" s="38"/>
      <c r="AQ380" s="38"/>
      <c r="AR380" s="38"/>
      <c r="AS380" s="38" t="s">
        <v>47</v>
      </c>
      <c r="AT380" s="38"/>
      <c r="AU380" s="38"/>
      <c r="AV380" s="38"/>
      <c r="AW380" s="38"/>
      <c r="AX380" s="38"/>
      <c r="AY380" s="38"/>
      <c r="AZ380" s="38"/>
      <c r="BA380" s="38"/>
      <c r="BB380" s="38"/>
      <c r="BC380" s="38"/>
      <c r="BD380" s="38"/>
      <c r="BE380" s="77">
        <f t="shared" si="26"/>
        <v>3</v>
      </c>
      <c r="BF380" s="38"/>
    </row>
    <row r="381" spans="1:58" ht="22.5" hidden="1" customHeight="1">
      <c r="A381" s="33">
        <f>IF(OR(ISBLANK(E381),ISBLANK(C381)),"",IF(COUNTIF($E$8:E381,E381)&gt;1,"",(MAX($A$7:A380)+1)))</f>
        <v>10</v>
      </c>
      <c r="B381" s="34">
        <f>IF(ISBLANK(C381),"",SUBTOTAL(3,$C$8:C381))</f>
        <v>44</v>
      </c>
      <c r="C381" s="78" t="s">
        <v>840</v>
      </c>
      <c r="D381" s="50" t="s">
        <v>841</v>
      </c>
      <c r="E381" s="50" t="s">
        <v>842</v>
      </c>
      <c r="F381" s="35" t="str">
        <f t="shared" si="24"/>
        <v/>
      </c>
      <c r="G381" s="36" t="str">
        <f t="shared" si="25"/>
        <v/>
      </c>
      <c r="H381" s="51" t="str">
        <f t="shared" si="27"/>
        <v/>
      </c>
      <c r="I381" s="51" t="str">
        <f t="shared" si="27"/>
        <v/>
      </c>
      <c r="J381" s="51" t="str">
        <f t="shared" si="27"/>
        <v/>
      </c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M381" s="38"/>
      <c r="AN381" s="38"/>
      <c r="AO381" s="38"/>
      <c r="AP381" s="38"/>
      <c r="AQ381" s="38"/>
      <c r="AR381" s="38"/>
      <c r="AS381" s="38"/>
      <c r="AT381" s="38"/>
      <c r="AU381" s="38"/>
      <c r="AV381" s="38"/>
      <c r="AW381" s="38"/>
      <c r="AX381" s="38"/>
      <c r="AY381" s="38"/>
      <c r="AZ381" s="38"/>
      <c r="BA381" s="38"/>
      <c r="BB381" s="38"/>
      <c r="BC381" s="38"/>
      <c r="BD381" s="38"/>
      <c r="BE381" s="77">
        <f t="shared" si="26"/>
        <v>0</v>
      </c>
      <c r="BF381" s="38"/>
    </row>
    <row r="382" spans="1:58" ht="22.5" hidden="1" customHeight="1">
      <c r="A382" s="33" t="str">
        <f>IF(OR(ISBLANK(E382),ISBLANK(C382)),"",IF(COUNTIF($E$8:E382,E382)&gt;1,"",(MAX($A$7:A381)+1)))</f>
        <v/>
      </c>
      <c r="B382" s="34">
        <f>IF(ISBLANK(C382),"",SUBTOTAL(3,$C$8:C382))</f>
        <v>44</v>
      </c>
      <c r="C382" s="78" t="s">
        <v>843</v>
      </c>
      <c r="D382" s="50" t="s">
        <v>844</v>
      </c>
      <c r="E382" s="50" t="s">
        <v>842</v>
      </c>
      <c r="F382" s="35" t="str">
        <f t="shared" si="24"/>
        <v/>
      </c>
      <c r="G382" s="36" t="str">
        <f t="shared" si="25"/>
        <v/>
      </c>
      <c r="H382" s="51" t="str">
        <f t="shared" si="27"/>
        <v/>
      </c>
      <c r="I382" s="51" t="str">
        <f t="shared" si="27"/>
        <v/>
      </c>
      <c r="J382" s="51" t="str">
        <f t="shared" si="27"/>
        <v/>
      </c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M382" s="38"/>
      <c r="AN382" s="38"/>
      <c r="AO382" s="38"/>
      <c r="AP382" s="38"/>
      <c r="AQ382" s="38"/>
      <c r="AR382" s="38"/>
      <c r="AS382" s="38"/>
      <c r="AT382" s="38"/>
      <c r="AU382" s="38"/>
      <c r="AV382" s="38"/>
      <c r="AW382" s="38"/>
      <c r="AX382" s="38"/>
      <c r="AY382" s="38"/>
      <c r="AZ382" s="38"/>
      <c r="BA382" s="38"/>
      <c r="BB382" s="38"/>
      <c r="BC382" s="38"/>
      <c r="BD382" s="38"/>
      <c r="BE382" s="77">
        <f t="shared" si="26"/>
        <v>0</v>
      </c>
      <c r="BF382" s="38"/>
    </row>
    <row r="383" spans="1:58" ht="22.5" hidden="1" customHeight="1">
      <c r="A383" s="33" t="str">
        <f>IF(OR(ISBLANK(E383),ISBLANK(C383)),"",IF(COUNTIF($E$8:E383,E383)&gt;1,"",(MAX($A$7:A382)+1)))</f>
        <v/>
      </c>
      <c r="B383" s="34">
        <f>IF(ISBLANK(C383),"",SUBTOTAL(3,$C$8:C383))</f>
        <v>44</v>
      </c>
      <c r="C383" s="78" t="s">
        <v>845</v>
      </c>
      <c r="D383" s="50" t="s">
        <v>846</v>
      </c>
      <c r="E383" s="50" t="s">
        <v>842</v>
      </c>
      <c r="F383" s="35" t="str">
        <f t="shared" si="24"/>
        <v/>
      </c>
      <c r="G383" s="36" t="str">
        <f t="shared" si="25"/>
        <v>D</v>
      </c>
      <c r="H383" s="51" t="str">
        <f t="shared" si="27"/>
        <v/>
      </c>
      <c r="I383" s="51">
        <f t="shared" si="27"/>
        <v>1</v>
      </c>
      <c r="J383" s="51">
        <f t="shared" si="27"/>
        <v>1</v>
      </c>
      <c r="K383" s="37"/>
      <c r="L383" s="37" t="s">
        <v>47</v>
      </c>
      <c r="M383" s="37"/>
      <c r="N383" s="37"/>
      <c r="O383" s="37"/>
      <c r="P383" s="37"/>
      <c r="Q383" s="37"/>
      <c r="R383" s="37"/>
      <c r="S383" s="37" t="s">
        <v>47</v>
      </c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M383" s="38"/>
      <c r="AN383" s="38"/>
      <c r="AO383" s="38"/>
      <c r="AP383" s="38"/>
      <c r="AQ383" s="38"/>
      <c r="AR383" s="38" t="s">
        <v>47</v>
      </c>
      <c r="AS383" s="38"/>
      <c r="AT383" s="38"/>
      <c r="AU383" s="38"/>
      <c r="AV383" s="38"/>
      <c r="AW383" s="38"/>
      <c r="AX383" s="38"/>
      <c r="AY383" s="38"/>
      <c r="AZ383" s="38"/>
      <c r="BA383" s="38"/>
      <c r="BB383" s="38"/>
      <c r="BC383" s="38"/>
      <c r="BD383" s="38"/>
      <c r="BE383" s="77">
        <f t="shared" si="26"/>
        <v>1</v>
      </c>
      <c r="BF383" s="38"/>
    </row>
    <row r="384" spans="1:58" ht="22.5" hidden="1" customHeight="1">
      <c r="A384" s="33" t="str">
        <f>IF(OR(ISBLANK(E384),ISBLANK(C384)),"",IF(COUNTIF($E$8:E384,E384)&gt;1,"",(MAX($A$7:A383)+1)))</f>
        <v/>
      </c>
      <c r="B384" s="34">
        <f>IF(ISBLANK(C384),"",SUBTOTAL(3,$C$8:C384))</f>
        <v>44</v>
      </c>
      <c r="C384" s="80" t="s">
        <v>847</v>
      </c>
      <c r="D384" s="50" t="s">
        <v>848</v>
      </c>
      <c r="E384" s="50" t="s">
        <v>842</v>
      </c>
      <c r="F384" s="35" t="str">
        <f t="shared" si="24"/>
        <v/>
      </c>
      <c r="G384" s="36" t="str">
        <f t="shared" si="25"/>
        <v>C</v>
      </c>
      <c r="H384" s="51" t="str">
        <f t="shared" si="27"/>
        <v/>
      </c>
      <c r="I384" s="51">
        <f t="shared" si="27"/>
        <v>2</v>
      </c>
      <c r="J384" s="51" t="str">
        <f t="shared" si="27"/>
        <v/>
      </c>
      <c r="K384" s="37"/>
      <c r="L384" s="37" t="s">
        <v>47</v>
      </c>
      <c r="M384" s="37"/>
      <c r="N384" s="37"/>
      <c r="O384" s="37"/>
      <c r="P384" s="37"/>
      <c r="Q384" s="37"/>
      <c r="R384" s="37" t="s">
        <v>47</v>
      </c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M384" s="38"/>
      <c r="AN384" s="38"/>
      <c r="AO384" s="38"/>
      <c r="AP384" s="38"/>
      <c r="AQ384" s="38"/>
      <c r="AR384" s="38"/>
      <c r="AS384" s="38" t="s">
        <v>47</v>
      </c>
      <c r="AT384" s="38"/>
      <c r="AU384" s="38"/>
      <c r="AV384" s="38"/>
      <c r="AW384" s="38"/>
      <c r="AX384" s="38"/>
      <c r="AY384" s="38"/>
      <c r="AZ384" s="38"/>
      <c r="BA384" s="38"/>
      <c r="BB384" s="38"/>
      <c r="BC384" s="38"/>
      <c r="BD384" s="38"/>
      <c r="BE384" s="77">
        <f t="shared" si="26"/>
        <v>1</v>
      </c>
      <c r="BF384" s="38"/>
    </row>
    <row r="385" spans="1:58" ht="22.5" hidden="1" customHeight="1">
      <c r="A385" s="33" t="str">
        <f>IF(OR(ISBLANK(E385),ISBLANK(C385)),"",IF(COUNTIF($E$8:E385,E385)&gt;1,"",(MAX($A$7:A384)+1)))</f>
        <v/>
      </c>
      <c r="B385" s="34">
        <f>IF(ISBLANK(C385),"",SUBTOTAL(3,$C$8:C385))</f>
        <v>44</v>
      </c>
      <c r="C385" s="80" t="s">
        <v>849</v>
      </c>
      <c r="D385" s="50" t="s">
        <v>850</v>
      </c>
      <c r="E385" s="50" t="s">
        <v>842</v>
      </c>
      <c r="F385" s="35" t="str">
        <f t="shared" si="24"/>
        <v/>
      </c>
      <c r="G385" s="36" t="str">
        <f t="shared" si="25"/>
        <v>C</v>
      </c>
      <c r="H385" s="51" t="str">
        <f t="shared" si="27"/>
        <v/>
      </c>
      <c r="I385" s="51">
        <f t="shared" si="27"/>
        <v>2</v>
      </c>
      <c r="J385" s="51" t="str">
        <f t="shared" si="27"/>
        <v/>
      </c>
      <c r="K385" s="37"/>
      <c r="L385" s="37" t="s">
        <v>47</v>
      </c>
      <c r="M385" s="37"/>
      <c r="N385" s="37"/>
      <c r="O385" s="37"/>
      <c r="P385" s="37"/>
      <c r="Q385" s="37"/>
      <c r="R385" s="37" t="s">
        <v>47</v>
      </c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M385" s="38"/>
      <c r="AN385" s="38"/>
      <c r="AO385" s="38"/>
      <c r="AP385" s="38"/>
      <c r="AQ385" s="38"/>
      <c r="AR385" s="38"/>
      <c r="AS385" s="38" t="s">
        <v>47</v>
      </c>
      <c r="AT385" s="38"/>
      <c r="AU385" s="38"/>
      <c r="AV385" s="38"/>
      <c r="AW385" s="38"/>
      <c r="AX385" s="38"/>
      <c r="AY385" s="38"/>
      <c r="AZ385" s="38"/>
      <c r="BA385" s="38"/>
      <c r="BB385" s="38"/>
      <c r="BC385" s="38"/>
      <c r="BD385" s="38"/>
      <c r="BE385" s="77">
        <f t="shared" si="26"/>
        <v>1</v>
      </c>
      <c r="BF385" s="38"/>
    </row>
    <row r="386" spans="1:58" ht="22.5" hidden="1" customHeight="1">
      <c r="A386" s="33" t="str">
        <f>IF(OR(ISBLANK(E386),ISBLANK(C386)),"",IF(COUNTIF($E$8:E386,E386)&gt;1,"",(MAX($A$7:A385)+1)))</f>
        <v/>
      </c>
      <c r="B386" s="34">
        <f>IF(ISBLANK(C386),"",SUBTOTAL(3,$C$8:C386))</f>
        <v>44</v>
      </c>
      <c r="C386" s="80" t="s">
        <v>851</v>
      </c>
      <c r="D386" s="50" t="s">
        <v>852</v>
      </c>
      <c r="E386" s="50" t="s">
        <v>842</v>
      </c>
      <c r="F386" s="35" t="str">
        <f t="shared" si="24"/>
        <v/>
      </c>
      <c r="G386" s="36" t="str">
        <f t="shared" si="25"/>
        <v>C</v>
      </c>
      <c r="H386" s="51" t="str">
        <f t="shared" si="27"/>
        <v/>
      </c>
      <c r="I386" s="51">
        <f t="shared" si="27"/>
        <v>2</v>
      </c>
      <c r="J386" s="51" t="str">
        <f t="shared" si="27"/>
        <v/>
      </c>
      <c r="K386" s="37"/>
      <c r="L386" s="37" t="s">
        <v>47</v>
      </c>
      <c r="M386" s="37"/>
      <c r="N386" s="37"/>
      <c r="O386" s="37"/>
      <c r="P386" s="37"/>
      <c r="Q386" s="37"/>
      <c r="R386" s="37" t="s">
        <v>47</v>
      </c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M386" s="38"/>
      <c r="AN386" s="38"/>
      <c r="AO386" s="38"/>
      <c r="AP386" s="38"/>
      <c r="AQ386" s="38"/>
      <c r="AR386" s="38"/>
      <c r="AS386" s="38" t="s">
        <v>47</v>
      </c>
      <c r="AT386" s="38"/>
      <c r="AU386" s="38"/>
      <c r="AV386" s="38"/>
      <c r="AW386" s="38"/>
      <c r="AX386" s="38"/>
      <c r="AY386" s="38"/>
      <c r="AZ386" s="38"/>
      <c r="BA386" s="38"/>
      <c r="BB386" s="38"/>
      <c r="BC386" s="38"/>
      <c r="BD386" s="38"/>
      <c r="BE386" s="77">
        <f t="shared" si="26"/>
        <v>1</v>
      </c>
      <c r="BF386" s="38"/>
    </row>
    <row r="387" spans="1:58" ht="22.5" hidden="1" customHeight="1">
      <c r="A387" s="33" t="str">
        <f>IF(OR(ISBLANK(E387),ISBLANK(C387)),"",IF(COUNTIF($E$8:E387,E387)&gt;1,"",(MAX($A$7:A386)+1)))</f>
        <v/>
      </c>
      <c r="B387" s="34">
        <f>IF(ISBLANK(C387),"",SUBTOTAL(3,$C$8:C387))</f>
        <v>44</v>
      </c>
      <c r="C387" s="80" t="s">
        <v>853</v>
      </c>
      <c r="D387" s="50" t="s">
        <v>344</v>
      </c>
      <c r="E387" s="50" t="s">
        <v>842</v>
      </c>
      <c r="F387" s="35" t="str">
        <f t="shared" si="24"/>
        <v/>
      </c>
      <c r="G387" s="36" t="str">
        <f t="shared" si="25"/>
        <v>C</v>
      </c>
      <c r="H387" s="51" t="str">
        <f t="shared" si="27"/>
        <v/>
      </c>
      <c r="I387" s="51">
        <f t="shared" si="27"/>
        <v>2</v>
      </c>
      <c r="J387" s="51" t="str">
        <f t="shared" si="27"/>
        <v/>
      </c>
      <c r="K387" s="37"/>
      <c r="L387" s="37" t="s">
        <v>47</v>
      </c>
      <c r="M387" s="37"/>
      <c r="N387" s="37"/>
      <c r="O387" s="37"/>
      <c r="P387" s="37"/>
      <c r="Q387" s="37"/>
      <c r="R387" s="37" t="s">
        <v>47</v>
      </c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M387" s="38"/>
      <c r="AN387" s="38"/>
      <c r="AO387" s="38"/>
      <c r="AP387" s="38"/>
      <c r="AQ387" s="38"/>
      <c r="AR387" s="38"/>
      <c r="AS387" s="38" t="s">
        <v>47</v>
      </c>
      <c r="AT387" s="38"/>
      <c r="AU387" s="38"/>
      <c r="AV387" s="38"/>
      <c r="AW387" s="38"/>
      <c r="AX387" s="38"/>
      <c r="AY387" s="38"/>
      <c r="AZ387" s="38"/>
      <c r="BA387" s="38"/>
      <c r="BB387" s="38"/>
      <c r="BC387" s="38"/>
      <c r="BD387" s="38"/>
      <c r="BE387" s="77">
        <f t="shared" si="26"/>
        <v>1</v>
      </c>
      <c r="BF387" s="38"/>
    </row>
    <row r="388" spans="1:58" ht="22.5" hidden="1" customHeight="1">
      <c r="A388" s="33" t="str">
        <f>IF(OR(ISBLANK(E388),ISBLANK(C388)),"",IF(COUNTIF($E$8:E388,E388)&gt;1,"",(MAX($A$7:A387)+1)))</f>
        <v/>
      </c>
      <c r="B388" s="34">
        <f>IF(ISBLANK(C388),"",SUBTOTAL(3,$C$8:C388))</f>
        <v>44</v>
      </c>
      <c r="C388" s="80" t="s">
        <v>854</v>
      </c>
      <c r="D388" s="50" t="s">
        <v>855</v>
      </c>
      <c r="E388" s="50" t="s">
        <v>842</v>
      </c>
      <c r="F388" s="35" t="str">
        <f t="shared" si="24"/>
        <v/>
      </c>
      <c r="G388" s="36" t="str">
        <f t="shared" si="25"/>
        <v>A</v>
      </c>
      <c r="H388" s="51">
        <f t="shared" si="27"/>
        <v>2</v>
      </c>
      <c r="I388" s="51">
        <f t="shared" si="27"/>
        <v>2</v>
      </c>
      <c r="J388" s="51" t="str">
        <f t="shared" si="27"/>
        <v/>
      </c>
      <c r="K388" s="37" t="s">
        <v>47</v>
      </c>
      <c r="L388" s="37"/>
      <c r="M388" s="37"/>
      <c r="N388" s="37" t="s">
        <v>47</v>
      </c>
      <c r="O388" s="37"/>
      <c r="P388" s="37"/>
      <c r="Q388" s="37"/>
      <c r="R388" s="37" t="s">
        <v>47</v>
      </c>
      <c r="S388" s="37"/>
      <c r="T388" s="37"/>
      <c r="U388" s="37" t="s">
        <v>47</v>
      </c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M388" s="38"/>
      <c r="AN388" s="38"/>
      <c r="AO388" s="38"/>
      <c r="AP388" s="38"/>
      <c r="AQ388" s="38"/>
      <c r="AR388" s="38"/>
      <c r="AS388" s="38"/>
      <c r="AT388" s="38" t="s">
        <v>47</v>
      </c>
      <c r="AU388" s="38"/>
      <c r="AV388" s="38"/>
      <c r="AW388" s="38" t="s">
        <v>47</v>
      </c>
      <c r="AX388" s="38"/>
      <c r="AY388" s="38"/>
      <c r="AZ388" s="38"/>
      <c r="BA388" s="38"/>
      <c r="BB388" s="38"/>
      <c r="BC388" s="38"/>
      <c r="BD388" s="38"/>
      <c r="BE388" s="77">
        <f t="shared" si="26"/>
        <v>2</v>
      </c>
      <c r="BF388" s="38"/>
    </row>
    <row r="389" spans="1:58" ht="22.5" hidden="1" customHeight="1">
      <c r="A389" s="33" t="str">
        <f>IF(OR(ISBLANK(E389),ISBLANK(C389)),"",IF(COUNTIF($E$8:E389,E389)&gt;1,"",(MAX($A$7:A388)+1)))</f>
        <v/>
      </c>
      <c r="B389" s="34">
        <f>IF(ISBLANK(C389),"",SUBTOTAL(3,$C$8:C389))</f>
        <v>44</v>
      </c>
      <c r="C389" s="80" t="s">
        <v>856</v>
      </c>
      <c r="D389" s="50" t="s">
        <v>857</v>
      </c>
      <c r="E389" s="50" t="s">
        <v>842</v>
      </c>
      <c r="F389" s="35" t="str">
        <f t="shared" si="24"/>
        <v/>
      </c>
      <c r="G389" s="36" t="str">
        <f t="shared" si="25"/>
        <v/>
      </c>
      <c r="H389" s="51" t="str">
        <f t="shared" si="27"/>
        <v/>
      </c>
      <c r="I389" s="51" t="str">
        <f t="shared" si="27"/>
        <v/>
      </c>
      <c r="J389" s="51" t="str">
        <f t="shared" si="27"/>
        <v/>
      </c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M389" s="38"/>
      <c r="AN389" s="38"/>
      <c r="AO389" s="38"/>
      <c r="AP389" s="38"/>
      <c r="AQ389" s="38"/>
      <c r="AR389" s="38"/>
      <c r="AS389" s="38"/>
      <c r="AT389" s="38"/>
      <c r="AU389" s="38"/>
      <c r="AV389" s="38"/>
      <c r="AW389" s="38"/>
      <c r="AX389" s="38"/>
      <c r="AY389" s="38"/>
      <c r="AZ389" s="38"/>
      <c r="BA389" s="38"/>
      <c r="BB389" s="38"/>
      <c r="BC389" s="38"/>
      <c r="BD389" s="38"/>
      <c r="BE389" s="77">
        <f t="shared" si="26"/>
        <v>0</v>
      </c>
      <c r="BF389" s="38"/>
    </row>
    <row r="390" spans="1:58" ht="22.5" hidden="1" customHeight="1">
      <c r="A390" s="33" t="str">
        <f>IF(OR(ISBLANK(E390),ISBLANK(C390)),"",IF(COUNTIF($E$8:E390,E390)&gt;1,"",(MAX($A$7:A389)+1)))</f>
        <v/>
      </c>
      <c r="B390" s="34">
        <f>IF(ISBLANK(C390),"",SUBTOTAL(3,$C$8:C390))</f>
        <v>44</v>
      </c>
      <c r="C390" s="80" t="s">
        <v>858</v>
      </c>
      <c r="D390" s="50" t="s">
        <v>859</v>
      </c>
      <c r="E390" s="50" t="s">
        <v>842</v>
      </c>
      <c r="F390" s="35" t="str">
        <f t="shared" si="24"/>
        <v/>
      </c>
      <c r="G390" s="36" t="str">
        <f t="shared" si="25"/>
        <v>C</v>
      </c>
      <c r="H390" s="51">
        <f t="shared" si="27"/>
        <v>1</v>
      </c>
      <c r="I390" s="51" t="str">
        <f t="shared" si="27"/>
        <v/>
      </c>
      <c r="J390" s="51">
        <f t="shared" si="27"/>
        <v>1</v>
      </c>
      <c r="K390" s="37" t="s">
        <v>47</v>
      </c>
      <c r="L390" s="37"/>
      <c r="M390" s="37"/>
      <c r="N390" s="37"/>
      <c r="O390" s="37"/>
      <c r="P390" s="37"/>
      <c r="Q390" s="37"/>
      <c r="R390" s="37"/>
      <c r="S390" s="37" t="s">
        <v>47</v>
      </c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M390" s="38"/>
      <c r="AN390" s="38"/>
      <c r="AO390" s="38"/>
      <c r="AP390" s="38"/>
      <c r="AQ390" s="38"/>
      <c r="AR390" s="38"/>
      <c r="AS390" s="38"/>
      <c r="AT390" s="38"/>
      <c r="AU390" s="38"/>
      <c r="AV390" s="38"/>
      <c r="AW390" s="38" t="s">
        <v>47</v>
      </c>
      <c r="AX390" s="38"/>
      <c r="AY390" s="38"/>
      <c r="AZ390" s="38"/>
      <c r="BA390" s="38"/>
      <c r="BB390" s="38"/>
      <c r="BC390" s="38"/>
      <c r="BD390" s="38"/>
      <c r="BE390" s="77">
        <f t="shared" si="26"/>
        <v>1</v>
      </c>
      <c r="BF390" s="38"/>
    </row>
    <row r="391" spans="1:58" ht="22.5" hidden="1" customHeight="1">
      <c r="A391" s="33" t="str">
        <f>IF(OR(ISBLANK(E391),ISBLANK(C391)),"",IF(COUNTIF($E$8:E391,E391)&gt;1,"",(MAX($A$7:A390)+1)))</f>
        <v/>
      </c>
      <c r="B391" s="34">
        <f>IF(ISBLANK(C391),"",SUBTOTAL(3,$C$8:C391))</f>
        <v>44</v>
      </c>
      <c r="C391" s="80" t="s">
        <v>860</v>
      </c>
      <c r="D391" s="50" t="s">
        <v>861</v>
      </c>
      <c r="E391" s="50" t="s">
        <v>842</v>
      </c>
      <c r="F391" s="35" t="str">
        <f t="shared" si="24"/>
        <v/>
      </c>
      <c r="G391" s="36" t="str">
        <f t="shared" si="25"/>
        <v>C</v>
      </c>
      <c r="H391" s="51" t="str">
        <f t="shared" si="27"/>
        <v/>
      </c>
      <c r="I391" s="51">
        <f t="shared" si="27"/>
        <v>2</v>
      </c>
      <c r="J391" s="51" t="str">
        <f t="shared" si="27"/>
        <v/>
      </c>
      <c r="K391" s="37"/>
      <c r="L391" s="37" t="s">
        <v>47</v>
      </c>
      <c r="M391" s="37"/>
      <c r="N391" s="37"/>
      <c r="O391" s="37"/>
      <c r="P391" s="37"/>
      <c r="Q391" s="37"/>
      <c r="R391" s="37" t="s">
        <v>47</v>
      </c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M391" s="38"/>
      <c r="AN391" s="38"/>
      <c r="AO391" s="38"/>
      <c r="AP391" s="38"/>
      <c r="AQ391" s="38"/>
      <c r="AR391" s="38"/>
      <c r="AS391" s="38" t="s">
        <v>47</v>
      </c>
      <c r="AT391" s="38"/>
      <c r="AU391" s="38"/>
      <c r="AV391" s="38"/>
      <c r="AW391" s="38"/>
      <c r="AX391" s="38"/>
      <c r="AY391" s="38"/>
      <c r="AZ391" s="38"/>
      <c r="BA391" s="38"/>
      <c r="BB391" s="38"/>
      <c r="BC391" s="38"/>
      <c r="BD391" s="38"/>
      <c r="BE391" s="77">
        <f t="shared" si="26"/>
        <v>1</v>
      </c>
      <c r="BF391" s="38"/>
    </row>
    <row r="392" spans="1:58" ht="22.5" hidden="1" customHeight="1">
      <c r="A392" s="33" t="str">
        <f>IF(OR(ISBLANK(E392),ISBLANK(C392)),"",IF(COUNTIF($E$8:E392,E392)&gt;1,"",(MAX($A$7:A391)+1)))</f>
        <v/>
      </c>
      <c r="B392" s="34">
        <f>IF(ISBLANK(C392),"",SUBTOTAL(3,$C$8:C392))</f>
        <v>44</v>
      </c>
      <c r="C392" s="79" t="s">
        <v>862</v>
      </c>
      <c r="D392" s="50" t="s">
        <v>863</v>
      </c>
      <c r="E392" s="50" t="s">
        <v>842</v>
      </c>
      <c r="F392" s="35" t="str">
        <f t="shared" ref="F392:F455" si="28">IFERROR(IF(OR(ISBLANK($C392),B392=""),"",INDEX(Luonggio,MATCH($C392,MaNVLuong,0))),"")</f>
        <v/>
      </c>
      <c r="G392" s="36" t="str">
        <f t="shared" si="25"/>
        <v>C</v>
      </c>
      <c r="H392" s="51">
        <f t="shared" si="27"/>
        <v>1</v>
      </c>
      <c r="I392" s="51">
        <f t="shared" si="27"/>
        <v>1</v>
      </c>
      <c r="J392" s="51" t="str">
        <f t="shared" si="27"/>
        <v/>
      </c>
      <c r="K392" s="37" t="s">
        <v>47</v>
      </c>
      <c r="L392" s="37"/>
      <c r="M392" s="37"/>
      <c r="N392" s="37"/>
      <c r="O392" s="37" t="s">
        <v>47</v>
      </c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M392" s="38"/>
      <c r="AN392" s="38"/>
      <c r="AO392" s="38"/>
      <c r="AP392" s="38"/>
      <c r="AQ392" s="38"/>
      <c r="AR392" s="38"/>
      <c r="AS392" s="38"/>
      <c r="AT392" s="38"/>
      <c r="AU392" s="38" t="s">
        <v>47</v>
      </c>
      <c r="AV392" s="38"/>
      <c r="AW392" s="38"/>
      <c r="AX392" s="38"/>
      <c r="AY392" s="38"/>
      <c r="AZ392" s="38"/>
      <c r="BA392" s="38"/>
      <c r="BB392" s="38"/>
      <c r="BC392" s="38"/>
      <c r="BD392" s="38"/>
      <c r="BE392" s="77">
        <f t="shared" si="26"/>
        <v>1</v>
      </c>
      <c r="BF392" s="38"/>
    </row>
    <row r="393" spans="1:58" ht="22.5" hidden="1" customHeight="1">
      <c r="A393" s="33" t="str">
        <f>IF(OR(ISBLANK(E393),ISBLANK(C393)),"",IF(COUNTIF($E$8:E393,E393)&gt;1,"",(MAX($A$7:A392)+1)))</f>
        <v/>
      </c>
      <c r="B393" s="34">
        <f>IF(ISBLANK(C393),"",SUBTOTAL(3,$C$8:C393))</f>
        <v>44</v>
      </c>
      <c r="C393" s="78" t="s">
        <v>864</v>
      </c>
      <c r="D393" s="50" t="s">
        <v>577</v>
      </c>
      <c r="E393" s="50" t="s">
        <v>842</v>
      </c>
      <c r="F393" s="35" t="str">
        <f t="shared" si="28"/>
        <v/>
      </c>
      <c r="G393" s="36" t="str">
        <f t="shared" ref="G393:G456" si="29">IF(COUNTIF(H393:J393,"&gt;0")=0,"",IF(AND(OR(OR(SUM(H393)&gt;=2)),SUM(H393:J393)&gt;=4,OR(OR(SUM(I393)&gt;=1))),"A",IF(OR(OR(SUM(H393)&gt;=3)),"A",IF(AND(SUM(I393)&gt;=2,SUM(H393)=1),"B",IF(AND(SUM(I393)&gt;=1,SUM(H393)=2),"B",IF(H393=2,"B",IF(SUM(I393)&gt;=2,"C",IF(H393=1,"C",IF(AND(H393=1,I393=1),"C",IF(AND(SUM(H393:I393)=0,SUM(J393)&lt;=1),"D","D"))))))))))</f>
        <v>C</v>
      </c>
      <c r="H393" s="51" t="str">
        <f t="shared" si="27"/>
        <v/>
      </c>
      <c r="I393" s="51">
        <f t="shared" si="27"/>
        <v>2</v>
      </c>
      <c r="J393" s="51" t="str">
        <f t="shared" si="27"/>
        <v/>
      </c>
      <c r="K393" s="37"/>
      <c r="L393" s="37" t="s">
        <v>47</v>
      </c>
      <c r="M393" s="37"/>
      <c r="N393" s="37"/>
      <c r="O393" s="37"/>
      <c r="P393" s="37"/>
      <c r="Q393" s="37"/>
      <c r="R393" s="37" t="s">
        <v>47</v>
      </c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M393" s="38"/>
      <c r="AN393" s="38"/>
      <c r="AO393" s="38"/>
      <c r="AP393" s="38"/>
      <c r="AQ393" s="38"/>
      <c r="AR393" s="38"/>
      <c r="AS393" s="38" t="s">
        <v>47</v>
      </c>
      <c r="AT393" s="38"/>
      <c r="AU393" s="38"/>
      <c r="AV393" s="38"/>
      <c r="AW393" s="38"/>
      <c r="AX393" s="38"/>
      <c r="AY393" s="38"/>
      <c r="AZ393" s="38"/>
      <c r="BA393" s="38"/>
      <c r="BB393" s="38"/>
      <c r="BC393" s="38"/>
      <c r="BD393" s="38"/>
      <c r="BE393" s="77">
        <f t="shared" ref="BE393:BE456" si="30">COUNTIF(AM393:BD393,"X")</f>
        <v>1</v>
      </c>
      <c r="BF393" s="38"/>
    </row>
    <row r="394" spans="1:58" ht="22.5" hidden="1" customHeight="1">
      <c r="A394" s="33" t="str">
        <f>IF(OR(ISBLANK(E394),ISBLANK(C394)),"",IF(COUNTIF($E$8:E394,E394)&gt;1,"",(MAX($A$7:A393)+1)))</f>
        <v/>
      </c>
      <c r="B394" s="34">
        <f>IF(ISBLANK(C394),"",SUBTOTAL(3,$C$8:C394))</f>
        <v>44</v>
      </c>
      <c r="C394" s="78" t="s">
        <v>865</v>
      </c>
      <c r="D394" s="50" t="s">
        <v>866</v>
      </c>
      <c r="E394" s="50" t="s">
        <v>842</v>
      </c>
      <c r="F394" s="35" t="str">
        <f t="shared" si="28"/>
        <v/>
      </c>
      <c r="G394" s="36" t="str">
        <f t="shared" si="29"/>
        <v>C</v>
      </c>
      <c r="H394" s="51">
        <f t="shared" si="27"/>
        <v>1</v>
      </c>
      <c r="I394" s="51" t="str">
        <f t="shared" si="27"/>
        <v/>
      </c>
      <c r="J394" s="51">
        <f t="shared" si="27"/>
        <v>1</v>
      </c>
      <c r="K394" s="37"/>
      <c r="L394" s="37"/>
      <c r="M394" s="37" t="s">
        <v>47</v>
      </c>
      <c r="N394" s="37"/>
      <c r="O394" s="37"/>
      <c r="P394" s="37"/>
      <c r="Q394" s="37" t="s">
        <v>47</v>
      </c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  <c r="AM394" s="38"/>
      <c r="AN394" s="38"/>
      <c r="AO394" s="38"/>
      <c r="AP394" s="38"/>
      <c r="AQ394" s="38"/>
      <c r="AR394" s="38"/>
      <c r="AS394" s="38"/>
      <c r="AT394" s="38"/>
      <c r="AU394" s="38"/>
      <c r="AV394" s="38" t="s">
        <v>47</v>
      </c>
      <c r="AW394" s="38"/>
      <c r="AX394" s="38"/>
      <c r="AY394" s="38"/>
      <c r="AZ394" s="38"/>
      <c r="BA394" s="38"/>
      <c r="BB394" s="38"/>
      <c r="BC394" s="38"/>
      <c r="BD394" s="38"/>
      <c r="BE394" s="77">
        <f t="shared" si="30"/>
        <v>1</v>
      </c>
      <c r="BF394" s="38"/>
    </row>
    <row r="395" spans="1:58" ht="22.5" hidden="1" customHeight="1">
      <c r="A395" s="33" t="str">
        <f>IF(OR(ISBLANK(E395),ISBLANK(C395)),"",IF(COUNTIF($E$8:E395,E395)&gt;1,"",(MAX($A$7:A394)+1)))</f>
        <v/>
      </c>
      <c r="B395" s="34">
        <f>IF(ISBLANK(C395),"",SUBTOTAL(3,$C$8:C395))</f>
        <v>44</v>
      </c>
      <c r="C395" s="80" t="s">
        <v>867</v>
      </c>
      <c r="D395" s="50" t="s">
        <v>868</v>
      </c>
      <c r="E395" s="50" t="s">
        <v>842</v>
      </c>
      <c r="F395" s="35" t="str">
        <f t="shared" si="28"/>
        <v/>
      </c>
      <c r="G395" s="36" t="str">
        <f t="shared" si="29"/>
        <v>C</v>
      </c>
      <c r="H395" s="51" t="str">
        <f t="shared" si="27"/>
        <v/>
      </c>
      <c r="I395" s="51">
        <f t="shared" si="27"/>
        <v>4</v>
      </c>
      <c r="J395" s="51" t="str">
        <f t="shared" si="27"/>
        <v/>
      </c>
      <c r="K395" s="37"/>
      <c r="L395" s="37" t="s">
        <v>47</v>
      </c>
      <c r="M395" s="37"/>
      <c r="N395" s="37"/>
      <c r="O395" s="37" t="s">
        <v>47</v>
      </c>
      <c r="P395" s="37"/>
      <c r="Q395" s="37"/>
      <c r="R395" s="37" t="s">
        <v>47</v>
      </c>
      <c r="S395" s="37"/>
      <c r="T395" s="37"/>
      <c r="U395" s="37" t="s">
        <v>47</v>
      </c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M395" s="38"/>
      <c r="AN395" s="38"/>
      <c r="AO395" s="38"/>
      <c r="AP395" s="38"/>
      <c r="AQ395" s="38"/>
      <c r="AR395" s="38"/>
      <c r="AS395" s="38" t="s">
        <v>47</v>
      </c>
      <c r="AT395" s="38"/>
      <c r="AU395" s="38"/>
      <c r="AV395" s="38"/>
      <c r="AW395" s="38"/>
      <c r="AX395" s="38"/>
      <c r="AY395" s="38"/>
      <c r="AZ395" s="38"/>
      <c r="BA395" s="38"/>
      <c r="BB395" s="38"/>
      <c r="BC395" s="38"/>
      <c r="BD395" s="38"/>
      <c r="BE395" s="77">
        <f t="shared" si="30"/>
        <v>1</v>
      </c>
      <c r="BF395" s="38"/>
    </row>
    <row r="396" spans="1:58" ht="22.5" hidden="1" customHeight="1">
      <c r="A396" s="33" t="str">
        <f>IF(OR(ISBLANK(E396),ISBLANK(C396)),"",IF(COUNTIF($E$8:E396,E396)&gt;1,"",(MAX($A$7:A395)+1)))</f>
        <v/>
      </c>
      <c r="B396" s="34">
        <f>IF(ISBLANK(C396),"",SUBTOTAL(3,$C$8:C396))</f>
        <v>44</v>
      </c>
      <c r="C396" s="78" t="s">
        <v>869</v>
      </c>
      <c r="D396" s="50" t="s">
        <v>870</v>
      </c>
      <c r="E396" s="50" t="s">
        <v>842</v>
      </c>
      <c r="F396" s="35" t="str">
        <f t="shared" si="28"/>
        <v/>
      </c>
      <c r="G396" s="36" t="str">
        <f t="shared" si="29"/>
        <v>C</v>
      </c>
      <c r="H396" s="51" t="str">
        <f t="shared" si="27"/>
        <v/>
      </c>
      <c r="I396" s="51">
        <f t="shared" si="27"/>
        <v>2</v>
      </c>
      <c r="J396" s="51" t="str">
        <f t="shared" si="27"/>
        <v/>
      </c>
      <c r="K396" s="37"/>
      <c r="L396" s="37" t="s">
        <v>47</v>
      </c>
      <c r="M396" s="37"/>
      <c r="N396" s="37"/>
      <c r="O396" s="37"/>
      <c r="P396" s="37"/>
      <c r="Q396" s="37"/>
      <c r="R396" s="37" t="s">
        <v>47</v>
      </c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M396" s="38"/>
      <c r="AN396" s="38"/>
      <c r="AO396" s="38"/>
      <c r="AP396" s="38"/>
      <c r="AQ396" s="38"/>
      <c r="AR396" s="38"/>
      <c r="AS396" s="38" t="s">
        <v>47</v>
      </c>
      <c r="AT396" s="38"/>
      <c r="AU396" s="38"/>
      <c r="AV396" s="38"/>
      <c r="AW396" s="38"/>
      <c r="AX396" s="38"/>
      <c r="AY396" s="38"/>
      <c r="AZ396" s="38"/>
      <c r="BA396" s="38"/>
      <c r="BB396" s="38"/>
      <c r="BC396" s="38"/>
      <c r="BD396" s="38"/>
      <c r="BE396" s="77">
        <f t="shared" si="30"/>
        <v>1</v>
      </c>
      <c r="BF396" s="38"/>
    </row>
    <row r="397" spans="1:58" ht="22.5" hidden="1" customHeight="1">
      <c r="A397" s="33" t="str">
        <f>IF(OR(ISBLANK(E397),ISBLANK(C397)),"",IF(COUNTIF($E$8:E397,E397)&gt;1,"",(MAX($A$7:A396)+1)))</f>
        <v/>
      </c>
      <c r="B397" s="34">
        <f>IF(ISBLANK(C397),"",SUBTOTAL(3,$C$8:C397))</f>
        <v>44</v>
      </c>
      <c r="C397" s="78" t="s">
        <v>871</v>
      </c>
      <c r="D397" s="50" t="s">
        <v>872</v>
      </c>
      <c r="E397" s="50" t="s">
        <v>842</v>
      </c>
      <c r="F397" s="35" t="str">
        <f t="shared" si="28"/>
        <v/>
      </c>
      <c r="G397" s="36" t="str">
        <f t="shared" si="29"/>
        <v/>
      </c>
      <c r="H397" s="51" t="str">
        <f t="shared" si="27"/>
        <v/>
      </c>
      <c r="I397" s="51" t="str">
        <f t="shared" si="27"/>
        <v/>
      </c>
      <c r="J397" s="51" t="str">
        <f t="shared" si="27"/>
        <v/>
      </c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M397" s="38"/>
      <c r="AN397" s="38" t="s">
        <v>47</v>
      </c>
      <c r="AO397" s="38"/>
      <c r="AP397" s="38"/>
      <c r="AQ397" s="38"/>
      <c r="AR397" s="38"/>
      <c r="AS397" s="38"/>
      <c r="AT397" s="38"/>
      <c r="AU397" s="38"/>
      <c r="AV397" s="38"/>
      <c r="AW397" s="38"/>
      <c r="AX397" s="38"/>
      <c r="AY397" s="38"/>
      <c r="AZ397" s="38"/>
      <c r="BA397" s="38"/>
      <c r="BB397" s="38"/>
      <c r="BC397" s="38"/>
      <c r="BD397" s="38"/>
      <c r="BE397" s="77">
        <f t="shared" si="30"/>
        <v>1</v>
      </c>
      <c r="BF397" s="38"/>
    </row>
    <row r="398" spans="1:58" ht="22.5" hidden="1" customHeight="1">
      <c r="A398" s="33" t="str">
        <f>IF(OR(ISBLANK(E398),ISBLANK(C398)),"",IF(COUNTIF($E$8:E398,E398)&gt;1,"",(MAX($A$7:A397)+1)))</f>
        <v/>
      </c>
      <c r="B398" s="34">
        <f>IF(ISBLANK(C398),"",SUBTOTAL(3,$C$8:C398))</f>
        <v>44</v>
      </c>
      <c r="C398" s="78" t="s">
        <v>873</v>
      </c>
      <c r="D398" s="50" t="s">
        <v>874</v>
      </c>
      <c r="E398" s="50" t="s">
        <v>842</v>
      </c>
      <c r="F398" s="35" t="str">
        <f t="shared" si="28"/>
        <v/>
      </c>
      <c r="G398" s="36" t="str">
        <f t="shared" si="29"/>
        <v/>
      </c>
      <c r="H398" s="51" t="str">
        <f t="shared" si="27"/>
        <v/>
      </c>
      <c r="I398" s="51" t="str">
        <f t="shared" si="27"/>
        <v/>
      </c>
      <c r="J398" s="51" t="str">
        <f t="shared" si="27"/>
        <v/>
      </c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  <c r="AM398" s="38"/>
      <c r="AN398" s="38"/>
      <c r="AO398" s="38"/>
      <c r="AP398" s="38"/>
      <c r="AQ398" s="38"/>
      <c r="AR398" s="38"/>
      <c r="AS398" s="38"/>
      <c r="AT398" s="38"/>
      <c r="AU398" s="38"/>
      <c r="AV398" s="38"/>
      <c r="AW398" s="38"/>
      <c r="AX398" s="38"/>
      <c r="AY398" s="38"/>
      <c r="AZ398" s="38"/>
      <c r="BA398" s="38"/>
      <c r="BB398" s="38"/>
      <c r="BC398" s="38"/>
      <c r="BD398" s="38"/>
      <c r="BE398" s="77">
        <f t="shared" si="30"/>
        <v>0</v>
      </c>
      <c r="BF398" s="38"/>
    </row>
    <row r="399" spans="1:58" ht="22.5" hidden="1" customHeight="1">
      <c r="A399" s="33" t="str">
        <f>IF(OR(ISBLANK(E399),ISBLANK(C399)),"",IF(COUNTIF($E$8:E399,E399)&gt;1,"",(MAX($A$7:A398)+1)))</f>
        <v/>
      </c>
      <c r="B399" s="34">
        <f>IF(ISBLANK(C399),"",SUBTOTAL(3,$C$8:C399))</f>
        <v>44</v>
      </c>
      <c r="C399" s="78" t="s">
        <v>875</v>
      </c>
      <c r="D399" s="50" t="s">
        <v>876</v>
      </c>
      <c r="E399" s="50" t="s">
        <v>842</v>
      </c>
      <c r="F399" s="35" t="str">
        <f t="shared" si="28"/>
        <v/>
      </c>
      <c r="G399" s="36" t="str">
        <f t="shared" si="29"/>
        <v>A</v>
      </c>
      <c r="H399" s="51">
        <f t="shared" si="27"/>
        <v>5</v>
      </c>
      <c r="I399" s="51" t="str">
        <f t="shared" si="27"/>
        <v/>
      </c>
      <c r="J399" s="51" t="str">
        <f t="shared" si="27"/>
        <v/>
      </c>
      <c r="K399" s="37" t="s">
        <v>47</v>
      </c>
      <c r="L399" s="37"/>
      <c r="M399" s="37"/>
      <c r="N399" s="37" t="s">
        <v>47</v>
      </c>
      <c r="O399" s="37"/>
      <c r="P399" s="37"/>
      <c r="Q399" s="37" t="s">
        <v>47</v>
      </c>
      <c r="R399" s="37"/>
      <c r="S399" s="37"/>
      <c r="T399" s="37" t="s">
        <v>47</v>
      </c>
      <c r="U399" s="37"/>
      <c r="V399" s="37"/>
      <c r="W399" s="37" t="s">
        <v>47</v>
      </c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M399" s="38"/>
      <c r="AN399" s="38"/>
      <c r="AO399" s="38"/>
      <c r="AP399" s="38"/>
      <c r="AQ399" s="38"/>
      <c r="AR399" s="38"/>
      <c r="AS399" s="38"/>
      <c r="AT399" s="38"/>
      <c r="AU399" s="38"/>
      <c r="AV399" s="38"/>
      <c r="AW399" s="38"/>
      <c r="AX399" s="38"/>
      <c r="AY399" s="38"/>
      <c r="AZ399" s="38" t="s">
        <v>47</v>
      </c>
      <c r="BA399" s="38"/>
      <c r="BB399" s="38"/>
      <c r="BC399" s="38"/>
      <c r="BD399" s="38"/>
      <c r="BE399" s="77">
        <f t="shared" si="30"/>
        <v>1</v>
      </c>
      <c r="BF399" s="38"/>
    </row>
    <row r="400" spans="1:58" ht="22.5" hidden="1" customHeight="1">
      <c r="A400" s="33" t="str">
        <f>IF(OR(ISBLANK(E400),ISBLANK(C400)),"",IF(COUNTIF($E$8:E400,E400)&gt;1,"",(MAX($A$7:A399)+1)))</f>
        <v/>
      </c>
      <c r="B400" s="34">
        <f>IF(ISBLANK(C400),"",SUBTOTAL(3,$C$8:C400))</f>
        <v>44</v>
      </c>
      <c r="C400" s="78" t="s">
        <v>877</v>
      </c>
      <c r="D400" s="50" t="s">
        <v>878</v>
      </c>
      <c r="E400" s="50" t="s">
        <v>842</v>
      </c>
      <c r="F400" s="35" t="str">
        <f t="shared" si="28"/>
        <v/>
      </c>
      <c r="G400" s="36" t="str">
        <f t="shared" si="29"/>
        <v>C</v>
      </c>
      <c r="H400" s="51" t="str">
        <f t="shared" si="27"/>
        <v/>
      </c>
      <c r="I400" s="51">
        <f t="shared" si="27"/>
        <v>3</v>
      </c>
      <c r="J400" s="51" t="str">
        <f t="shared" si="27"/>
        <v/>
      </c>
      <c r="K400" s="37"/>
      <c r="L400" s="37" t="s">
        <v>47</v>
      </c>
      <c r="M400" s="37"/>
      <c r="N400" s="37"/>
      <c r="O400" s="37" t="s">
        <v>47</v>
      </c>
      <c r="P400" s="37"/>
      <c r="Q400" s="37"/>
      <c r="R400" s="37" t="s">
        <v>47</v>
      </c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M400" s="38"/>
      <c r="AN400" s="38"/>
      <c r="AO400" s="38"/>
      <c r="AP400" s="38"/>
      <c r="AQ400" s="38"/>
      <c r="AR400" s="38"/>
      <c r="AS400" s="38"/>
      <c r="AT400" s="38"/>
      <c r="AU400" s="38"/>
      <c r="AV400" s="38"/>
      <c r="AW400" s="38"/>
      <c r="AX400" s="38"/>
      <c r="AY400" s="38"/>
      <c r="AZ400" s="38"/>
      <c r="BA400" s="38"/>
      <c r="BB400" s="38" t="s">
        <v>47</v>
      </c>
      <c r="BC400" s="38"/>
      <c r="BD400" s="38"/>
      <c r="BE400" s="77">
        <f t="shared" si="30"/>
        <v>1</v>
      </c>
      <c r="BF400" s="38"/>
    </row>
    <row r="401" spans="1:58" ht="22.5" hidden="1" customHeight="1">
      <c r="A401" s="33" t="str">
        <f>IF(OR(ISBLANK(E401),ISBLANK(C401)),"",IF(COUNTIF($E$8:E401,E401)&gt;1,"",(MAX($A$7:A400)+1)))</f>
        <v/>
      </c>
      <c r="B401" s="34">
        <f>IF(ISBLANK(C401),"",SUBTOTAL(3,$C$8:C401))</f>
        <v>44</v>
      </c>
      <c r="C401" s="78" t="s">
        <v>879</v>
      </c>
      <c r="D401" s="50" t="s">
        <v>880</v>
      </c>
      <c r="E401" s="50" t="s">
        <v>842</v>
      </c>
      <c r="F401" s="35" t="str">
        <f t="shared" si="28"/>
        <v/>
      </c>
      <c r="G401" s="36" t="str">
        <f t="shared" si="29"/>
        <v>D</v>
      </c>
      <c r="H401" s="51" t="str">
        <f t="shared" si="27"/>
        <v/>
      </c>
      <c r="I401" s="51">
        <f t="shared" si="27"/>
        <v>1</v>
      </c>
      <c r="J401" s="51">
        <f t="shared" si="27"/>
        <v>1</v>
      </c>
      <c r="K401" s="37"/>
      <c r="L401" s="37" t="s">
        <v>47</v>
      </c>
      <c r="M401" s="37"/>
      <c r="N401" s="37"/>
      <c r="O401" s="37"/>
      <c r="P401" s="37"/>
      <c r="Q401" s="37"/>
      <c r="R401" s="37"/>
      <c r="S401" s="37" t="s">
        <v>47</v>
      </c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M401" s="38"/>
      <c r="AN401" s="38"/>
      <c r="AO401" s="38"/>
      <c r="AP401" s="38"/>
      <c r="AQ401" s="38"/>
      <c r="AR401" s="38"/>
      <c r="AS401" s="38" t="s">
        <v>47</v>
      </c>
      <c r="AT401" s="38"/>
      <c r="AU401" s="38"/>
      <c r="AV401" s="38"/>
      <c r="AW401" s="38"/>
      <c r="AX401" s="38"/>
      <c r="AY401" s="38"/>
      <c r="AZ401" s="38"/>
      <c r="BA401" s="38"/>
      <c r="BB401" s="38"/>
      <c r="BC401" s="38"/>
      <c r="BD401" s="38"/>
      <c r="BE401" s="77">
        <f t="shared" si="30"/>
        <v>1</v>
      </c>
      <c r="BF401" s="38"/>
    </row>
    <row r="402" spans="1:58" ht="22.5" hidden="1" customHeight="1">
      <c r="A402" s="33" t="str">
        <f>IF(OR(ISBLANK(E402),ISBLANK(C402)),"",IF(COUNTIF($E$8:E402,E402)&gt;1,"",(MAX($A$7:A401)+1)))</f>
        <v/>
      </c>
      <c r="B402" s="34">
        <f>IF(ISBLANK(C402),"",SUBTOTAL(3,$C$8:C402))</f>
        <v>44</v>
      </c>
      <c r="C402" s="78" t="s">
        <v>881</v>
      </c>
      <c r="D402" s="50" t="s">
        <v>882</v>
      </c>
      <c r="E402" s="50" t="s">
        <v>842</v>
      </c>
      <c r="F402" s="35" t="str">
        <f t="shared" si="28"/>
        <v/>
      </c>
      <c r="G402" s="36" t="str">
        <f t="shared" si="29"/>
        <v>D</v>
      </c>
      <c r="H402" s="51" t="str">
        <f t="shared" si="27"/>
        <v/>
      </c>
      <c r="I402" s="51">
        <f t="shared" si="27"/>
        <v>1</v>
      </c>
      <c r="J402" s="51" t="str">
        <f t="shared" si="27"/>
        <v/>
      </c>
      <c r="K402" s="37"/>
      <c r="L402" s="37" t="s">
        <v>47</v>
      </c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M402" s="38"/>
      <c r="AN402" s="38" t="s">
        <v>47</v>
      </c>
      <c r="AO402" s="38"/>
      <c r="AP402" s="38"/>
      <c r="AQ402" s="38"/>
      <c r="AR402" s="38"/>
      <c r="AS402" s="38"/>
      <c r="AT402" s="38"/>
      <c r="AU402" s="38"/>
      <c r="AV402" s="38"/>
      <c r="AW402" s="38"/>
      <c r="AX402" s="38"/>
      <c r="AY402" s="38"/>
      <c r="AZ402" s="38"/>
      <c r="BA402" s="38"/>
      <c r="BB402" s="38"/>
      <c r="BC402" s="38"/>
      <c r="BD402" s="38"/>
      <c r="BE402" s="77">
        <f t="shared" si="30"/>
        <v>1</v>
      </c>
      <c r="BF402" s="38"/>
    </row>
    <row r="403" spans="1:58" ht="22.5" hidden="1" customHeight="1">
      <c r="A403" s="33" t="str">
        <f>IF(OR(ISBLANK(E403),ISBLANK(C403)),"",IF(COUNTIF($E$8:E403,E403)&gt;1,"",(MAX($A$7:A402)+1)))</f>
        <v/>
      </c>
      <c r="B403" s="34">
        <f>IF(ISBLANK(C403),"",SUBTOTAL(3,$C$8:C403))</f>
        <v>44</v>
      </c>
      <c r="C403" s="78" t="s">
        <v>883</v>
      </c>
      <c r="D403" s="50" t="s">
        <v>884</v>
      </c>
      <c r="E403" s="50" t="s">
        <v>842</v>
      </c>
      <c r="F403" s="35" t="str">
        <f t="shared" si="28"/>
        <v/>
      </c>
      <c r="G403" s="36" t="str">
        <f t="shared" si="29"/>
        <v/>
      </c>
      <c r="H403" s="51" t="str">
        <f t="shared" si="27"/>
        <v/>
      </c>
      <c r="I403" s="51" t="str">
        <f t="shared" si="27"/>
        <v/>
      </c>
      <c r="J403" s="51" t="str">
        <f t="shared" si="27"/>
        <v/>
      </c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M403" s="38"/>
      <c r="AN403" s="38" t="s">
        <v>47</v>
      </c>
      <c r="AO403" s="38"/>
      <c r="AP403" s="38"/>
      <c r="AQ403" s="38"/>
      <c r="AR403" s="38"/>
      <c r="AS403" s="38"/>
      <c r="AT403" s="38"/>
      <c r="AU403" s="38"/>
      <c r="AV403" s="38"/>
      <c r="AW403" s="38"/>
      <c r="AX403" s="38"/>
      <c r="AY403" s="38"/>
      <c r="AZ403" s="38"/>
      <c r="BA403" s="38"/>
      <c r="BB403" s="38"/>
      <c r="BC403" s="38"/>
      <c r="BD403" s="38"/>
      <c r="BE403" s="77">
        <f t="shared" si="30"/>
        <v>1</v>
      </c>
      <c r="BF403" s="38"/>
    </row>
    <row r="404" spans="1:58" ht="22.5" hidden="1" customHeight="1">
      <c r="A404" s="33" t="str">
        <f>IF(OR(ISBLANK(E404),ISBLANK(C404)),"",IF(COUNTIF($E$8:E404,E404)&gt;1,"",(MAX($A$7:A403)+1)))</f>
        <v/>
      </c>
      <c r="B404" s="34">
        <f>IF(ISBLANK(C404),"",SUBTOTAL(3,$C$8:C404))</f>
        <v>44</v>
      </c>
      <c r="C404" s="78" t="s">
        <v>885</v>
      </c>
      <c r="D404" s="50" t="s">
        <v>886</v>
      </c>
      <c r="E404" s="50" t="s">
        <v>842</v>
      </c>
      <c r="F404" s="35" t="str">
        <f t="shared" si="28"/>
        <v/>
      </c>
      <c r="G404" s="36" t="str">
        <f t="shared" si="29"/>
        <v>A</v>
      </c>
      <c r="H404" s="51">
        <f t="shared" si="27"/>
        <v>5</v>
      </c>
      <c r="I404" s="51" t="str">
        <f t="shared" si="27"/>
        <v/>
      </c>
      <c r="J404" s="51" t="str">
        <f t="shared" si="27"/>
        <v/>
      </c>
      <c r="K404" s="37" t="s">
        <v>47</v>
      </c>
      <c r="L404" s="37"/>
      <c r="M404" s="37"/>
      <c r="N404" s="37" t="s">
        <v>47</v>
      </c>
      <c r="O404" s="37"/>
      <c r="P404" s="37"/>
      <c r="Q404" s="37" t="s">
        <v>47</v>
      </c>
      <c r="R404" s="37"/>
      <c r="S404" s="37"/>
      <c r="T404" s="37" t="s">
        <v>47</v>
      </c>
      <c r="U404" s="37"/>
      <c r="V404" s="37"/>
      <c r="W404" s="37" t="s">
        <v>47</v>
      </c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M404" s="38"/>
      <c r="AN404" s="38"/>
      <c r="AO404" s="38"/>
      <c r="AP404" s="38"/>
      <c r="AQ404" s="38"/>
      <c r="AR404" s="38"/>
      <c r="AS404" s="38"/>
      <c r="AT404" s="38" t="s">
        <v>47</v>
      </c>
      <c r="AU404" s="38"/>
      <c r="AV404" s="38"/>
      <c r="AW404" s="38"/>
      <c r="AX404" s="38" t="s">
        <v>47</v>
      </c>
      <c r="AY404" s="38"/>
      <c r="AZ404" s="38"/>
      <c r="BA404" s="38"/>
      <c r="BB404" s="38"/>
      <c r="BC404" s="38"/>
      <c r="BD404" s="38"/>
      <c r="BE404" s="77">
        <f t="shared" si="30"/>
        <v>2</v>
      </c>
      <c r="BF404" s="38"/>
    </row>
    <row r="405" spans="1:58" ht="22.5" hidden="1" customHeight="1">
      <c r="A405" s="33" t="str">
        <f>IF(OR(ISBLANK(E405),ISBLANK(C405)),"",IF(COUNTIF($E$8:E405,E405)&gt;1,"",(MAX($A$7:A404)+1)))</f>
        <v/>
      </c>
      <c r="B405" s="34">
        <f>IF(ISBLANK(C405),"",SUBTOTAL(3,$C$8:C405))</f>
        <v>44</v>
      </c>
      <c r="C405" s="78" t="s">
        <v>887</v>
      </c>
      <c r="D405" s="50" t="s">
        <v>888</v>
      </c>
      <c r="E405" s="50" t="s">
        <v>842</v>
      </c>
      <c r="F405" s="35" t="str">
        <f t="shared" si="28"/>
        <v/>
      </c>
      <c r="G405" s="36" t="str">
        <f t="shared" si="29"/>
        <v>C</v>
      </c>
      <c r="H405" s="51">
        <f t="shared" si="27"/>
        <v>1</v>
      </c>
      <c r="I405" s="51" t="str">
        <f t="shared" si="27"/>
        <v/>
      </c>
      <c r="J405" s="51" t="str">
        <f t="shared" si="27"/>
        <v/>
      </c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 t="s">
        <v>47</v>
      </c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M405" s="38"/>
      <c r="AN405" s="38"/>
      <c r="AO405" s="38" t="s">
        <v>47</v>
      </c>
      <c r="AP405" s="38"/>
      <c r="AQ405" s="38"/>
      <c r="AR405" s="38"/>
      <c r="AS405" s="38"/>
      <c r="AT405" s="38"/>
      <c r="AU405" s="38"/>
      <c r="AV405" s="38"/>
      <c r="AW405" s="38"/>
      <c r="AX405" s="38"/>
      <c r="AY405" s="38"/>
      <c r="AZ405" s="38"/>
      <c r="BA405" s="38"/>
      <c r="BB405" s="38"/>
      <c r="BC405" s="38"/>
      <c r="BD405" s="38"/>
      <c r="BE405" s="77">
        <f t="shared" si="30"/>
        <v>1</v>
      </c>
      <c r="BF405" s="38"/>
    </row>
    <row r="406" spans="1:58" ht="22.5" hidden="1" customHeight="1">
      <c r="A406" s="33" t="str">
        <f>IF(OR(ISBLANK(E406),ISBLANK(C406)),"",IF(COUNTIF($E$8:E406,E406)&gt;1,"",(MAX($A$7:A405)+1)))</f>
        <v/>
      </c>
      <c r="B406" s="34">
        <f>IF(ISBLANK(C406),"",SUBTOTAL(3,$C$8:C406))</f>
        <v>44</v>
      </c>
      <c r="C406" s="78" t="s">
        <v>889</v>
      </c>
      <c r="D406" s="50" t="s">
        <v>890</v>
      </c>
      <c r="E406" s="50" t="s">
        <v>842</v>
      </c>
      <c r="F406" s="35" t="str">
        <f t="shared" si="28"/>
        <v/>
      </c>
      <c r="G406" s="36" t="str">
        <f t="shared" si="29"/>
        <v>B</v>
      </c>
      <c r="H406" s="51">
        <f t="shared" si="27"/>
        <v>2</v>
      </c>
      <c r="I406" s="51">
        <f t="shared" si="27"/>
        <v>1</v>
      </c>
      <c r="J406" s="51" t="str">
        <f t="shared" si="27"/>
        <v/>
      </c>
      <c r="K406" s="37" t="s">
        <v>47</v>
      </c>
      <c r="L406" s="37"/>
      <c r="M406" s="37"/>
      <c r="N406" s="37"/>
      <c r="O406" s="37" t="s">
        <v>47</v>
      </c>
      <c r="P406" s="37"/>
      <c r="Q406" s="37" t="s">
        <v>47</v>
      </c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M406" s="38"/>
      <c r="AN406" s="38"/>
      <c r="AO406" s="38"/>
      <c r="AP406" s="38"/>
      <c r="AQ406" s="38"/>
      <c r="AR406" s="38"/>
      <c r="AS406" s="38"/>
      <c r="AT406" s="38"/>
      <c r="AU406" s="38"/>
      <c r="AV406" s="38"/>
      <c r="AW406" s="38"/>
      <c r="AX406" s="38"/>
      <c r="AY406" s="38"/>
      <c r="AZ406" s="38"/>
      <c r="BA406" s="38" t="s">
        <v>47</v>
      </c>
      <c r="BB406" s="38"/>
      <c r="BC406" s="38"/>
      <c r="BD406" s="38"/>
      <c r="BE406" s="77">
        <f t="shared" si="30"/>
        <v>1</v>
      </c>
      <c r="BF406" s="38"/>
    </row>
    <row r="407" spans="1:58" ht="22.5" hidden="1" customHeight="1">
      <c r="A407" s="33" t="str">
        <f>IF(OR(ISBLANK(E407),ISBLANK(C407)),"",IF(COUNTIF($E$8:E407,E407)&gt;1,"",(MAX($A$7:A406)+1)))</f>
        <v/>
      </c>
      <c r="B407" s="34">
        <f>IF(ISBLANK(C407),"",SUBTOTAL(3,$C$8:C407))</f>
        <v>44</v>
      </c>
      <c r="C407" s="78" t="s">
        <v>891</v>
      </c>
      <c r="D407" s="50" t="s">
        <v>892</v>
      </c>
      <c r="E407" s="50" t="s">
        <v>842</v>
      </c>
      <c r="F407" s="35" t="str">
        <f t="shared" si="28"/>
        <v/>
      </c>
      <c r="G407" s="36" t="str">
        <f t="shared" si="29"/>
        <v>D</v>
      </c>
      <c r="H407" s="51" t="str">
        <f t="shared" si="27"/>
        <v/>
      </c>
      <c r="I407" s="51">
        <f t="shared" si="27"/>
        <v>1</v>
      </c>
      <c r="J407" s="51" t="str">
        <f t="shared" si="27"/>
        <v/>
      </c>
      <c r="K407" s="37"/>
      <c r="L407" s="37" t="s">
        <v>47</v>
      </c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M407" s="38"/>
      <c r="AN407" s="38"/>
      <c r="AO407" s="38"/>
      <c r="AP407" s="38"/>
      <c r="AQ407" s="38"/>
      <c r="AR407" s="38" t="s">
        <v>47</v>
      </c>
      <c r="AS407" s="38"/>
      <c r="AT407" s="38"/>
      <c r="AU407" s="38"/>
      <c r="AV407" s="38"/>
      <c r="AW407" s="38"/>
      <c r="AX407" s="38"/>
      <c r="AY407" s="38"/>
      <c r="AZ407" s="38"/>
      <c r="BA407" s="38"/>
      <c r="BB407" s="38"/>
      <c r="BC407" s="38"/>
      <c r="BD407" s="38"/>
      <c r="BE407" s="77">
        <f t="shared" si="30"/>
        <v>1</v>
      </c>
      <c r="BF407" s="38"/>
    </row>
    <row r="408" spans="1:58" ht="22.5" hidden="1" customHeight="1">
      <c r="A408" s="33" t="str">
        <f>IF(OR(ISBLANK(E408),ISBLANK(C408)),"",IF(COUNTIF($E$8:E408,E408)&gt;1,"",(MAX($A$7:A407)+1)))</f>
        <v/>
      </c>
      <c r="B408" s="34">
        <f>IF(ISBLANK(C408),"",SUBTOTAL(3,$C$8:C408))</f>
        <v>44</v>
      </c>
      <c r="C408" s="78" t="s">
        <v>893</v>
      </c>
      <c r="D408" s="50" t="s">
        <v>894</v>
      </c>
      <c r="E408" s="50" t="s">
        <v>842</v>
      </c>
      <c r="F408" s="35" t="str">
        <f t="shared" si="28"/>
        <v/>
      </c>
      <c r="G408" s="36" t="str">
        <f t="shared" si="29"/>
        <v>D</v>
      </c>
      <c r="H408" s="51" t="str">
        <f t="shared" ref="H408:J471" si="31">IF(OR(ISBLANK($C408),COUNTIFS($K408:$AH408,"X",$K$7:$AH$7,H$7)=0,),"",COUNTIFS($K408:$AH408,"X",$K$7:$AH$7,H$7))</f>
        <v/>
      </c>
      <c r="I408" s="51">
        <f t="shared" si="31"/>
        <v>1</v>
      </c>
      <c r="J408" s="51" t="str">
        <f t="shared" si="31"/>
        <v/>
      </c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 t="s">
        <v>47</v>
      </c>
      <c r="AH408" s="37"/>
      <c r="AI408" s="37"/>
      <c r="AJ408" s="37"/>
      <c r="AK408" s="37"/>
      <c r="AM408" s="38"/>
      <c r="AN408" s="38"/>
      <c r="AO408" s="38"/>
      <c r="AP408" s="38" t="s">
        <v>47</v>
      </c>
      <c r="AQ408" s="38"/>
      <c r="AR408" s="38"/>
      <c r="AS408" s="38"/>
      <c r="AT408" s="38"/>
      <c r="AU408" s="38"/>
      <c r="AV408" s="38"/>
      <c r="AW408" s="38"/>
      <c r="AX408" s="38"/>
      <c r="AY408" s="38"/>
      <c r="AZ408" s="38"/>
      <c r="BA408" s="38"/>
      <c r="BB408" s="38"/>
      <c r="BC408" s="38"/>
      <c r="BD408" s="38"/>
      <c r="BE408" s="77">
        <f t="shared" si="30"/>
        <v>1</v>
      </c>
      <c r="BF408" s="38"/>
    </row>
    <row r="409" spans="1:58" ht="22.5" hidden="1" customHeight="1">
      <c r="A409" s="33" t="str">
        <f>IF(OR(ISBLANK(E409),ISBLANK(C409)),"",IF(COUNTIF($E$8:E409,E409)&gt;1,"",(MAX($A$7:A408)+1)))</f>
        <v/>
      </c>
      <c r="B409" s="34">
        <f>IF(ISBLANK(C409),"",SUBTOTAL(3,$C$8:C409))</f>
        <v>44</v>
      </c>
      <c r="C409" s="78" t="s">
        <v>895</v>
      </c>
      <c r="D409" s="50" t="s">
        <v>896</v>
      </c>
      <c r="E409" s="50" t="s">
        <v>842</v>
      </c>
      <c r="F409" s="35" t="str">
        <f t="shared" si="28"/>
        <v/>
      </c>
      <c r="G409" s="36" t="str">
        <f t="shared" si="29"/>
        <v>D</v>
      </c>
      <c r="H409" s="51" t="str">
        <f t="shared" si="31"/>
        <v/>
      </c>
      <c r="I409" s="51">
        <f t="shared" si="31"/>
        <v>1</v>
      </c>
      <c r="J409" s="51" t="str">
        <f t="shared" si="31"/>
        <v/>
      </c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 t="s">
        <v>47</v>
      </c>
      <c r="AH409" s="37"/>
      <c r="AI409" s="37"/>
      <c r="AJ409" s="37"/>
      <c r="AK409" s="37"/>
      <c r="AM409" s="38"/>
      <c r="AN409" s="38"/>
      <c r="AO409" s="38"/>
      <c r="AP409" s="38"/>
      <c r="AQ409" s="38" t="s">
        <v>47</v>
      </c>
      <c r="AR409" s="38"/>
      <c r="AS409" s="38"/>
      <c r="AT409" s="38"/>
      <c r="AU409" s="38"/>
      <c r="AV409" s="38"/>
      <c r="AW409" s="38"/>
      <c r="AX409" s="38"/>
      <c r="AY409" s="38"/>
      <c r="AZ409" s="38"/>
      <c r="BA409" s="38"/>
      <c r="BB409" s="38"/>
      <c r="BC409" s="38"/>
      <c r="BD409" s="38"/>
      <c r="BE409" s="77">
        <f t="shared" si="30"/>
        <v>1</v>
      </c>
      <c r="BF409" s="38"/>
    </row>
    <row r="410" spans="1:58" ht="22.5" hidden="1" customHeight="1">
      <c r="A410" s="33" t="str">
        <f>IF(OR(ISBLANK(E410),ISBLANK(C410)),"",IF(COUNTIF($E$8:E410,E410)&gt;1,"",(MAX($A$7:A409)+1)))</f>
        <v/>
      </c>
      <c r="B410" s="34">
        <f>IF(ISBLANK(C410),"",SUBTOTAL(3,$C$8:C410))</f>
        <v>44</v>
      </c>
      <c r="C410" s="78" t="s">
        <v>897</v>
      </c>
      <c r="D410" s="50" t="s">
        <v>898</v>
      </c>
      <c r="E410" s="50" t="s">
        <v>842</v>
      </c>
      <c r="F410" s="35" t="str">
        <f t="shared" si="28"/>
        <v/>
      </c>
      <c r="G410" s="36" t="str">
        <f t="shared" si="29"/>
        <v>C</v>
      </c>
      <c r="H410" s="51" t="str">
        <f t="shared" si="31"/>
        <v/>
      </c>
      <c r="I410" s="51">
        <f t="shared" si="31"/>
        <v>2</v>
      </c>
      <c r="J410" s="51" t="str">
        <f t="shared" si="31"/>
        <v/>
      </c>
      <c r="K410" s="37"/>
      <c r="L410" s="37" t="s">
        <v>47</v>
      </c>
      <c r="M410" s="37"/>
      <c r="N410" s="37"/>
      <c r="O410" s="37"/>
      <c r="P410" s="37"/>
      <c r="Q410" s="37"/>
      <c r="R410" s="37" t="s">
        <v>47</v>
      </c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M410" s="38"/>
      <c r="AN410" s="38"/>
      <c r="AO410" s="38"/>
      <c r="AP410" s="38"/>
      <c r="AQ410" s="38"/>
      <c r="AR410" s="38"/>
      <c r="AS410" s="38" t="s">
        <v>47</v>
      </c>
      <c r="AT410" s="38"/>
      <c r="AU410" s="38"/>
      <c r="AV410" s="38"/>
      <c r="AW410" s="38"/>
      <c r="AX410" s="38"/>
      <c r="AY410" s="38"/>
      <c r="AZ410" s="38"/>
      <c r="BA410" s="38"/>
      <c r="BB410" s="38"/>
      <c r="BC410" s="38"/>
      <c r="BD410" s="38"/>
      <c r="BE410" s="77">
        <f t="shared" si="30"/>
        <v>1</v>
      </c>
      <c r="BF410" s="38"/>
    </row>
    <row r="411" spans="1:58" ht="22.5" hidden="1" customHeight="1">
      <c r="A411" s="33" t="str">
        <f>IF(OR(ISBLANK(E411),ISBLANK(C411)),"",IF(COUNTIF($E$8:E411,E411)&gt;1,"",(MAX($A$7:A410)+1)))</f>
        <v/>
      </c>
      <c r="B411" s="34">
        <f>IF(ISBLANK(C411),"",SUBTOTAL(3,$C$8:C411))</f>
        <v>44</v>
      </c>
      <c r="C411" s="78" t="s">
        <v>899</v>
      </c>
      <c r="D411" s="50" t="s">
        <v>900</v>
      </c>
      <c r="E411" s="50" t="s">
        <v>842</v>
      </c>
      <c r="F411" s="35" t="str">
        <f t="shared" si="28"/>
        <v/>
      </c>
      <c r="G411" s="36" t="str">
        <f t="shared" si="29"/>
        <v>D</v>
      </c>
      <c r="H411" s="51" t="str">
        <f t="shared" si="31"/>
        <v/>
      </c>
      <c r="I411" s="51">
        <f t="shared" si="31"/>
        <v>1</v>
      </c>
      <c r="J411" s="51" t="str">
        <f t="shared" si="31"/>
        <v/>
      </c>
      <c r="K411" s="37"/>
      <c r="L411" s="37" t="s">
        <v>47</v>
      </c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M411" s="38"/>
      <c r="AN411" s="38"/>
      <c r="AO411" s="38"/>
      <c r="AP411" s="38"/>
      <c r="AQ411" s="38"/>
      <c r="AR411" s="38"/>
      <c r="AS411" s="38" t="s">
        <v>47</v>
      </c>
      <c r="AT411" s="38"/>
      <c r="AU411" s="38"/>
      <c r="AV411" s="38"/>
      <c r="AW411" s="38"/>
      <c r="AX411" s="38"/>
      <c r="AY411" s="38"/>
      <c r="AZ411" s="38"/>
      <c r="BA411" s="38"/>
      <c r="BB411" s="38"/>
      <c r="BC411" s="38"/>
      <c r="BD411" s="38"/>
      <c r="BE411" s="77">
        <f t="shared" si="30"/>
        <v>1</v>
      </c>
      <c r="BF411" s="38"/>
    </row>
    <row r="412" spans="1:58" ht="22.5" hidden="1" customHeight="1">
      <c r="A412" s="33" t="str">
        <f>IF(OR(ISBLANK(E412),ISBLANK(C412)),"",IF(COUNTIF($E$8:E412,E412)&gt;1,"",(MAX($A$7:A411)+1)))</f>
        <v/>
      </c>
      <c r="B412" s="34">
        <f>IF(ISBLANK(C412),"",SUBTOTAL(3,$C$8:C412))</f>
        <v>44</v>
      </c>
      <c r="C412" s="78" t="s">
        <v>901</v>
      </c>
      <c r="D412" s="50" t="s">
        <v>902</v>
      </c>
      <c r="E412" s="50" t="s">
        <v>842</v>
      </c>
      <c r="F412" s="35" t="str">
        <f t="shared" si="28"/>
        <v/>
      </c>
      <c r="G412" s="36" t="str">
        <f t="shared" si="29"/>
        <v>C</v>
      </c>
      <c r="H412" s="51">
        <f t="shared" si="31"/>
        <v>1</v>
      </c>
      <c r="I412" s="51" t="str">
        <f t="shared" si="31"/>
        <v/>
      </c>
      <c r="J412" s="51" t="str">
        <f t="shared" si="31"/>
        <v/>
      </c>
      <c r="K412" s="37" t="s">
        <v>47</v>
      </c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M412" s="38"/>
      <c r="AN412" s="38"/>
      <c r="AO412" s="38"/>
      <c r="AP412" s="38"/>
      <c r="AQ412" s="38"/>
      <c r="AR412" s="38"/>
      <c r="AS412" s="38"/>
      <c r="AT412" s="38"/>
      <c r="AU412" s="38"/>
      <c r="AV412" s="38"/>
      <c r="AW412" s="38"/>
      <c r="AX412" s="38"/>
      <c r="AY412" s="38"/>
      <c r="AZ412" s="38" t="s">
        <v>47</v>
      </c>
      <c r="BA412" s="38"/>
      <c r="BB412" s="38"/>
      <c r="BC412" s="38"/>
      <c r="BD412" s="38"/>
      <c r="BE412" s="77">
        <f t="shared" si="30"/>
        <v>1</v>
      </c>
      <c r="BF412" s="38"/>
    </row>
    <row r="413" spans="1:58" ht="22.5" hidden="1" customHeight="1">
      <c r="A413" s="33" t="str">
        <f>IF(OR(ISBLANK(E413),ISBLANK(C413)),"",IF(COUNTIF($E$8:E413,E413)&gt;1,"",(MAX($A$7:A412)+1)))</f>
        <v/>
      </c>
      <c r="B413" s="34">
        <f>IF(ISBLANK(C413),"",SUBTOTAL(3,$C$8:C413))</f>
        <v>44</v>
      </c>
      <c r="C413" s="78" t="s">
        <v>903</v>
      </c>
      <c r="D413" s="50" t="s">
        <v>904</v>
      </c>
      <c r="E413" s="50" t="s">
        <v>842</v>
      </c>
      <c r="F413" s="35" t="str">
        <f t="shared" si="28"/>
        <v/>
      </c>
      <c r="G413" s="36" t="str">
        <f t="shared" si="29"/>
        <v>A</v>
      </c>
      <c r="H413" s="51">
        <f t="shared" si="31"/>
        <v>2</v>
      </c>
      <c r="I413" s="51">
        <f t="shared" si="31"/>
        <v>3</v>
      </c>
      <c r="J413" s="51" t="str">
        <f t="shared" si="31"/>
        <v/>
      </c>
      <c r="K413" s="37" t="s">
        <v>47</v>
      </c>
      <c r="L413" s="37"/>
      <c r="M413" s="37"/>
      <c r="N413" s="37" t="s">
        <v>47</v>
      </c>
      <c r="O413" s="37"/>
      <c r="P413" s="37"/>
      <c r="Q413" s="37"/>
      <c r="R413" s="37" t="s">
        <v>47</v>
      </c>
      <c r="S413" s="37"/>
      <c r="T413" s="37"/>
      <c r="U413" s="37" t="s">
        <v>47</v>
      </c>
      <c r="V413" s="37"/>
      <c r="W413" s="37"/>
      <c r="X413" s="37" t="s">
        <v>47</v>
      </c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M413" s="38"/>
      <c r="AN413" s="38"/>
      <c r="AO413" s="38"/>
      <c r="AP413" s="38"/>
      <c r="AQ413" s="38"/>
      <c r="AR413" s="38"/>
      <c r="AS413" s="38"/>
      <c r="AT413" s="38"/>
      <c r="AU413" s="38"/>
      <c r="AV413" s="38"/>
      <c r="AW413" s="38"/>
      <c r="AX413" s="38" t="s">
        <v>47</v>
      </c>
      <c r="AY413" s="38" t="s">
        <v>47</v>
      </c>
      <c r="AZ413" s="38"/>
      <c r="BA413" s="38"/>
      <c r="BB413" s="38"/>
      <c r="BC413" s="38"/>
      <c r="BD413" s="38"/>
      <c r="BE413" s="77">
        <f t="shared" si="30"/>
        <v>2</v>
      </c>
      <c r="BF413" s="38"/>
    </row>
    <row r="414" spans="1:58" ht="22.5" hidden="1" customHeight="1">
      <c r="A414" s="33" t="str">
        <f>IF(OR(ISBLANK(E414),ISBLANK(C414)),"",IF(COUNTIF($E$8:E414,E414)&gt;1,"",(MAX($A$7:A413)+1)))</f>
        <v/>
      </c>
      <c r="B414" s="34">
        <f>IF(ISBLANK(C414),"",SUBTOTAL(3,$C$8:C414))</f>
        <v>44</v>
      </c>
      <c r="C414" s="78" t="s">
        <v>905</v>
      </c>
      <c r="D414" s="50" t="s">
        <v>906</v>
      </c>
      <c r="E414" s="50" t="s">
        <v>842</v>
      </c>
      <c r="F414" s="35" t="str">
        <f t="shared" si="28"/>
        <v/>
      </c>
      <c r="G414" s="36" t="str">
        <f t="shared" si="29"/>
        <v>D</v>
      </c>
      <c r="H414" s="51" t="str">
        <f t="shared" si="31"/>
        <v/>
      </c>
      <c r="I414" s="51">
        <f t="shared" si="31"/>
        <v>1</v>
      </c>
      <c r="J414" s="51" t="str">
        <f t="shared" si="31"/>
        <v/>
      </c>
      <c r="K414" s="37"/>
      <c r="L414" s="37" t="s">
        <v>47</v>
      </c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M414" s="38"/>
      <c r="AN414" s="38"/>
      <c r="AO414" s="38"/>
      <c r="AP414" s="38"/>
      <c r="AQ414" s="38"/>
      <c r="AR414" s="38"/>
      <c r="AS414" s="38" t="s">
        <v>47</v>
      </c>
      <c r="AT414" s="38"/>
      <c r="AU414" s="38"/>
      <c r="AV414" s="38"/>
      <c r="AW414" s="38"/>
      <c r="AX414" s="38"/>
      <c r="AY414" s="38"/>
      <c r="AZ414" s="38"/>
      <c r="BA414" s="38"/>
      <c r="BB414" s="38"/>
      <c r="BC414" s="38"/>
      <c r="BD414" s="38"/>
      <c r="BE414" s="77">
        <f t="shared" si="30"/>
        <v>1</v>
      </c>
      <c r="BF414" s="38"/>
    </row>
    <row r="415" spans="1:58" ht="22.5" hidden="1" customHeight="1">
      <c r="A415" s="33" t="str">
        <f>IF(OR(ISBLANK(E415),ISBLANK(C415)),"",IF(COUNTIF($E$8:E415,E415)&gt;1,"",(MAX($A$7:A414)+1)))</f>
        <v/>
      </c>
      <c r="B415" s="34">
        <f>IF(ISBLANK(C415),"",SUBTOTAL(3,$C$8:C415))</f>
        <v>44</v>
      </c>
      <c r="C415" s="78" t="s">
        <v>907</v>
      </c>
      <c r="D415" s="50" t="s">
        <v>908</v>
      </c>
      <c r="E415" s="50" t="s">
        <v>842</v>
      </c>
      <c r="F415" s="35" t="str">
        <f t="shared" si="28"/>
        <v/>
      </c>
      <c r="G415" s="36" t="str">
        <f t="shared" si="29"/>
        <v>C</v>
      </c>
      <c r="H415" s="51" t="str">
        <f t="shared" si="31"/>
        <v/>
      </c>
      <c r="I415" s="51">
        <f t="shared" si="31"/>
        <v>2</v>
      </c>
      <c r="J415" s="51" t="str">
        <f t="shared" si="31"/>
        <v/>
      </c>
      <c r="K415" s="37"/>
      <c r="L415" s="37" t="s">
        <v>47</v>
      </c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 t="s">
        <v>47</v>
      </c>
      <c r="AH415" s="37"/>
      <c r="AI415" s="37"/>
      <c r="AJ415" s="37"/>
      <c r="AK415" s="37"/>
      <c r="AM415" s="38"/>
      <c r="AN415" s="38"/>
      <c r="AO415" s="38"/>
      <c r="AP415" s="38"/>
      <c r="AQ415" s="38" t="s">
        <v>47</v>
      </c>
      <c r="AR415" s="38"/>
      <c r="AS415" s="38" t="s">
        <v>47</v>
      </c>
      <c r="AT415" s="38"/>
      <c r="AU415" s="38"/>
      <c r="AV415" s="38"/>
      <c r="AW415" s="38"/>
      <c r="AX415" s="38"/>
      <c r="AY415" s="38"/>
      <c r="AZ415" s="38"/>
      <c r="BA415" s="38"/>
      <c r="BB415" s="38"/>
      <c r="BC415" s="38"/>
      <c r="BD415" s="38"/>
      <c r="BE415" s="77">
        <f t="shared" si="30"/>
        <v>2</v>
      </c>
      <c r="BF415" s="38"/>
    </row>
    <row r="416" spans="1:58" ht="22.5" hidden="1" customHeight="1">
      <c r="A416" s="33" t="str">
        <f>IF(OR(ISBLANK(E416),ISBLANK(C416)),"",IF(COUNTIF($E$8:E416,E416)&gt;1,"",(MAX($A$7:A415)+1)))</f>
        <v/>
      </c>
      <c r="B416" s="34">
        <f>IF(ISBLANK(C416),"",SUBTOTAL(3,$C$8:C416))</f>
        <v>44</v>
      </c>
      <c r="C416" s="80" t="s">
        <v>909</v>
      </c>
      <c r="D416" s="52" t="s">
        <v>910</v>
      </c>
      <c r="E416" s="50" t="s">
        <v>842</v>
      </c>
      <c r="F416" s="35" t="str">
        <f t="shared" si="28"/>
        <v/>
      </c>
      <c r="G416" s="36" t="str">
        <f t="shared" si="29"/>
        <v>D</v>
      </c>
      <c r="H416" s="51" t="str">
        <f t="shared" si="31"/>
        <v/>
      </c>
      <c r="I416" s="51">
        <f t="shared" si="31"/>
        <v>1</v>
      </c>
      <c r="J416" s="51" t="str">
        <f t="shared" si="31"/>
        <v/>
      </c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 t="s">
        <v>47</v>
      </c>
      <c r="AH416" s="37"/>
      <c r="AI416" s="37"/>
      <c r="AJ416" s="37"/>
      <c r="AK416" s="37"/>
      <c r="AM416" s="38"/>
      <c r="AN416" s="38"/>
      <c r="AO416" s="38" t="s">
        <v>47</v>
      </c>
      <c r="AP416" s="38" t="s">
        <v>47</v>
      </c>
      <c r="AQ416" s="38" t="s">
        <v>47</v>
      </c>
      <c r="AR416" s="38"/>
      <c r="AS416" s="38"/>
      <c r="AT416" s="38"/>
      <c r="AU416" s="38"/>
      <c r="AV416" s="38"/>
      <c r="AW416" s="38"/>
      <c r="AX416" s="38"/>
      <c r="AY416" s="38"/>
      <c r="AZ416" s="38"/>
      <c r="BA416" s="38"/>
      <c r="BB416" s="38"/>
      <c r="BC416" s="38"/>
      <c r="BD416" s="38"/>
      <c r="BE416" s="77">
        <f t="shared" si="30"/>
        <v>3</v>
      </c>
      <c r="BF416" s="38"/>
    </row>
    <row r="417" spans="1:58" ht="22.5" hidden="1" customHeight="1">
      <c r="A417" s="33" t="str">
        <f>IF(OR(ISBLANK(E417),ISBLANK(C417)),"",IF(COUNTIF($E$8:E417,E417)&gt;1,"",(MAX($A$7:A416)+1)))</f>
        <v/>
      </c>
      <c r="B417" s="34">
        <f>IF(ISBLANK(C417),"",SUBTOTAL(3,$C$8:C417))</f>
        <v>44</v>
      </c>
      <c r="C417" s="80" t="s">
        <v>911</v>
      </c>
      <c r="D417" s="50" t="s">
        <v>912</v>
      </c>
      <c r="E417" s="50" t="s">
        <v>842</v>
      </c>
      <c r="F417" s="35" t="str">
        <f t="shared" si="28"/>
        <v/>
      </c>
      <c r="G417" s="36" t="str">
        <f t="shared" si="29"/>
        <v>B</v>
      </c>
      <c r="H417" s="51">
        <f t="shared" si="31"/>
        <v>2</v>
      </c>
      <c r="I417" s="51" t="str">
        <f t="shared" si="31"/>
        <v/>
      </c>
      <c r="J417" s="51">
        <f t="shared" si="31"/>
        <v>2</v>
      </c>
      <c r="K417" s="37" t="s">
        <v>47</v>
      </c>
      <c r="L417" s="37"/>
      <c r="M417" s="37"/>
      <c r="N417" s="37" t="s">
        <v>47</v>
      </c>
      <c r="O417" s="37"/>
      <c r="P417" s="37"/>
      <c r="Q417" s="37"/>
      <c r="R417" s="37"/>
      <c r="S417" s="37" t="s">
        <v>47</v>
      </c>
      <c r="T417" s="37"/>
      <c r="U417" s="37"/>
      <c r="V417" s="37" t="s">
        <v>47</v>
      </c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M417" s="38"/>
      <c r="AN417" s="38"/>
      <c r="AO417" s="38"/>
      <c r="AP417" s="38"/>
      <c r="AQ417" s="38"/>
      <c r="AR417" s="38"/>
      <c r="AS417" s="38"/>
      <c r="AT417" s="38"/>
      <c r="AU417" s="38"/>
      <c r="AV417" s="38"/>
      <c r="AW417" s="38" t="s">
        <v>47</v>
      </c>
      <c r="AX417" s="38"/>
      <c r="AY417" s="38"/>
      <c r="AZ417" s="38"/>
      <c r="BA417" s="38"/>
      <c r="BB417" s="38"/>
      <c r="BC417" s="38"/>
      <c r="BD417" s="38"/>
      <c r="BE417" s="77">
        <f t="shared" si="30"/>
        <v>1</v>
      </c>
      <c r="BF417" s="38"/>
    </row>
    <row r="418" spans="1:58" ht="22.5" hidden="1" customHeight="1">
      <c r="A418" s="33" t="str">
        <f>IF(OR(ISBLANK(E418),ISBLANK(C418)),"",IF(COUNTIF($E$8:E418,E418)&gt;1,"",(MAX($A$7:A417)+1)))</f>
        <v/>
      </c>
      <c r="B418" s="34">
        <f>IF(ISBLANK(C418),"",SUBTOTAL(3,$C$8:C418))</f>
        <v>44</v>
      </c>
      <c r="C418" s="80" t="s">
        <v>913</v>
      </c>
      <c r="D418" s="50" t="s">
        <v>914</v>
      </c>
      <c r="E418" s="50" t="s">
        <v>842</v>
      </c>
      <c r="F418" s="35" t="str">
        <f t="shared" si="28"/>
        <v/>
      </c>
      <c r="G418" s="36" t="str">
        <f t="shared" si="29"/>
        <v>C</v>
      </c>
      <c r="H418" s="51" t="str">
        <f t="shared" si="31"/>
        <v/>
      </c>
      <c r="I418" s="51">
        <f t="shared" si="31"/>
        <v>2</v>
      </c>
      <c r="J418" s="51" t="str">
        <f t="shared" si="31"/>
        <v/>
      </c>
      <c r="K418" s="37"/>
      <c r="L418" s="37" t="s">
        <v>47</v>
      </c>
      <c r="M418" s="37"/>
      <c r="N418" s="37"/>
      <c r="O418" s="37"/>
      <c r="P418" s="37"/>
      <c r="Q418" s="37"/>
      <c r="R418" s="37" t="s">
        <v>47</v>
      </c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M418" s="38"/>
      <c r="AN418" s="38"/>
      <c r="AO418" s="38"/>
      <c r="AP418" s="38"/>
      <c r="AQ418" s="38"/>
      <c r="AR418" s="38"/>
      <c r="AS418" s="38"/>
      <c r="AT418" s="38"/>
      <c r="AU418" s="38"/>
      <c r="AV418" s="38" t="s">
        <v>47</v>
      </c>
      <c r="AW418" s="38"/>
      <c r="AX418" s="38"/>
      <c r="AY418" s="38"/>
      <c r="AZ418" s="38"/>
      <c r="BA418" s="38"/>
      <c r="BB418" s="38"/>
      <c r="BC418" s="38"/>
      <c r="BD418" s="38"/>
      <c r="BE418" s="77">
        <f t="shared" si="30"/>
        <v>1</v>
      </c>
      <c r="BF418" s="38"/>
    </row>
    <row r="419" spans="1:58" ht="22.5" hidden="1" customHeight="1">
      <c r="A419" s="33" t="str">
        <f>IF(OR(ISBLANK(E419),ISBLANK(C419)),"",IF(COUNTIF($E$8:E419,E419)&gt;1,"",(MAX($A$7:A418)+1)))</f>
        <v/>
      </c>
      <c r="B419" s="34">
        <f>IF(ISBLANK(C419),"",SUBTOTAL(3,$C$8:C419))</f>
        <v>44</v>
      </c>
      <c r="C419" s="80" t="s">
        <v>915</v>
      </c>
      <c r="D419" s="50" t="s">
        <v>916</v>
      </c>
      <c r="E419" s="50" t="s">
        <v>842</v>
      </c>
      <c r="F419" s="35" t="str">
        <f t="shared" si="28"/>
        <v/>
      </c>
      <c r="G419" s="36" t="str">
        <f t="shared" si="29"/>
        <v>C</v>
      </c>
      <c r="H419" s="51" t="str">
        <f t="shared" si="31"/>
        <v/>
      </c>
      <c r="I419" s="51">
        <f t="shared" si="31"/>
        <v>2</v>
      </c>
      <c r="J419" s="51" t="str">
        <f t="shared" si="31"/>
        <v/>
      </c>
      <c r="K419" s="37"/>
      <c r="L419" s="37" t="s">
        <v>47</v>
      </c>
      <c r="M419" s="37"/>
      <c r="N419" s="37"/>
      <c r="O419" s="37"/>
      <c r="P419" s="37"/>
      <c r="Q419" s="37"/>
      <c r="R419" s="37" t="s">
        <v>47</v>
      </c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M419" s="38"/>
      <c r="AN419" s="38"/>
      <c r="AO419" s="38"/>
      <c r="AP419" s="38"/>
      <c r="AQ419" s="38"/>
      <c r="AR419" s="38"/>
      <c r="AS419" s="38" t="s">
        <v>47</v>
      </c>
      <c r="AT419" s="38"/>
      <c r="AU419" s="38"/>
      <c r="AV419" s="38"/>
      <c r="AW419" s="38"/>
      <c r="AX419" s="38"/>
      <c r="AY419" s="38"/>
      <c r="AZ419" s="38"/>
      <c r="BA419" s="38"/>
      <c r="BB419" s="38"/>
      <c r="BC419" s="38"/>
      <c r="BD419" s="38"/>
      <c r="BE419" s="77">
        <f t="shared" si="30"/>
        <v>1</v>
      </c>
      <c r="BF419" s="38"/>
    </row>
    <row r="420" spans="1:58" ht="22.5" hidden="1" customHeight="1">
      <c r="A420" s="33" t="str">
        <f>IF(OR(ISBLANK(E420),ISBLANK(C420)),"",IF(COUNTIF($E$8:E420,E420)&gt;1,"",(MAX($A$7:A419)+1)))</f>
        <v/>
      </c>
      <c r="B420" s="34">
        <f>IF(ISBLANK(C420),"",SUBTOTAL(3,$C$8:C420))</f>
        <v>44</v>
      </c>
      <c r="C420" s="80" t="s">
        <v>917</v>
      </c>
      <c r="D420" s="50" t="s">
        <v>918</v>
      </c>
      <c r="E420" s="50" t="s">
        <v>842</v>
      </c>
      <c r="F420" s="35" t="str">
        <f t="shared" si="28"/>
        <v/>
      </c>
      <c r="G420" s="36" t="str">
        <f t="shared" si="29"/>
        <v>C</v>
      </c>
      <c r="H420" s="51" t="str">
        <f t="shared" si="31"/>
        <v/>
      </c>
      <c r="I420" s="51">
        <f t="shared" si="31"/>
        <v>2</v>
      </c>
      <c r="J420" s="51" t="str">
        <f t="shared" si="31"/>
        <v/>
      </c>
      <c r="K420" s="37"/>
      <c r="L420" s="37" t="s">
        <v>47</v>
      </c>
      <c r="M420" s="37"/>
      <c r="N420" s="37"/>
      <c r="O420" s="37"/>
      <c r="P420" s="37"/>
      <c r="Q420" s="37"/>
      <c r="R420" s="37" t="s">
        <v>47</v>
      </c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M420" s="38"/>
      <c r="AN420" s="38"/>
      <c r="AO420" s="38"/>
      <c r="AP420" s="38"/>
      <c r="AQ420" s="38"/>
      <c r="AR420" s="38"/>
      <c r="AS420" s="38"/>
      <c r="AT420" s="38"/>
      <c r="AU420" s="38"/>
      <c r="AV420" s="38"/>
      <c r="AW420" s="38" t="s">
        <v>47</v>
      </c>
      <c r="AX420" s="38"/>
      <c r="AY420" s="38"/>
      <c r="AZ420" s="38"/>
      <c r="BA420" s="38"/>
      <c r="BB420" s="38"/>
      <c r="BC420" s="38"/>
      <c r="BD420" s="38"/>
      <c r="BE420" s="77">
        <f t="shared" si="30"/>
        <v>1</v>
      </c>
      <c r="BF420" s="38"/>
    </row>
    <row r="421" spans="1:58" ht="22.5" hidden="1" customHeight="1">
      <c r="A421" s="33">
        <f>IF(OR(ISBLANK(E421),ISBLANK(C421)),"",IF(COUNTIF($E$8:E421,E421)&gt;1,"",(MAX($A$7:A420)+1)))</f>
        <v>11</v>
      </c>
      <c r="B421" s="34">
        <f>IF(ISBLANK(C421),"",SUBTOTAL(3,$C$8:C421))</f>
        <v>44</v>
      </c>
      <c r="C421" s="80" t="s">
        <v>919</v>
      </c>
      <c r="D421" s="50" t="s">
        <v>920</v>
      </c>
      <c r="E421" s="50" t="s">
        <v>921</v>
      </c>
      <c r="F421" s="35" t="str">
        <f t="shared" si="28"/>
        <v/>
      </c>
      <c r="G421" s="36" t="str">
        <f t="shared" si="29"/>
        <v>D</v>
      </c>
      <c r="H421" s="51" t="str">
        <f t="shared" si="31"/>
        <v/>
      </c>
      <c r="I421" s="51">
        <f t="shared" si="31"/>
        <v>1</v>
      </c>
      <c r="J421" s="51" t="str">
        <f t="shared" si="31"/>
        <v/>
      </c>
      <c r="K421" s="37"/>
      <c r="L421" s="37" t="s">
        <v>47</v>
      </c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M421" s="38"/>
      <c r="AN421" s="38"/>
      <c r="AO421" s="38"/>
      <c r="AP421" s="38"/>
      <c r="AQ421" s="38"/>
      <c r="AR421" s="38" t="s">
        <v>47</v>
      </c>
      <c r="AS421" s="38" t="s">
        <v>47</v>
      </c>
      <c r="AT421" s="38"/>
      <c r="AU421" s="38"/>
      <c r="AV421" s="38"/>
      <c r="AW421" s="38"/>
      <c r="AX421" s="38"/>
      <c r="AY421" s="38"/>
      <c r="AZ421" s="38"/>
      <c r="BA421" s="38"/>
      <c r="BB421" s="38"/>
      <c r="BC421" s="38"/>
      <c r="BD421" s="38"/>
      <c r="BE421" s="77">
        <f t="shared" si="30"/>
        <v>2</v>
      </c>
      <c r="BF421" s="38"/>
    </row>
    <row r="422" spans="1:58" ht="22.5" hidden="1" customHeight="1">
      <c r="A422" s="33" t="str">
        <f>IF(OR(ISBLANK(E422),ISBLANK(C422)),"",IF(COUNTIF($E$8:E422,E422)&gt;1,"",(MAX($A$7:A421)+1)))</f>
        <v/>
      </c>
      <c r="B422" s="34">
        <f>IF(ISBLANK(C422),"",SUBTOTAL(3,$C$8:C422))</f>
        <v>44</v>
      </c>
      <c r="C422" s="79" t="s">
        <v>922</v>
      </c>
      <c r="D422" s="50" t="s">
        <v>923</v>
      </c>
      <c r="E422" s="50" t="s">
        <v>921</v>
      </c>
      <c r="F422" s="35" t="str">
        <f t="shared" si="28"/>
        <v/>
      </c>
      <c r="G422" s="36" t="str">
        <f t="shared" si="29"/>
        <v/>
      </c>
      <c r="H422" s="51" t="str">
        <f t="shared" si="31"/>
        <v/>
      </c>
      <c r="I422" s="51" t="str">
        <f t="shared" si="31"/>
        <v/>
      </c>
      <c r="J422" s="51" t="str">
        <f t="shared" si="31"/>
        <v/>
      </c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M422" s="38"/>
      <c r="AN422" s="38"/>
      <c r="AO422" s="38"/>
      <c r="AP422" s="38"/>
      <c r="AQ422" s="38"/>
      <c r="AR422" s="38"/>
      <c r="AS422" s="38"/>
      <c r="AT422" s="38"/>
      <c r="AU422" s="38"/>
      <c r="AV422" s="38"/>
      <c r="AW422" s="38"/>
      <c r="AX422" s="38"/>
      <c r="AY422" s="38"/>
      <c r="AZ422" s="38"/>
      <c r="BA422" s="38"/>
      <c r="BB422" s="38"/>
      <c r="BC422" s="38"/>
      <c r="BD422" s="38"/>
      <c r="BE422" s="77">
        <f t="shared" si="30"/>
        <v>0</v>
      </c>
      <c r="BF422" s="38"/>
    </row>
    <row r="423" spans="1:58" ht="22.5" hidden="1" customHeight="1">
      <c r="A423" s="33" t="str">
        <f>IF(OR(ISBLANK(E423),ISBLANK(C423)),"",IF(COUNTIF($E$8:E423,E423)&gt;1,"",(MAX($A$7:A422)+1)))</f>
        <v/>
      </c>
      <c r="B423" s="43">
        <f>IF(ISBLANK(C423),"",SUBTOTAL(3,$C$8:C423))</f>
        <v>44</v>
      </c>
      <c r="C423" s="78" t="s">
        <v>924</v>
      </c>
      <c r="D423" s="50" t="s">
        <v>925</v>
      </c>
      <c r="E423" s="50" t="s">
        <v>921</v>
      </c>
      <c r="F423" s="35" t="str">
        <f t="shared" si="28"/>
        <v/>
      </c>
      <c r="G423" s="36" t="str">
        <f t="shared" si="29"/>
        <v/>
      </c>
      <c r="H423" s="51" t="str">
        <f t="shared" si="31"/>
        <v/>
      </c>
      <c r="I423" s="51" t="str">
        <f t="shared" si="31"/>
        <v/>
      </c>
      <c r="J423" s="51" t="str">
        <f t="shared" si="31"/>
        <v/>
      </c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M423" s="38"/>
      <c r="AN423" s="38"/>
      <c r="AO423" s="38"/>
      <c r="AP423" s="38"/>
      <c r="AQ423" s="38"/>
      <c r="AR423" s="38"/>
      <c r="AS423" s="38"/>
      <c r="AT423" s="38"/>
      <c r="AU423" s="38"/>
      <c r="AV423" s="38"/>
      <c r="AW423" s="38"/>
      <c r="AX423" s="38"/>
      <c r="AY423" s="38"/>
      <c r="AZ423" s="38"/>
      <c r="BA423" s="38"/>
      <c r="BB423" s="38"/>
      <c r="BC423" s="38"/>
      <c r="BD423" s="38"/>
      <c r="BE423" s="77">
        <f t="shared" si="30"/>
        <v>0</v>
      </c>
      <c r="BF423" s="38"/>
    </row>
    <row r="424" spans="1:58" ht="22.5" hidden="1" customHeight="1">
      <c r="A424" s="33" t="str">
        <f>IF(OR(ISBLANK(E424),ISBLANK(C424)),"",IF(COUNTIF($E$8:E424,E424)&gt;1,"",(MAX($A$7:A423)+1)))</f>
        <v/>
      </c>
      <c r="B424" s="34">
        <f>IF(ISBLANK(C424),"",SUBTOTAL(3,$C$8:C424))</f>
        <v>44</v>
      </c>
      <c r="C424" s="80" t="s">
        <v>926</v>
      </c>
      <c r="D424" s="50" t="s">
        <v>927</v>
      </c>
      <c r="E424" s="50" t="s">
        <v>921</v>
      </c>
      <c r="F424" s="35" t="str">
        <f t="shared" si="28"/>
        <v/>
      </c>
      <c r="G424" s="36" t="str">
        <f t="shared" si="29"/>
        <v>C</v>
      </c>
      <c r="H424" s="51" t="str">
        <f t="shared" si="31"/>
        <v/>
      </c>
      <c r="I424" s="51">
        <f t="shared" si="31"/>
        <v>5</v>
      </c>
      <c r="J424" s="51" t="str">
        <f t="shared" si="31"/>
        <v/>
      </c>
      <c r="K424" s="37"/>
      <c r="L424" s="37" t="s">
        <v>47</v>
      </c>
      <c r="M424" s="37"/>
      <c r="N424" s="37"/>
      <c r="O424" s="37" t="s">
        <v>47</v>
      </c>
      <c r="P424" s="37"/>
      <c r="Q424" s="37"/>
      <c r="R424" s="37" t="s">
        <v>47</v>
      </c>
      <c r="S424" s="37"/>
      <c r="T424" s="37"/>
      <c r="U424" s="37" t="s">
        <v>47</v>
      </c>
      <c r="V424" s="37"/>
      <c r="W424" s="37"/>
      <c r="X424" s="37" t="s">
        <v>47</v>
      </c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M424" s="38"/>
      <c r="AN424" s="38"/>
      <c r="AO424" s="38"/>
      <c r="AP424" s="38"/>
      <c r="AQ424" s="38"/>
      <c r="AR424" s="38"/>
      <c r="AS424" s="38" t="s">
        <v>47</v>
      </c>
      <c r="AT424" s="38"/>
      <c r="AU424" s="38"/>
      <c r="AV424" s="38"/>
      <c r="AW424" s="38" t="s">
        <v>47</v>
      </c>
      <c r="AX424" s="38"/>
      <c r="AY424" s="38" t="s">
        <v>47</v>
      </c>
      <c r="AZ424" s="38"/>
      <c r="BA424" s="38"/>
      <c r="BB424" s="38"/>
      <c r="BC424" s="38"/>
      <c r="BD424" s="38"/>
      <c r="BE424" s="77">
        <f t="shared" si="30"/>
        <v>3</v>
      </c>
      <c r="BF424" s="38"/>
    </row>
    <row r="425" spans="1:58" ht="22.5" hidden="1" customHeight="1">
      <c r="A425" s="33" t="str">
        <f>IF(OR(ISBLANK(E425),ISBLANK(C425)),"",IF(COUNTIF($E$8:E425,E425)&gt;1,"",(MAX($A$7:A424)+1)))</f>
        <v/>
      </c>
      <c r="B425" s="34">
        <f>IF(ISBLANK(C425),"",SUBTOTAL(3,$C$8:C425))</f>
        <v>44</v>
      </c>
      <c r="C425" s="80" t="s">
        <v>928</v>
      </c>
      <c r="D425" s="50" t="s">
        <v>929</v>
      </c>
      <c r="E425" s="50" t="s">
        <v>921</v>
      </c>
      <c r="F425" s="35" t="str">
        <f t="shared" si="28"/>
        <v/>
      </c>
      <c r="G425" s="36" t="str">
        <f t="shared" si="29"/>
        <v>C</v>
      </c>
      <c r="H425" s="51" t="str">
        <f t="shared" si="31"/>
        <v/>
      </c>
      <c r="I425" s="51">
        <f t="shared" si="31"/>
        <v>2</v>
      </c>
      <c r="J425" s="51">
        <f t="shared" si="31"/>
        <v>3</v>
      </c>
      <c r="K425" s="37"/>
      <c r="L425" s="37" t="s">
        <v>47</v>
      </c>
      <c r="M425" s="37"/>
      <c r="N425" s="37"/>
      <c r="O425" s="37" t="s">
        <v>47</v>
      </c>
      <c r="P425" s="37"/>
      <c r="Q425" s="37"/>
      <c r="R425" s="37"/>
      <c r="S425" s="37" t="s">
        <v>47</v>
      </c>
      <c r="T425" s="37"/>
      <c r="U425" s="37"/>
      <c r="V425" s="37" t="s">
        <v>47</v>
      </c>
      <c r="W425" s="37"/>
      <c r="X425" s="37"/>
      <c r="Y425" s="37" t="s">
        <v>47</v>
      </c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M425" s="38"/>
      <c r="AN425" s="38"/>
      <c r="AO425" s="38"/>
      <c r="AP425" s="38"/>
      <c r="AQ425" s="38"/>
      <c r="AR425" s="38"/>
      <c r="AS425" s="38" t="s">
        <v>47</v>
      </c>
      <c r="AT425" s="38"/>
      <c r="AU425" s="38"/>
      <c r="AV425" s="38"/>
      <c r="AW425" s="38" t="s">
        <v>47</v>
      </c>
      <c r="AX425" s="38"/>
      <c r="AY425" s="38"/>
      <c r="AZ425" s="38"/>
      <c r="BA425" s="38"/>
      <c r="BB425" s="38"/>
      <c r="BC425" s="38"/>
      <c r="BD425" s="38"/>
      <c r="BE425" s="77">
        <f t="shared" si="30"/>
        <v>2</v>
      </c>
      <c r="BF425" s="38"/>
    </row>
    <row r="426" spans="1:58" ht="22.5" hidden="1" customHeight="1">
      <c r="A426" s="33" t="str">
        <f>IF(OR(ISBLANK(E426),ISBLANK(C426)),"",IF(COUNTIF($E$8:E426,E426)&gt;1,"",(MAX($A$7:A425)+1)))</f>
        <v/>
      </c>
      <c r="B426" s="34">
        <f>IF(ISBLANK(C426),"",SUBTOTAL(3,$C$8:C426))</f>
        <v>44</v>
      </c>
      <c r="C426" s="78" t="s">
        <v>930</v>
      </c>
      <c r="D426" s="50" t="s">
        <v>931</v>
      </c>
      <c r="E426" s="50" t="s">
        <v>921</v>
      </c>
      <c r="F426" s="35" t="str">
        <f t="shared" si="28"/>
        <v/>
      </c>
      <c r="G426" s="36" t="str">
        <f t="shared" si="29"/>
        <v>B</v>
      </c>
      <c r="H426" s="51">
        <f t="shared" si="31"/>
        <v>1</v>
      </c>
      <c r="I426" s="51">
        <f t="shared" si="31"/>
        <v>4</v>
      </c>
      <c r="J426" s="51" t="str">
        <f t="shared" si="31"/>
        <v/>
      </c>
      <c r="K426" s="37" t="s">
        <v>47</v>
      </c>
      <c r="L426" s="37"/>
      <c r="M426" s="37"/>
      <c r="N426" s="37"/>
      <c r="O426" s="37" t="s">
        <v>47</v>
      </c>
      <c r="P426" s="37"/>
      <c r="Q426" s="37"/>
      <c r="R426" s="37" t="s">
        <v>47</v>
      </c>
      <c r="S426" s="37"/>
      <c r="T426" s="37"/>
      <c r="U426" s="37" t="s">
        <v>47</v>
      </c>
      <c r="V426" s="37"/>
      <c r="W426" s="37"/>
      <c r="X426" s="37" t="s">
        <v>47</v>
      </c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M426" s="38"/>
      <c r="AN426" s="38"/>
      <c r="AO426" s="38"/>
      <c r="AP426" s="38"/>
      <c r="AQ426" s="38"/>
      <c r="AR426" s="38"/>
      <c r="AS426" s="38" t="s">
        <v>47</v>
      </c>
      <c r="AT426" s="38" t="s">
        <v>47</v>
      </c>
      <c r="AU426" s="38" t="s">
        <v>47</v>
      </c>
      <c r="AV426" s="38"/>
      <c r="AW426" s="38" t="s">
        <v>47</v>
      </c>
      <c r="AX426" s="38"/>
      <c r="AY426" s="38"/>
      <c r="AZ426" s="38" t="s">
        <v>47</v>
      </c>
      <c r="BA426" s="38"/>
      <c r="BB426" s="38"/>
      <c r="BC426" s="38"/>
      <c r="BD426" s="38"/>
      <c r="BE426" s="77">
        <f t="shared" si="30"/>
        <v>5</v>
      </c>
      <c r="BF426" s="38"/>
    </row>
    <row r="427" spans="1:58" ht="22.5" hidden="1" customHeight="1">
      <c r="A427" s="33" t="str">
        <f>IF(OR(ISBLANK(E427),ISBLANK(C427)),"",IF(COUNTIF($E$8:E427,E427)&gt;1,"",(MAX($A$7:A426)+1)))</f>
        <v/>
      </c>
      <c r="B427" s="34">
        <f>IF(ISBLANK(C427),"",SUBTOTAL(3,$C$8:C427))</f>
        <v>44</v>
      </c>
      <c r="C427" s="78" t="s">
        <v>932</v>
      </c>
      <c r="D427" s="50" t="s">
        <v>933</v>
      </c>
      <c r="E427" s="50" t="s">
        <v>921</v>
      </c>
      <c r="F427" s="35" t="str">
        <f t="shared" si="28"/>
        <v/>
      </c>
      <c r="G427" s="36" t="str">
        <f t="shared" si="29"/>
        <v>C</v>
      </c>
      <c r="H427" s="51">
        <f t="shared" si="31"/>
        <v>1</v>
      </c>
      <c r="I427" s="51">
        <f t="shared" si="31"/>
        <v>1</v>
      </c>
      <c r="J427" s="51">
        <f t="shared" si="31"/>
        <v>1</v>
      </c>
      <c r="K427" s="37" t="s">
        <v>47</v>
      </c>
      <c r="L427" s="37"/>
      <c r="M427" s="37"/>
      <c r="N427" s="37"/>
      <c r="O427" s="37" t="s">
        <v>47</v>
      </c>
      <c r="P427" s="37"/>
      <c r="Q427" s="37"/>
      <c r="R427" s="37"/>
      <c r="S427" s="37" t="s">
        <v>47</v>
      </c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M427" s="38"/>
      <c r="AN427" s="38"/>
      <c r="AO427" s="38"/>
      <c r="AP427" s="38"/>
      <c r="AQ427" s="38"/>
      <c r="AR427" s="38"/>
      <c r="AS427" s="38" t="s">
        <v>47</v>
      </c>
      <c r="AT427" s="38"/>
      <c r="AU427" s="38"/>
      <c r="AV427" s="38"/>
      <c r="AW427" s="38" t="s">
        <v>47</v>
      </c>
      <c r="AX427" s="38" t="s">
        <v>47</v>
      </c>
      <c r="AY427" s="38"/>
      <c r="AZ427" s="38"/>
      <c r="BA427" s="38"/>
      <c r="BB427" s="38"/>
      <c r="BC427" s="38"/>
      <c r="BD427" s="38"/>
      <c r="BE427" s="77">
        <f t="shared" si="30"/>
        <v>3</v>
      </c>
      <c r="BF427" s="38"/>
    </row>
    <row r="428" spans="1:58" ht="22.5" hidden="1" customHeight="1">
      <c r="A428" s="33" t="str">
        <f>IF(OR(ISBLANK(E428),ISBLANK(C428)),"",IF(COUNTIF($E$8:E428,E428)&gt;1,"",(MAX($A$7:A427)+1)))</f>
        <v/>
      </c>
      <c r="B428" s="34">
        <f>IF(ISBLANK(C428),"",SUBTOTAL(3,$C$8:C428))</f>
        <v>44</v>
      </c>
      <c r="C428" s="78" t="s">
        <v>934</v>
      </c>
      <c r="D428" s="50" t="s">
        <v>935</v>
      </c>
      <c r="E428" s="50" t="s">
        <v>921</v>
      </c>
      <c r="F428" s="35" t="str">
        <f t="shared" si="28"/>
        <v/>
      </c>
      <c r="G428" s="36" t="str">
        <f t="shared" si="29"/>
        <v>C</v>
      </c>
      <c r="H428" s="51">
        <f t="shared" si="31"/>
        <v>1</v>
      </c>
      <c r="I428" s="51">
        <f t="shared" si="31"/>
        <v>1</v>
      </c>
      <c r="J428" s="51">
        <f t="shared" si="31"/>
        <v>1</v>
      </c>
      <c r="K428" s="37" t="s">
        <v>47</v>
      </c>
      <c r="L428" s="37"/>
      <c r="M428" s="37"/>
      <c r="N428" s="37"/>
      <c r="O428" s="37" t="s">
        <v>47</v>
      </c>
      <c r="P428" s="37"/>
      <c r="Q428" s="37"/>
      <c r="R428" s="37"/>
      <c r="S428" s="37" t="s">
        <v>47</v>
      </c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M428" s="38"/>
      <c r="AN428" s="38"/>
      <c r="AO428" s="38"/>
      <c r="AP428" s="38"/>
      <c r="AQ428" s="38"/>
      <c r="AR428" s="38"/>
      <c r="AS428" s="38" t="s">
        <v>47</v>
      </c>
      <c r="AT428" s="38"/>
      <c r="AU428" s="38"/>
      <c r="AV428" s="38"/>
      <c r="AW428" s="38" t="s">
        <v>47</v>
      </c>
      <c r="AX428" s="38"/>
      <c r="AY428" s="38"/>
      <c r="AZ428" s="38"/>
      <c r="BA428" s="38" t="s">
        <v>47</v>
      </c>
      <c r="BB428" s="38"/>
      <c r="BC428" s="38" t="s">
        <v>47</v>
      </c>
      <c r="BD428" s="38"/>
      <c r="BE428" s="77">
        <f t="shared" si="30"/>
        <v>4</v>
      </c>
      <c r="BF428" s="38"/>
    </row>
    <row r="429" spans="1:58" ht="22.5" hidden="1" customHeight="1">
      <c r="A429" s="33" t="str">
        <f>IF(OR(ISBLANK(E429),ISBLANK(C429)),"",IF(COUNTIF($E$8:E429,E429)&gt;1,"",(MAX($A$7:A428)+1)))</f>
        <v/>
      </c>
      <c r="B429" s="34">
        <f>IF(ISBLANK(C429),"",SUBTOTAL(3,$C$8:C429))</f>
        <v>44</v>
      </c>
      <c r="C429" s="78" t="s">
        <v>936</v>
      </c>
      <c r="D429" s="50" t="s">
        <v>937</v>
      </c>
      <c r="E429" s="50" t="s">
        <v>921</v>
      </c>
      <c r="F429" s="35" t="str">
        <f t="shared" si="28"/>
        <v/>
      </c>
      <c r="G429" s="36" t="str">
        <f t="shared" si="29"/>
        <v>B</v>
      </c>
      <c r="H429" s="51">
        <f t="shared" si="31"/>
        <v>1</v>
      </c>
      <c r="I429" s="51">
        <f t="shared" si="31"/>
        <v>2</v>
      </c>
      <c r="J429" s="51" t="str">
        <f t="shared" si="31"/>
        <v/>
      </c>
      <c r="K429" s="37"/>
      <c r="L429" s="37" t="s">
        <v>47</v>
      </c>
      <c r="M429" s="37"/>
      <c r="N429" s="37"/>
      <c r="O429" s="37" t="s">
        <v>47</v>
      </c>
      <c r="P429" s="37"/>
      <c r="Q429" s="37" t="s">
        <v>47</v>
      </c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M429" s="38"/>
      <c r="AN429" s="38"/>
      <c r="AO429" s="38"/>
      <c r="AP429" s="38"/>
      <c r="AQ429" s="38"/>
      <c r="AR429" s="38"/>
      <c r="AS429" s="38"/>
      <c r="AT429" s="38"/>
      <c r="AU429" s="38"/>
      <c r="AV429" s="38" t="s">
        <v>47</v>
      </c>
      <c r="AW429" s="38"/>
      <c r="AX429" s="38"/>
      <c r="AY429" s="38"/>
      <c r="AZ429" s="38"/>
      <c r="BA429" s="38"/>
      <c r="BB429" s="38"/>
      <c r="BC429" s="38"/>
      <c r="BD429" s="38"/>
      <c r="BE429" s="77">
        <f t="shared" si="30"/>
        <v>1</v>
      </c>
      <c r="BF429" s="38"/>
    </row>
    <row r="430" spans="1:58" ht="22.5" hidden="1" customHeight="1">
      <c r="A430" s="33" t="str">
        <f>IF(OR(ISBLANK(E430),ISBLANK(C430)),"",IF(COUNTIF($E$8:E430,E430)&gt;1,"",(MAX($A$7:A429)+1)))</f>
        <v/>
      </c>
      <c r="B430" s="34">
        <f>IF(ISBLANK(C430),"",SUBTOTAL(3,$C$8:C430))</f>
        <v>44</v>
      </c>
      <c r="C430" s="78" t="s">
        <v>938</v>
      </c>
      <c r="D430" s="50" t="s">
        <v>939</v>
      </c>
      <c r="E430" s="50" t="s">
        <v>921</v>
      </c>
      <c r="F430" s="35" t="str">
        <f t="shared" si="28"/>
        <v/>
      </c>
      <c r="G430" s="36" t="str">
        <f t="shared" si="29"/>
        <v>B</v>
      </c>
      <c r="H430" s="51">
        <f t="shared" si="31"/>
        <v>1</v>
      </c>
      <c r="I430" s="51">
        <f t="shared" si="31"/>
        <v>4</v>
      </c>
      <c r="J430" s="51" t="str">
        <f t="shared" si="31"/>
        <v/>
      </c>
      <c r="K430" s="37" t="s">
        <v>47</v>
      </c>
      <c r="L430" s="37"/>
      <c r="M430" s="37"/>
      <c r="N430" s="37"/>
      <c r="O430" s="37" t="s">
        <v>47</v>
      </c>
      <c r="P430" s="37"/>
      <c r="Q430" s="37"/>
      <c r="R430" s="37" t="s">
        <v>47</v>
      </c>
      <c r="S430" s="37"/>
      <c r="T430" s="37"/>
      <c r="U430" s="37" t="s">
        <v>47</v>
      </c>
      <c r="V430" s="37"/>
      <c r="W430" s="37"/>
      <c r="X430" s="37" t="s">
        <v>47</v>
      </c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M430" s="38"/>
      <c r="AN430" s="38"/>
      <c r="AO430" s="38"/>
      <c r="AP430" s="38"/>
      <c r="AQ430" s="38"/>
      <c r="AR430" s="38"/>
      <c r="AS430" s="38" t="s">
        <v>47</v>
      </c>
      <c r="AT430" s="38"/>
      <c r="AU430" s="38"/>
      <c r="AV430" s="38"/>
      <c r="AW430" s="38" t="s">
        <v>47</v>
      </c>
      <c r="AX430" s="38"/>
      <c r="AY430" s="38"/>
      <c r="AZ430" s="38" t="s">
        <v>47</v>
      </c>
      <c r="BA430" s="38"/>
      <c r="BB430" s="38"/>
      <c r="BC430" s="38"/>
      <c r="BD430" s="38"/>
      <c r="BE430" s="77">
        <f t="shared" si="30"/>
        <v>3</v>
      </c>
      <c r="BF430" s="38"/>
    </row>
    <row r="431" spans="1:58" ht="22.5" hidden="1" customHeight="1">
      <c r="A431" s="33" t="str">
        <f>IF(OR(ISBLANK(E431),ISBLANK(C431)),"",IF(COUNTIF($E$8:E431,E431)&gt;1,"",(MAX($A$7:A430)+1)))</f>
        <v/>
      </c>
      <c r="B431" s="34">
        <f>IF(ISBLANK(C431),"",SUBTOTAL(3,$C$8:C431))</f>
        <v>44</v>
      </c>
      <c r="C431" s="78" t="s">
        <v>940</v>
      </c>
      <c r="D431" s="50" t="s">
        <v>941</v>
      </c>
      <c r="E431" s="50" t="s">
        <v>921</v>
      </c>
      <c r="F431" s="35" t="str">
        <f t="shared" si="28"/>
        <v/>
      </c>
      <c r="G431" s="36" t="str">
        <f t="shared" si="29"/>
        <v>C</v>
      </c>
      <c r="H431" s="51" t="str">
        <f t="shared" si="31"/>
        <v/>
      </c>
      <c r="I431" s="51">
        <f t="shared" si="31"/>
        <v>5</v>
      </c>
      <c r="J431" s="51" t="str">
        <f t="shared" si="31"/>
        <v/>
      </c>
      <c r="K431" s="37"/>
      <c r="L431" s="37" t="s">
        <v>47</v>
      </c>
      <c r="M431" s="37"/>
      <c r="N431" s="37"/>
      <c r="O431" s="37" t="s">
        <v>47</v>
      </c>
      <c r="P431" s="37"/>
      <c r="Q431" s="37"/>
      <c r="R431" s="37" t="s">
        <v>47</v>
      </c>
      <c r="S431" s="37"/>
      <c r="T431" s="37"/>
      <c r="U431" s="37" t="s">
        <v>47</v>
      </c>
      <c r="V431" s="37"/>
      <c r="W431" s="37"/>
      <c r="X431" s="37" t="s">
        <v>47</v>
      </c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M431" s="38"/>
      <c r="AN431" s="38"/>
      <c r="AO431" s="38"/>
      <c r="AP431" s="38"/>
      <c r="AQ431" s="38"/>
      <c r="AR431" s="38"/>
      <c r="AS431" s="38" t="s">
        <v>47</v>
      </c>
      <c r="AT431" s="38" t="s">
        <v>47</v>
      </c>
      <c r="AU431" s="38"/>
      <c r="AV431" s="38"/>
      <c r="AW431" s="38" t="s">
        <v>47</v>
      </c>
      <c r="AX431" s="38"/>
      <c r="AY431" s="38" t="s">
        <v>47</v>
      </c>
      <c r="AZ431" s="38"/>
      <c r="BA431" s="38"/>
      <c r="BB431" s="38"/>
      <c r="BC431" s="38"/>
      <c r="BD431" s="38"/>
      <c r="BE431" s="77">
        <f t="shared" si="30"/>
        <v>4</v>
      </c>
      <c r="BF431" s="38"/>
    </row>
    <row r="432" spans="1:58" ht="22.5" hidden="1" customHeight="1">
      <c r="A432" s="33" t="str">
        <f>IF(OR(ISBLANK(E432),ISBLANK(C432)),"",IF(COUNTIF($E$8:E432,E432)&gt;1,"",(MAX($A$7:A431)+1)))</f>
        <v/>
      </c>
      <c r="B432" s="34">
        <f>IF(ISBLANK(C432),"",SUBTOTAL(3,$C$8:C432))</f>
        <v>44</v>
      </c>
      <c r="C432" s="78" t="s">
        <v>942</v>
      </c>
      <c r="D432" s="50" t="s">
        <v>943</v>
      </c>
      <c r="E432" s="50" t="s">
        <v>921</v>
      </c>
      <c r="F432" s="35" t="str">
        <f t="shared" si="28"/>
        <v/>
      </c>
      <c r="G432" s="36" t="str">
        <f t="shared" si="29"/>
        <v>C</v>
      </c>
      <c r="H432" s="51" t="str">
        <f t="shared" si="31"/>
        <v/>
      </c>
      <c r="I432" s="51">
        <f t="shared" si="31"/>
        <v>5</v>
      </c>
      <c r="J432" s="51" t="str">
        <f t="shared" si="31"/>
        <v/>
      </c>
      <c r="K432" s="37"/>
      <c r="L432" s="37" t="s">
        <v>47</v>
      </c>
      <c r="M432" s="37"/>
      <c r="N432" s="37"/>
      <c r="O432" s="37" t="s">
        <v>47</v>
      </c>
      <c r="P432" s="37"/>
      <c r="Q432" s="37"/>
      <c r="R432" s="37" t="s">
        <v>47</v>
      </c>
      <c r="S432" s="37"/>
      <c r="T432" s="37"/>
      <c r="U432" s="37" t="s">
        <v>47</v>
      </c>
      <c r="V432" s="37"/>
      <c r="W432" s="37"/>
      <c r="X432" s="37" t="s">
        <v>47</v>
      </c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M432" s="38"/>
      <c r="AN432" s="38"/>
      <c r="AO432" s="38"/>
      <c r="AP432" s="38"/>
      <c r="AQ432" s="38"/>
      <c r="AR432" s="38"/>
      <c r="AS432" s="38" t="s">
        <v>47</v>
      </c>
      <c r="AT432" s="38"/>
      <c r="AU432" s="38"/>
      <c r="AV432" s="38"/>
      <c r="AW432" s="38" t="s">
        <v>47</v>
      </c>
      <c r="AX432" s="38"/>
      <c r="AY432" s="38" t="s">
        <v>47</v>
      </c>
      <c r="AZ432" s="38"/>
      <c r="BA432" s="38"/>
      <c r="BB432" s="38"/>
      <c r="BC432" s="38"/>
      <c r="BD432" s="38"/>
      <c r="BE432" s="77">
        <f t="shared" si="30"/>
        <v>3</v>
      </c>
      <c r="BF432" s="38"/>
    </row>
    <row r="433" spans="1:58" ht="22.5" hidden="1" customHeight="1">
      <c r="A433" s="33" t="str">
        <f>IF(OR(ISBLANK(E433),ISBLANK(C433)),"",IF(COUNTIF($E$8:E433,E433)&gt;1,"",(MAX($A$7:A432)+1)))</f>
        <v/>
      </c>
      <c r="B433" s="34">
        <f>IF(ISBLANK(C433),"",SUBTOTAL(3,$C$8:C433))</f>
        <v>44</v>
      </c>
      <c r="C433" s="80" t="s">
        <v>944</v>
      </c>
      <c r="D433" s="52" t="s">
        <v>945</v>
      </c>
      <c r="E433" s="50" t="s">
        <v>921</v>
      </c>
      <c r="F433" s="35" t="str">
        <f t="shared" si="28"/>
        <v/>
      </c>
      <c r="G433" s="36" t="str">
        <f t="shared" si="29"/>
        <v/>
      </c>
      <c r="H433" s="51" t="str">
        <f t="shared" si="31"/>
        <v/>
      </c>
      <c r="I433" s="51" t="str">
        <f t="shared" si="31"/>
        <v/>
      </c>
      <c r="J433" s="51" t="str">
        <f t="shared" si="31"/>
        <v/>
      </c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M433" s="38" t="s">
        <v>47</v>
      </c>
      <c r="AN433" s="38" t="s">
        <v>47</v>
      </c>
      <c r="AO433" s="38"/>
      <c r="AP433" s="38"/>
      <c r="AQ433" s="38"/>
      <c r="AR433" s="38"/>
      <c r="AS433" s="38"/>
      <c r="AT433" s="38"/>
      <c r="AU433" s="38"/>
      <c r="AV433" s="38"/>
      <c r="AW433" s="38"/>
      <c r="AX433" s="38"/>
      <c r="AY433" s="38"/>
      <c r="AZ433" s="38"/>
      <c r="BA433" s="38"/>
      <c r="BB433" s="38"/>
      <c r="BC433" s="38"/>
      <c r="BD433" s="38"/>
      <c r="BE433" s="77">
        <f t="shared" si="30"/>
        <v>2</v>
      </c>
      <c r="BF433" s="38"/>
    </row>
    <row r="434" spans="1:58" ht="22.5" hidden="1" customHeight="1">
      <c r="A434" s="33" t="str">
        <f>IF(OR(ISBLANK(E434),ISBLANK(C434)),"",IF(COUNTIF($E$8:E434,E434)&gt;1,"",(MAX($A$7:A433)+1)))</f>
        <v/>
      </c>
      <c r="B434" s="34">
        <f>IF(ISBLANK(C434),"",SUBTOTAL(3,$C$8:C434))</f>
        <v>44</v>
      </c>
      <c r="C434" s="78" t="s">
        <v>946</v>
      </c>
      <c r="D434" s="50" t="s">
        <v>947</v>
      </c>
      <c r="E434" s="50" t="s">
        <v>921</v>
      </c>
      <c r="F434" s="35" t="str">
        <f t="shared" si="28"/>
        <v/>
      </c>
      <c r="G434" s="36" t="str">
        <f t="shared" si="29"/>
        <v>D</v>
      </c>
      <c r="H434" s="51" t="str">
        <f t="shared" si="31"/>
        <v/>
      </c>
      <c r="I434" s="51">
        <f t="shared" si="31"/>
        <v>1</v>
      </c>
      <c r="J434" s="51">
        <f t="shared" si="31"/>
        <v>2</v>
      </c>
      <c r="K434" s="37"/>
      <c r="L434" s="37" t="s">
        <v>47</v>
      </c>
      <c r="M434" s="37"/>
      <c r="N434" s="37"/>
      <c r="O434" s="37"/>
      <c r="P434" s="37" t="s">
        <v>47</v>
      </c>
      <c r="Q434" s="37"/>
      <c r="R434" s="37"/>
      <c r="S434" s="37" t="s">
        <v>47</v>
      </c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M434" s="38"/>
      <c r="AN434" s="38"/>
      <c r="AO434" s="38"/>
      <c r="AP434" s="38"/>
      <c r="AQ434" s="38"/>
      <c r="AR434" s="38"/>
      <c r="AS434" s="38"/>
      <c r="AT434" s="38"/>
      <c r="AU434" s="38"/>
      <c r="AV434" s="38"/>
      <c r="AW434" s="38"/>
      <c r="AX434" s="38"/>
      <c r="AY434" s="38"/>
      <c r="AZ434" s="38"/>
      <c r="BA434" s="38"/>
      <c r="BB434" s="38"/>
      <c r="BC434" s="38"/>
      <c r="BD434" s="38"/>
      <c r="BE434" s="77">
        <f t="shared" si="30"/>
        <v>0</v>
      </c>
      <c r="BF434" s="38"/>
    </row>
    <row r="435" spans="1:58" ht="22.5" hidden="1" customHeight="1">
      <c r="A435" s="33" t="str">
        <f>IF(OR(ISBLANK(E435),ISBLANK(C435)),"",IF(COUNTIF($E$8:E435,E435)&gt;1,"",(MAX($A$7:A434)+1)))</f>
        <v/>
      </c>
      <c r="B435" s="34">
        <f>IF(ISBLANK(C435),"",SUBTOTAL(3,$C$8:C435))</f>
        <v>44</v>
      </c>
      <c r="C435" s="78" t="s">
        <v>948</v>
      </c>
      <c r="D435" s="50" t="s">
        <v>949</v>
      </c>
      <c r="E435" s="50" t="s">
        <v>921</v>
      </c>
      <c r="F435" s="35" t="str">
        <f t="shared" si="28"/>
        <v/>
      </c>
      <c r="G435" s="36" t="str">
        <f t="shared" si="29"/>
        <v>D</v>
      </c>
      <c r="H435" s="51" t="str">
        <f t="shared" si="31"/>
        <v/>
      </c>
      <c r="I435" s="51">
        <f t="shared" si="31"/>
        <v>1</v>
      </c>
      <c r="J435" s="51" t="str">
        <f t="shared" si="31"/>
        <v/>
      </c>
      <c r="K435" s="37"/>
      <c r="L435" s="37" t="s">
        <v>47</v>
      </c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M435" s="38"/>
      <c r="AN435" s="38"/>
      <c r="AO435" s="38"/>
      <c r="AP435" s="38"/>
      <c r="AQ435" s="38"/>
      <c r="AR435" s="38" t="s">
        <v>47</v>
      </c>
      <c r="AS435" s="38" t="s">
        <v>47</v>
      </c>
      <c r="AT435" s="38"/>
      <c r="AU435" s="38"/>
      <c r="AV435" s="38"/>
      <c r="AW435" s="38" t="s">
        <v>47</v>
      </c>
      <c r="AX435" s="38"/>
      <c r="AY435" s="38"/>
      <c r="AZ435" s="38"/>
      <c r="BA435" s="38"/>
      <c r="BB435" s="38"/>
      <c r="BC435" s="38"/>
      <c r="BD435" s="38"/>
      <c r="BE435" s="77">
        <f t="shared" si="30"/>
        <v>3</v>
      </c>
      <c r="BF435" s="38"/>
    </row>
    <row r="436" spans="1:58" ht="22.5" hidden="1" customHeight="1">
      <c r="A436" s="33" t="str">
        <f>IF(OR(ISBLANK(E436),ISBLANK(C436)),"",IF(COUNTIF($E$8:E436,E436)&gt;1,"",(MAX($A$7:A435)+1)))</f>
        <v/>
      </c>
      <c r="B436" s="34">
        <f>IF(ISBLANK(C436),"",SUBTOTAL(3,$C$8:C436))</f>
        <v>44</v>
      </c>
      <c r="C436" s="78" t="s">
        <v>950</v>
      </c>
      <c r="D436" s="50" t="s">
        <v>951</v>
      </c>
      <c r="E436" s="50" t="s">
        <v>921</v>
      </c>
      <c r="F436" s="35" t="str">
        <f t="shared" si="28"/>
        <v/>
      </c>
      <c r="G436" s="36" t="str">
        <f t="shared" si="29"/>
        <v>B</v>
      </c>
      <c r="H436" s="51">
        <f t="shared" si="31"/>
        <v>1</v>
      </c>
      <c r="I436" s="51">
        <f t="shared" si="31"/>
        <v>4</v>
      </c>
      <c r="J436" s="51" t="str">
        <f t="shared" si="31"/>
        <v/>
      </c>
      <c r="K436" s="37" t="s">
        <v>47</v>
      </c>
      <c r="L436" s="37"/>
      <c r="M436" s="37"/>
      <c r="N436" s="37"/>
      <c r="O436" s="37" t="s">
        <v>47</v>
      </c>
      <c r="P436" s="37"/>
      <c r="Q436" s="37"/>
      <c r="R436" s="37" t="s">
        <v>47</v>
      </c>
      <c r="S436" s="37"/>
      <c r="T436" s="37"/>
      <c r="U436" s="37" t="s">
        <v>47</v>
      </c>
      <c r="V436" s="37"/>
      <c r="W436" s="37"/>
      <c r="X436" s="37" t="s">
        <v>47</v>
      </c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M436" s="38"/>
      <c r="AN436" s="38"/>
      <c r="AO436" s="38"/>
      <c r="AP436" s="38"/>
      <c r="AQ436" s="38"/>
      <c r="AR436" s="38"/>
      <c r="AS436" s="38"/>
      <c r="AT436" s="38" t="s">
        <v>47</v>
      </c>
      <c r="AU436" s="38"/>
      <c r="AV436" s="38"/>
      <c r="AW436" s="38" t="s">
        <v>47</v>
      </c>
      <c r="AX436" s="38"/>
      <c r="AY436" s="38" t="s">
        <v>47</v>
      </c>
      <c r="AZ436" s="38"/>
      <c r="BA436" s="38" t="s">
        <v>47</v>
      </c>
      <c r="BB436" s="38" t="s">
        <v>47</v>
      </c>
      <c r="BC436" s="38" t="s">
        <v>47</v>
      </c>
      <c r="BD436" s="38"/>
      <c r="BE436" s="77">
        <f t="shared" si="30"/>
        <v>6</v>
      </c>
      <c r="BF436" s="38"/>
    </row>
    <row r="437" spans="1:58" ht="22.5" hidden="1" customHeight="1">
      <c r="A437" s="33" t="str">
        <f>IF(OR(ISBLANK(E437),ISBLANK(C437)),"",IF(COUNTIF($E$8:E437,E437)&gt;1,"",(MAX($A$7:A436)+1)))</f>
        <v/>
      </c>
      <c r="B437" s="34">
        <f>IF(ISBLANK(C437),"",SUBTOTAL(3,$C$8:C437))</f>
        <v>44</v>
      </c>
      <c r="C437" s="78" t="s">
        <v>952</v>
      </c>
      <c r="D437" s="50" t="s">
        <v>953</v>
      </c>
      <c r="E437" s="50" t="s">
        <v>921</v>
      </c>
      <c r="F437" s="35" t="str">
        <f t="shared" si="28"/>
        <v/>
      </c>
      <c r="G437" s="36" t="str">
        <f t="shared" si="29"/>
        <v>D</v>
      </c>
      <c r="H437" s="51" t="str">
        <f t="shared" si="31"/>
        <v/>
      </c>
      <c r="I437" s="51">
        <f t="shared" si="31"/>
        <v>1</v>
      </c>
      <c r="J437" s="51">
        <f t="shared" si="31"/>
        <v>1</v>
      </c>
      <c r="K437" s="37"/>
      <c r="L437" s="37"/>
      <c r="M437" s="37" t="s">
        <v>47</v>
      </c>
      <c r="N437" s="37"/>
      <c r="O437" s="37"/>
      <c r="P437" s="37"/>
      <c r="Q437" s="37"/>
      <c r="R437" s="37" t="s">
        <v>47</v>
      </c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M437" s="38" t="s">
        <v>47</v>
      </c>
      <c r="AN437" s="38" t="s">
        <v>47</v>
      </c>
      <c r="AO437" s="38"/>
      <c r="AP437" s="38"/>
      <c r="AQ437" s="38"/>
      <c r="AR437" s="38"/>
      <c r="AS437" s="38" t="s">
        <v>47</v>
      </c>
      <c r="AT437" s="38"/>
      <c r="AU437" s="38"/>
      <c r="AV437" s="38"/>
      <c r="AW437" s="38"/>
      <c r="AX437" s="38"/>
      <c r="AY437" s="38"/>
      <c r="AZ437" s="38"/>
      <c r="BA437" s="38"/>
      <c r="BB437" s="38"/>
      <c r="BC437" s="38"/>
      <c r="BD437" s="38"/>
      <c r="BE437" s="77">
        <f t="shared" si="30"/>
        <v>3</v>
      </c>
      <c r="BF437" s="38"/>
    </row>
    <row r="438" spans="1:58" ht="22.5" hidden="1" customHeight="1">
      <c r="A438" s="33" t="str">
        <f>IF(OR(ISBLANK(E438),ISBLANK(C438)),"",IF(COUNTIF($E$8:E438,E438)&gt;1,"",(MAX($A$7:A437)+1)))</f>
        <v/>
      </c>
      <c r="B438" s="34">
        <f>IF(ISBLANK(C438),"",SUBTOTAL(3,$C$8:C438))</f>
        <v>44</v>
      </c>
      <c r="C438" s="78" t="s">
        <v>954</v>
      </c>
      <c r="D438" s="50" t="s">
        <v>955</v>
      </c>
      <c r="E438" s="50" t="s">
        <v>921</v>
      </c>
      <c r="F438" s="35" t="str">
        <f t="shared" si="28"/>
        <v/>
      </c>
      <c r="G438" s="36" t="str">
        <f t="shared" si="29"/>
        <v>D</v>
      </c>
      <c r="H438" s="51" t="str">
        <f t="shared" si="31"/>
        <v/>
      </c>
      <c r="I438" s="51">
        <f t="shared" si="31"/>
        <v>1</v>
      </c>
      <c r="J438" s="51" t="str">
        <f t="shared" si="31"/>
        <v/>
      </c>
      <c r="K438" s="37"/>
      <c r="L438" s="37" t="s">
        <v>47</v>
      </c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M438" s="38"/>
      <c r="AN438" s="38"/>
      <c r="AO438" s="38"/>
      <c r="AP438" s="38"/>
      <c r="AQ438" s="38"/>
      <c r="AR438" s="38" t="s">
        <v>47</v>
      </c>
      <c r="AS438" s="38" t="s">
        <v>47</v>
      </c>
      <c r="AT438" s="38"/>
      <c r="AU438" s="38"/>
      <c r="AV438" s="38"/>
      <c r="AW438" s="38"/>
      <c r="AX438" s="38"/>
      <c r="AY438" s="38"/>
      <c r="AZ438" s="38"/>
      <c r="BA438" s="38"/>
      <c r="BB438" s="38"/>
      <c r="BC438" s="38"/>
      <c r="BD438" s="38"/>
      <c r="BE438" s="77">
        <f t="shared" si="30"/>
        <v>2</v>
      </c>
      <c r="BF438" s="38"/>
    </row>
    <row r="439" spans="1:58" ht="22.5" hidden="1" customHeight="1">
      <c r="A439" s="33" t="str">
        <f>IF(OR(ISBLANK(E439),ISBLANK(C439)),"",IF(COUNTIF($E$8:E439,E439)&gt;1,"",(MAX($A$7:A438)+1)))</f>
        <v/>
      </c>
      <c r="B439" s="34">
        <f>IF(ISBLANK(C439),"",SUBTOTAL(3,$C$8:C439))</f>
        <v>44</v>
      </c>
      <c r="C439" s="78" t="s">
        <v>956</v>
      </c>
      <c r="D439" s="50" t="s">
        <v>957</v>
      </c>
      <c r="E439" s="50" t="s">
        <v>921</v>
      </c>
      <c r="F439" s="35" t="str">
        <f t="shared" si="28"/>
        <v/>
      </c>
      <c r="G439" s="36" t="str">
        <f t="shared" si="29"/>
        <v>C</v>
      </c>
      <c r="H439" s="51" t="str">
        <f t="shared" si="31"/>
        <v/>
      </c>
      <c r="I439" s="51">
        <f t="shared" si="31"/>
        <v>5</v>
      </c>
      <c r="J439" s="51" t="str">
        <f t="shared" si="31"/>
        <v/>
      </c>
      <c r="K439" s="37"/>
      <c r="L439" s="37" t="s">
        <v>47</v>
      </c>
      <c r="M439" s="37"/>
      <c r="N439" s="37"/>
      <c r="O439" s="37" t="s">
        <v>47</v>
      </c>
      <c r="P439" s="37"/>
      <c r="Q439" s="37"/>
      <c r="R439" s="37" t="s">
        <v>47</v>
      </c>
      <c r="S439" s="37"/>
      <c r="T439" s="37"/>
      <c r="U439" s="37" t="s">
        <v>47</v>
      </c>
      <c r="V439" s="37"/>
      <c r="W439" s="37"/>
      <c r="X439" s="37" t="s">
        <v>47</v>
      </c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M439" s="38"/>
      <c r="AN439" s="38"/>
      <c r="AO439" s="38"/>
      <c r="AP439" s="38"/>
      <c r="AQ439" s="38"/>
      <c r="AR439" s="38"/>
      <c r="AS439" s="38" t="s">
        <v>47</v>
      </c>
      <c r="AT439" s="38"/>
      <c r="AU439" s="38"/>
      <c r="AV439" s="38"/>
      <c r="AW439" s="38" t="s">
        <v>47</v>
      </c>
      <c r="AX439" s="38"/>
      <c r="AY439" s="38" t="s">
        <v>47</v>
      </c>
      <c r="AZ439" s="38"/>
      <c r="BA439" s="38"/>
      <c r="BB439" s="38" t="s">
        <v>47</v>
      </c>
      <c r="BC439" s="38"/>
      <c r="BD439" s="38"/>
      <c r="BE439" s="77">
        <f t="shared" si="30"/>
        <v>4</v>
      </c>
      <c r="BF439" s="38"/>
    </row>
    <row r="440" spans="1:58" ht="22.5" hidden="1" customHeight="1">
      <c r="A440" s="33" t="str">
        <f>IF(OR(ISBLANK(E440),ISBLANK(C440)),"",IF(COUNTIF($E$8:E440,E440)&gt;1,"",(MAX($A$7:A439)+1)))</f>
        <v/>
      </c>
      <c r="B440" s="34">
        <f>IF(ISBLANK(C440),"",SUBTOTAL(3,$C$8:C440))</f>
        <v>44</v>
      </c>
      <c r="C440" s="78" t="s">
        <v>958</v>
      </c>
      <c r="D440" s="50" t="s">
        <v>959</v>
      </c>
      <c r="E440" s="50" t="s">
        <v>921</v>
      </c>
      <c r="F440" s="35" t="str">
        <f t="shared" si="28"/>
        <v/>
      </c>
      <c r="G440" s="36" t="str">
        <f t="shared" si="29"/>
        <v>B</v>
      </c>
      <c r="H440" s="51">
        <f t="shared" si="31"/>
        <v>1</v>
      </c>
      <c r="I440" s="51">
        <f t="shared" si="31"/>
        <v>4</v>
      </c>
      <c r="J440" s="51" t="str">
        <f t="shared" si="31"/>
        <v/>
      </c>
      <c r="K440" s="37" t="s">
        <v>47</v>
      </c>
      <c r="L440" s="37"/>
      <c r="M440" s="37"/>
      <c r="N440" s="37"/>
      <c r="O440" s="37" t="s">
        <v>47</v>
      </c>
      <c r="P440" s="37"/>
      <c r="Q440" s="37"/>
      <c r="R440" s="37" t="s">
        <v>47</v>
      </c>
      <c r="S440" s="37"/>
      <c r="T440" s="37"/>
      <c r="U440" s="37" t="s">
        <v>47</v>
      </c>
      <c r="V440" s="37"/>
      <c r="W440" s="37"/>
      <c r="X440" s="37" t="s">
        <v>47</v>
      </c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M440" s="38"/>
      <c r="AN440" s="38"/>
      <c r="AO440" s="38"/>
      <c r="AP440" s="38"/>
      <c r="AQ440" s="38"/>
      <c r="AR440" s="38"/>
      <c r="AS440" s="38"/>
      <c r="AT440" s="38" t="s">
        <v>47</v>
      </c>
      <c r="AU440" s="38"/>
      <c r="AV440" s="38"/>
      <c r="AW440" s="38"/>
      <c r="AX440" s="38" t="s">
        <v>47</v>
      </c>
      <c r="AY440" s="38"/>
      <c r="AZ440" s="38"/>
      <c r="BA440" s="38" t="s">
        <v>47</v>
      </c>
      <c r="BB440" s="38" t="s">
        <v>47</v>
      </c>
      <c r="BC440" s="38" t="s">
        <v>47</v>
      </c>
      <c r="BD440" s="38"/>
      <c r="BE440" s="77">
        <f t="shared" si="30"/>
        <v>5</v>
      </c>
      <c r="BF440" s="38"/>
    </row>
    <row r="441" spans="1:58" ht="22.5" hidden="1" customHeight="1">
      <c r="A441" s="33" t="str">
        <f>IF(OR(ISBLANK(E441),ISBLANK(C441)),"",IF(COUNTIF($E$8:E441,E441)&gt;1,"",(MAX($A$7:A440)+1)))</f>
        <v/>
      </c>
      <c r="B441" s="34">
        <f>IF(ISBLANK(C441),"",SUBTOTAL(3,$C$8:C441))</f>
        <v>44</v>
      </c>
      <c r="C441" s="78" t="s">
        <v>960</v>
      </c>
      <c r="D441" s="50" t="s">
        <v>672</v>
      </c>
      <c r="E441" s="50" t="s">
        <v>921</v>
      </c>
      <c r="F441" s="35" t="str">
        <f t="shared" si="28"/>
        <v/>
      </c>
      <c r="G441" s="36" t="str">
        <f t="shared" si="29"/>
        <v>C</v>
      </c>
      <c r="H441" s="51" t="str">
        <f t="shared" si="31"/>
        <v/>
      </c>
      <c r="I441" s="51">
        <f t="shared" si="31"/>
        <v>5</v>
      </c>
      <c r="J441" s="51" t="str">
        <f t="shared" si="31"/>
        <v/>
      </c>
      <c r="K441" s="37"/>
      <c r="L441" s="37" t="s">
        <v>47</v>
      </c>
      <c r="M441" s="37"/>
      <c r="N441" s="37"/>
      <c r="O441" s="37" t="s">
        <v>47</v>
      </c>
      <c r="P441" s="37"/>
      <c r="Q441" s="37"/>
      <c r="R441" s="37" t="s">
        <v>47</v>
      </c>
      <c r="S441" s="37"/>
      <c r="T441" s="37"/>
      <c r="U441" s="37" t="s">
        <v>47</v>
      </c>
      <c r="V441" s="37"/>
      <c r="W441" s="37"/>
      <c r="X441" s="37" t="s">
        <v>47</v>
      </c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M441" s="38"/>
      <c r="AN441" s="38"/>
      <c r="AO441" s="38"/>
      <c r="AP441" s="38"/>
      <c r="AQ441" s="38"/>
      <c r="AR441" s="38"/>
      <c r="AS441" s="38" t="s">
        <v>47</v>
      </c>
      <c r="AT441" s="38"/>
      <c r="AU441" s="38"/>
      <c r="AV441" s="38"/>
      <c r="AW441" s="38" t="s">
        <v>47</v>
      </c>
      <c r="AX441" s="38"/>
      <c r="AY441" s="38" t="s">
        <v>47</v>
      </c>
      <c r="AZ441" s="38"/>
      <c r="BA441" s="38"/>
      <c r="BB441" s="38"/>
      <c r="BC441" s="38" t="s">
        <v>47</v>
      </c>
      <c r="BD441" s="38"/>
      <c r="BE441" s="77">
        <f t="shared" si="30"/>
        <v>4</v>
      </c>
      <c r="BF441" s="38"/>
    </row>
    <row r="442" spans="1:58" ht="22.5" hidden="1" customHeight="1">
      <c r="A442" s="33" t="str">
        <f>IF(OR(ISBLANK(E442),ISBLANK(C442)),"",IF(COUNTIF($E$8:E442,E442)&gt;1,"",(MAX($A$7:A441)+1)))</f>
        <v/>
      </c>
      <c r="B442" s="34">
        <f>IF(ISBLANK(C442),"",SUBTOTAL(3,$C$8:C442))</f>
        <v>44</v>
      </c>
      <c r="C442" s="78" t="s">
        <v>961</v>
      </c>
      <c r="D442" s="50" t="s">
        <v>962</v>
      </c>
      <c r="E442" s="50" t="s">
        <v>921</v>
      </c>
      <c r="F442" s="35" t="str">
        <f t="shared" si="28"/>
        <v/>
      </c>
      <c r="G442" s="36" t="str">
        <f t="shared" si="29"/>
        <v>C</v>
      </c>
      <c r="H442" s="51" t="str">
        <f t="shared" si="31"/>
        <v/>
      </c>
      <c r="I442" s="51">
        <f t="shared" si="31"/>
        <v>5</v>
      </c>
      <c r="J442" s="51" t="str">
        <f t="shared" si="31"/>
        <v/>
      </c>
      <c r="K442" s="37"/>
      <c r="L442" s="37" t="s">
        <v>47</v>
      </c>
      <c r="M442" s="37"/>
      <c r="N442" s="37"/>
      <c r="O442" s="37" t="s">
        <v>47</v>
      </c>
      <c r="P442" s="37"/>
      <c r="Q442" s="37"/>
      <c r="R442" s="37" t="s">
        <v>47</v>
      </c>
      <c r="S442" s="37"/>
      <c r="T442" s="37"/>
      <c r="U442" s="37" t="s">
        <v>47</v>
      </c>
      <c r="V442" s="37"/>
      <c r="W442" s="37"/>
      <c r="X442" s="37" t="s">
        <v>47</v>
      </c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M442" s="38"/>
      <c r="AN442" s="38"/>
      <c r="AO442" s="38"/>
      <c r="AP442" s="38"/>
      <c r="AQ442" s="38"/>
      <c r="AR442" s="38" t="s">
        <v>47</v>
      </c>
      <c r="AS442" s="38" t="s">
        <v>47</v>
      </c>
      <c r="AT442" s="38"/>
      <c r="AU442" s="38"/>
      <c r="AV442" s="38"/>
      <c r="AW442" s="38" t="s">
        <v>47</v>
      </c>
      <c r="AX442" s="38"/>
      <c r="AY442" s="38" t="s">
        <v>47</v>
      </c>
      <c r="AZ442" s="38"/>
      <c r="BA442" s="38"/>
      <c r="BB442" s="38"/>
      <c r="BC442" s="38"/>
      <c r="BD442" s="38"/>
      <c r="BE442" s="77">
        <f t="shared" si="30"/>
        <v>4</v>
      </c>
      <c r="BF442" s="38"/>
    </row>
    <row r="443" spans="1:58" ht="22.5" hidden="1" customHeight="1">
      <c r="A443" s="33" t="str">
        <f>IF(OR(ISBLANK(E443),ISBLANK(C443)),"",IF(COUNTIF($E$8:E443,E443)&gt;1,"",(MAX($A$7:A442)+1)))</f>
        <v/>
      </c>
      <c r="B443" s="34">
        <f>IF(ISBLANK(C443),"",SUBTOTAL(3,$C$8:C443))</f>
        <v>44</v>
      </c>
      <c r="C443" s="78" t="s">
        <v>963</v>
      </c>
      <c r="D443" s="50" t="s">
        <v>964</v>
      </c>
      <c r="E443" s="50" t="s">
        <v>921</v>
      </c>
      <c r="F443" s="35" t="str">
        <f t="shared" si="28"/>
        <v/>
      </c>
      <c r="G443" s="36" t="str">
        <f t="shared" si="29"/>
        <v>B</v>
      </c>
      <c r="H443" s="51">
        <f t="shared" si="31"/>
        <v>1</v>
      </c>
      <c r="I443" s="51">
        <f t="shared" si="31"/>
        <v>4</v>
      </c>
      <c r="J443" s="51" t="str">
        <f t="shared" si="31"/>
        <v/>
      </c>
      <c r="K443" s="37" t="s">
        <v>47</v>
      </c>
      <c r="L443" s="37"/>
      <c r="M443" s="37"/>
      <c r="N443" s="37"/>
      <c r="O443" s="37" t="s">
        <v>47</v>
      </c>
      <c r="P443" s="37"/>
      <c r="Q443" s="37"/>
      <c r="R443" s="37" t="s">
        <v>47</v>
      </c>
      <c r="S443" s="37"/>
      <c r="T443" s="37"/>
      <c r="U443" s="37" t="s">
        <v>47</v>
      </c>
      <c r="V443" s="37"/>
      <c r="W443" s="37"/>
      <c r="X443" s="37" t="s">
        <v>47</v>
      </c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M443" s="38"/>
      <c r="AN443" s="38"/>
      <c r="AO443" s="38"/>
      <c r="AP443" s="38"/>
      <c r="AQ443" s="38"/>
      <c r="AR443" s="38"/>
      <c r="AS443" s="38"/>
      <c r="AT443" s="38"/>
      <c r="AU443" s="38"/>
      <c r="AV443" s="38"/>
      <c r="AW443" s="38"/>
      <c r="AX443" s="38"/>
      <c r="AY443" s="38"/>
      <c r="AZ443" s="38" t="s">
        <v>47</v>
      </c>
      <c r="BA443" s="38" t="s">
        <v>47</v>
      </c>
      <c r="BB443" s="38" t="s">
        <v>47</v>
      </c>
      <c r="BC443" s="38" t="s">
        <v>47</v>
      </c>
      <c r="BD443" s="38"/>
      <c r="BE443" s="77">
        <f t="shared" si="30"/>
        <v>4</v>
      </c>
      <c r="BF443" s="38"/>
    </row>
    <row r="444" spans="1:58" ht="22.5" hidden="1" customHeight="1">
      <c r="A444" s="33" t="str">
        <f>IF(OR(ISBLANK(E444),ISBLANK(C444)),"",IF(COUNTIF($E$8:E444,E444)&gt;1,"",(MAX($A$7:A443)+1)))</f>
        <v/>
      </c>
      <c r="B444" s="34">
        <f>IF(ISBLANK(C444),"",SUBTOTAL(3,$C$8:C444))</f>
        <v>44</v>
      </c>
      <c r="C444" s="80" t="s">
        <v>965</v>
      </c>
      <c r="D444" s="52" t="s">
        <v>966</v>
      </c>
      <c r="E444" s="50" t="s">
        <v>921</v>
      </c>
      <c r="F444" s="35" t="str">
        <f t="shared" si="28"/>
        <v/>
      </c>
      <c r="G444" s="36" t="str">
        <f t="shared" si="29"/>
        <v>D</v>
      </c>
      <c r="H444" s="51" t="str">
        <f t="shared" si="31"/>
        <v/>
      </c>
      <c r="I444" s="51">
        <f t="shared" si="31"/>
        <v>1</v>
      </c>
      <c r="J444" s="51" t="str">
        <f t="shared" si="31"/>
        <v/>
      </c>
      <c r="K444" s="37"/>
      <c r="L444" s="37" t="s">
        <v>47</v>
      </c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M444" s="38"/>
      <c r="AN444" s="38"/>
      <c r="AO444" s="38"/>
      <c r="AP444" s="38"/>
      <c r="AQ444" s="38"/>
      <c r="AR444" s="38" t="s">
        <v>47</v>
      </c>
      <c r="AS444" s="38" t="s">
        <v>47</v>
      </c>
      <c r="AT444" s="38"/>
      <c r="AU444" s="38"/>
      <c r="AV444" s="38"/>
      <c r="AW444" s="38"/>
      <c r="AX444" s="38"/>
      <c r="AY444" s="38"/>
      <c r="AZ444" s="38"/>
      <c r="BA444" s="38"/>
      <c r="BB444" s="38"/>
      <c r="BC444" s="38"/>
      <c r="BD444" s="38"/>
      <c r="BE444" s="77">
        <f t="shared" si="30"/>
        <v>2</v>
      </c>
      <c r="BF444" s="38"/>
    </row>
    <row r="445" spans="1:58" ht="22.5" hidden="1" customHeight="1">
      <c r="A445" s="33" t="str">
        <f>IF(OR(ISBLANK(E445),ISBLANK(C445)),"",IF(COUNTIF($E$8:E445,E445)&gt;1,"",(MAX($A$7:A444)+1)))</f>
        <v/>
      </c>
      <c r="B445" s="34">
        <f>IF(ISBLANK(C445),"",SUBTOTAL(3,$C$8:C445))</f>
        <v>44</v>
      </c>
      <c r="C445" s="80" t="s">
        <v>967</v>
      </c>
      <c r="D445" s="52" t="s">
        <v>968</v>
      </c>
      <c r="E445" s="50" t="s">
        <v>921</v>
      </c>
      <c r="F445" s="35" t="str">
        <f t="shared" si="28"/>
        <v/>
      </c>
      <c r="G445" s="36" t="str">
        <f t="shared" si="29"/>
        <v>D</v>
      </c>
      <c r="H445" s="51" t="str">
        <f t="shared" si="31"/>
        <v/>
      </c>
      <c r="I445" s="51">
        <f t="shared" si="31"/>
        <v>1</v>
      </c>
      <c r="J445" s="51" t="str">
        <f t="shared" si="31"/>
        <v/>
      </c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 t="s">
        <v>47</v>
      </c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M445" s="38"/>
      <c r="AN445" s="38"/>
      <c r="AO445" s="38" t="s">
        <v>47</v>
      </c>
      <c r="AP445" s="38"/>
      <c r="AQ445" s="38"/>
      <c r="AR445" s="38"/>
      <c r="AS445" s="38"/>
      <c r="AT445" s="38"/>
      <c r="AU445" s="38"/>
      <c r="AV445" s="38"/>
      <c r="AW445" s="38"/>
      <c r="AX445" s="38"/>
      <c r="AY445" s="38"/>
      <c r="AZ445" s="38"/>
      <c r="BA445" s="38"/>
      <c r="BB445" s="38"/>
      <c r="BC445" s="38"/>
      <c r="BD445" s="38"/>
      <c r="BE445" s="77">
        <f t="shared" si="30"/>
        <v>1</v>
      </c>
      <c r="BF445" s="38"/>
    </row>
    <row r="446" spans="1:58" ht="22.5" hidden="1" customHeight="1">
      <c r="A446" s="33" t="str">
        <f>IF(OR(ISBLANK(E446),ISBLANK(C446)),"",IF(COUNTIF($E$8:E446,E446)&gt;1,"",(MAX($A$7:A445)+1)))</f>
        <v/>
      </c>
      <c r="B446" s="34">
        <f>IF(ISBLANK(C446),"",SUBTOTAL(3,$C$8:C446))</f>
        <v>44</v>
      </c>
      <c r="C446" s="80" t="s">
        <v>969</v>
      </c>
      <c r="D446" s="52" t="s">
        <v>970</v>
      </c>
      <c r="E446" s="50" t="s">
        <v>921</v>
      </c>
      <c r="F446" s="35" t="str">
        <f t="shared" si="28"/>
        <v/>
      </c>
      <c r="G446" s="36" t="str">
        <f t="shared" si="29"/>
        <v>D</v>
      </c>
      <c r="H446" s="51" t="str">
        <f t="shared" si="31"/>
        <v/>
      </c>
      <c r="I446" s="51">
        <f t="shared" si="31"/>
        <v>1</v>
      </c>
      <c r="J446" s="51" t="str">
        <f t="shared" si="31"/>
        <v/>
      </c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 t="s">
        <v>47</v>
      </c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M446" s="38"/>
      <c r="AN446" s="38"/>
      <c r="AO446" s="38"/>
      <c r="AP446" s="38" t="s">
        <v>47</v>
      </c>
      <c r="AQ446" s="38"/>
      <c r="AR446" s="38"/>
      <c r="AS446" s="38"/>
      <c r="AT446" s="38"/>
      <c r="AU446" s="38"/>
      <c r="AV446" s="38"/>
      <c r="AW446" s="38"/>
      <c r="AX446" s="38"/>
      <c r="AY446" s="38"/>
      <c r="AZ446" s="38"/>
      <c r="BA446" s="38"/>
      <c r="BB446" s="38"/>
      <c r="BC446" s="38"/>
      <c r="BD446" s="38"/>
      <c r="BE446" s="77">
        <f t="shared" si="30"/>
        <v>1</v>
      </c>
      <c r="BF446" s="38"/>
    </row>
    <row r="447" spans="1:58" ht="22.5" hidden="1" customHeight="1">
      <c r="A447" s="33" t="str">
        <f>IF(OR(ISBLANK(E447),ISBLANK(C447)),"",IF(COUNTIF($E$8:E447,E447)&gt;1,"",(MAX($A$7:A446)+1)))</f>
        <v/>
      </c>
      <c r="B447" s="34">
        <f>IF(ISBLANK(C447),"",SUBTOTAL(3,$C$8:C447))</f>
        <v>44</v>
      </c>
      <c r="C447" s="80" t="s">
        <v>971</v>
      </c>
      <c r="D447" s="52" t="s">
        <v>972</v>
      </c>
      <c r="E447" s="50" t="s">
        <v>921</v>
      </c>
      <c r="F447" s="35" t="str">
        <f t="shared" si="28"/>
        <v/>
      </c>
      <c r="G447" s="36" t="str">
        <f t="shared" si="29"/>
        <v>C</v>
      </c>
      <c r="H447" s="51" t="str">
        <f t="shared" si="31"/>
        <v/>
      </c>
      <c r="I447" s="51">
        <f t="shared" si="31"/>
        <v>2</v>
      </c>
      <c r="J447" s="51" t="str">
        <f t="shared" si="31"/>
        <v/>
      </c>
      <c r="K447" s="37"/>
      <c r="L447" s="37" t="s">
        <v>47</v>
      </c>
      <c r="M447" s="37"/>
      <c r="N447" s="37"/>
      <c r="O447" s="37"/>
      <c r="P447" s="37"/>
      <c r="Q447" s="37"/>
      <c r="R447" s="37" t="s">
        <v>47</v>
      </c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M447" s="38"/>
      <c r="AN447" s="38"/>
      <c r="AO447" s="38"/>
      <c r="AP447" s="38"/>
      <c r="AQ447" s="38"/>
      <c r="AR447" s="38"/>
      <c r="AS447" s="38"/>
      <c r="AT447" s="38"/>
      <c r="AU447" s="38"/>
      <c r="AV447" s="38"/>
      <c r="AW447" s="38"/>
      <c r="AX447" s="38"/>
      <c r="AY447" s="38"/>
      <c r="AZ447" s="38"/>
      <c r="BA447" s="38"/>
      <c r="BB447" s="38"/>
      <c r="BC447" s="38"/>
      <c r="BD447" s="38"/>
      <c r="BE447" s="77">
        <f t="shared" si="30"/>
        <v>0</v>
      </c>
      <c r="BF447" s="38"/>
    </row>
    <row r="448" spans="1:58" ht="22.5" hidden="1" customHeight="1">
      <c r="A448" s="33" t="str">
        <f>IF(OR(ISBLANK(E448),ISBLANK(C448)),"",IF(COUNTIF($E$8:E448,E448)&gt;1,"",(MAX($A$7:A447)+1)))</f>
        <v/>
      </c>
      <c r="B448" s="34">
        <f>IF(ISBLANK(C448),"",SUBTOTAL(3,$C$8:C448))</f>
        <v>44</v>
      </c>
      <c r="C448" s="80" t="s">
        <v>973</v>
      </c>
      <c r="D448" s="50" t="s">
        <v>974</v>
      </c>
      <c r="E448" s="50" t="s">
        <v>921</v>
      </c>
      <c r="F448" s="35" t="str">
        <f t="shared" si="28"/>
        <v/>
      </c>
      <c r="G448" s="36" t="str">
        <f t="shared" si="29"/>
        <v>D</v>
      </c>
      <c r="H448" s="51" t="str">
        <f t="shared" si="31"/>
        <v/>
      </c>
      <c r="I448" s="51" t="str">
        <f t="shared" si="31"/>
        <v/>
      </c>
      <c r="J448" s="51">
        <f t="shared" si="31"/>
        <v>1</v>
      </c>
      <c r="K448" s="37"/>
      <c r="L448" s="37"/>
      <c r="M448" s="37" t="s">
        <v>47</v>
      </c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M448" s="38"/>
      <c r="AN448" s="38"/>
      <c r="AO448" s="38"/>
      <c r="AP448" s="38"/>
      <c r="AQ448" s="38"/>
      <c r="AR448" s="38" t="s">
        <v>47</v>
      </c>
      <c r="AS448" s="38"/>
      <c r="AT448" s="38"/>
      <c r="AU448" s="38"/>
      <c r="AV448" s="38"/>
      <c r="AW448" s="38"/>
      <c r="AX448" s="38"/>
      <c r="AY448" s="38"/>
      <c r="AZ448" s="38"/>
      <c r="BA448" s="38"/>
      <c r="BB448" s="38"/>
      <c r="BC448" s="38"/>
      <c r="BD448" s="38"/>
      <c r="BE448" s="77">
        <f t="shared" si="30"/>
        <v>1</v>
      </c>
      <c r="BF448" s="38"/>
    </row>
    <row r="449" spans="1:58" ht="22.5" hidden="1" customHeight="1">
      <c r="A449" s="33" t="str">
        <f>IF(OR(ISBLANK(E449),ISBLANK(C449)),"",IF(COUNTIF($E$8:E449,E449)&gt;1,"",(MAX($A$7:A448)+1)))</f>
        <v/>
      </c>
      <c r="B449" s="34">
        <f>IF(ISBLANK(C449),"",SUBTOTAL(3,$C$8:C449))</f>
        <v>44</v>
      </c>
      <c r="C449" s="79" t="s">
        <v>975</v>
      </c>
      <c r="D449" s="50" t="s">
        <v>976</v>
      </c>
      <c r="E449" s="50" t="s">
        <v>921</v>
      </c>
      <c r="F449" s="35" t="str">
        <f t="shared" si="28"/>
        <v/>
      </c>
      <c r="G449" s="36" t="str">
        <f t="shared" si="29"/>
        <v>C</v>
      </c>
      <c r="H449" s="51" t="str">
        <f t="shared" si="31"/>
        <v/>
      </c>
      <c r="I449" s="51">
        <f t="shared" si="31"/>
        <v>2</v>
      </c>
      <c r="J449" s="51" t="str">
        <f t="shared" si="31"/>
        <v/>
      </c>
      <c r="K449" s="37"/>
      <c r="L449" s="37" t="s">
        <v>47</v>
      </c>
      <c r="M449" s="37"/>
      <c r="N449" s="37"/>
      <c r="O449" s="37" t="s">
        <v>47</v>
      </c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M449" s="38"/>
      <c r="AN449" s="38"/>
      <c r="AO449" s="38"/>
      <c r="AP449" s="38"/>
      <c r="AQ449" s="38"/>
      <c r="AR449" s="38"/>
      <c r="AS449" s="38"/>
      <c r="AT449" s="38"/>
      <c r="AU449" s="38"/>
      <c r="AV449" s="38"/>
      <c r="AW449" s="38" t="s">
        <v>47</v>
      </c>
      <c r="AX449" s="38"/>
      <c r="AY449" s="38" t="s">
        <v>47</v>
      </c>
      <c r="AZ449" s="38"/>
      <c r="BA449" s="38"/>
      <c r="BB449" s="38"/>
      <c r="BC449" s="38" t="s">
        <v>47</v>
      </c>
      <c r="BD449" s="38"/>
      <c r="BE449" s="77">
        <f t="shared" si="30"/>
        <v>3</v>
      </c>
      <c r="BF449" s="38"/>
    </row>
    <row r="450" spans="1:58" ht="22.5" hidden="1" customHeight="1">
      <c r="A450" s="33" t="str">
        <f>IF(OR(ISBLANK(E450),ISBLANK(C450)),"",IF(COUNTIF($E$8:E450,E450)&gt;1,"",(MAX($A$7:A449)+1)))</f>
        <v/>
      </c>
      <c r="B450" s="34">
        <f>IF(ISBLANK(C450),"",SUBTOTAL(3,$C$8:C450))</f>
        <v>44</v>
      </c>
      <c r="C450" s="79" t="s">
        <v>977</v>
      </c>
      <c r="D450" s="50" t="s">
        <v>978</v>
      </c>
      <c r="E450" s="50" t="s">
        <v>921</v>
      </c>
      <c r="F450" s="35" t="str">
        <f t="shared" si="28"/>
        <v/>
      </c>
      <c r="G450" s="36" t="str">
        <f t="shared" si="29"/>
        <v>D</v>
      </c>
      <c r="H450" s="51" t="str">
        <f t="shared" si="31"/>
        <v/>
      </c>
      <c r="I450" s="51">
        <f t="shared" si="31"/>
        <v>1</v>
      </c>
      <c r="J450" s="51">
        <f t="shared" si="31"/>
        <v>1</v>
      </c>
      <c r="K450" s="37"/>
      <c r="L450" s="37"/>
      <c r="M450" s="37" t="s">
        <v>47</v>
      </c>
      <c r="N450" s="37"/>
      <c r="O450" s="37"/>
      <c r="P450" s="37"/>
      <c r="Q450" s="37"/>
      <c r="R450" s="37" t="s">
        <v>47</v>
      </c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  <c r="AK450" s="37"/>
      <c r="AM450" s="38"/>
      <c r="AN450" s="38"/>
      <c r="AO450" s="38"/>
      <c r="AP450" s="38"/>
      <c r="AQ450" s="38"/>
      <c r="AR450" s="38"/>
      <c r="AS450" s="38"/>
      <c r="AT450" s="38"/>
      <c r="AU450" s="38"/>
      <c r="AV450" s="38" t="s">
        <v>47</v>
      </c>
      <c r="AW450" s="38"/>
      <c r="AX450" s="38"/>
      <c r="AY450" s="38"/>
      <c r="AZ450" s="38"/>
      <c r="BA450" s="38"/>
      <c r="BB450" s="38"/>
      <c r="BC450" s="38"/>
      <c r="BD450" s="38"/>
      <c r="BE450" s="77">
        <f t="shared" si="30"/>
        <v>1</v>
      </c>
      <c r="BF450" s="38"/>
    </row>
    <row r="451" spans="1:58" ht="22.5" hidden="1" customHeight="1">
      <c r="A451" s="33" t="str">
        <f>IF(OR(ISBLANK(E451),ISBLANK(C451)),"",IF(COUNTIF($E$8:E451,E451)&gt;1,"",(MAX($A$7:A450)+1)))</f>
        <v/>
      </c>
      <c r="B451" s="34">
        <f>IF(ISBLANK(C451),"",SUBTOTAL(3,$C$8:C451))</f>
        <v>44</v>
      </c>
      <c r="C451" s="80" t="s">
        <v>979</v>
      </c>
      <c r="D451" s="50" t="s">
        <v>980</v>
      </c>
      <c r="E451" s="50" t="s">
        <v>921</v>
      </c>
      <c r="F451" s="35" t="str">
        <f t="shared" si="28"/>
        <v/>
      </c>
      <c r="G451" s="36" t="str">
        <f t="shared" si="29"/>
        <v>B</v>
      </c>
      <c r="H451" s="51">
        <f t="shared" si="31"/>
        <v>1</v>
      </c>
      <c r="I451" s="51">
        <f t="shared" si="31"/>
        <v>4</v>
      </c>
      <c r="J451" s="51" t="str">
        <f t="shared" si="31"/>
        <v/>
      </c>
      <c r="K451" s="37" t="s">
        <v>47</v>
      </c>
      <c r="L451" s="37"/>
      <c r="M451" s="37"/>
      <c r="N451" s="37"/>
      <c r="O451" s="37" t="s">
        <v>47</v>
      </c>
      <c r="P451" s="37"/>
      <c r="Q451" s="37"/>
      <c r="R451" s="37" t="s">
        <v>47</v>
      </c>
      <c r="S451" s="37"/>
      <c r="T451" s="37"/>
      <c r="U451" s="37" t="s">
        <v>47</v>
      </c>
      <c r="V451" s="37"/>
      <c r="W451" s="37"/>
      <c r="X451" s="37" t="s">
        <v>47</v>
      </c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M451" s="38"/>
      <c r="AN451" s="38"/>
      <c r="AO451" s="38"/>
      <c r="AP451" s="38"/>
      <c r="AQ451" s="38"/>
      <c r="AR451" s="38"/>
      <c r="AS451" s="38"/>
      <c r="AT451" s="38" t="s">
        <v>47</v>
      </c>
      <c r="AU451" s="38"/>
      <c r="AV451" s="38"/>
      <c r="AW451" s="38" t="s">
        <v>47</v>
      </c>
      <c r="AX451" s="38" t="s">
        <v>47</v>
      </c>
      <c r="AY451" s="38"/>
      <c r="AZ451" s="38"/>
      <c r="BA451" s="38"/>
      <c r="BB451" s="38" t="s">
        <v>47</v>
      </c>
      <c r="BC451" s="38" t="s">
        <v>47</v>
      </c>
      <c r="BD451" s="38"/>
      <c r="BE451" s="77">
        <f t="shared" si="30"/>
        <v>5</v>
      </c>
      <c r="BF451" s="38"/>
    </row>
    <row r="452" spans="1:58" ht="22.5" hidden="1" customHeight="1">
      <c r="A452" s="33" t="str">
        <f>IF(OR(ISBLANK(E452),ISBLANK(C452)),"",IF(COUNTIF($E$8:E452,E452)&gt;1,"",(MAX($A$7:A451)+1)))</f>
        <v/>
      </c>
      <c r="B452" s="34">
        <f>IF(ISBLANK(C452),"",SUBTOTAL(3,$C$8:C452))</f>
        <v>44</v>
      </c>
      <c r="C452" s="80" t="s">
        <v>981</v>
      </c>
      <c r="D452" s="50" t="s">
        <v>982</v>
      </c>
      <c r="E452" s="50" t="s">
        <v>921</v>
      </c>
      <c r="F452" s="35" t="str">
        <f t="shared" si="28"/>
        <v/>
      </c>
      <c r="G452" s="36" t="str">
        <f t="shared" si="29"/>
        <v>C</v>
      </c>
      <c r="H452" s="51" t="str">
        <f t="shared" si="31"/>
        <v/>
      </c>
      <c r="I452" s="51">
        <f t="shared" si="31"/>
        <v>2</v>
      </c>
      <c r="J452" s="51" t="str">
        <f t="shared" si="31"/>
        <v/>
      </c>
      <c r="K452" s="37"/>
      <c r="L452" s="37" t="s">
        <v>47</v>
      </c>
      <c r="M452" s="37"/>
      <c r="N452" s="37"/>
      <c r="O452" s="37"/>
      <c r="P452" s="37"/>
      <c r="Q452" s="37"/>
      <c r="R452" s="37" t="s">
        <v>47</v>
      </c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M452" s="38"/>
      <c r="AN452" s="38"/>
      <c r="AO452" s="38"/>
      <c r="AP452" s="38"/>
      <c r="AQ452" s="38"/>
      <c r="AR452" s="38"/>
      <c r="AS452" s="38" t="s">
        <v>47</v>
      </c>
      <c r="AT452" s="38"/>
      <c r="AU452" s="38"/>
      <c r="AV452" s="38"/>
      <c r="AW452" s="38"/>
      <c r="AX452" s="38"/>
      <c r="AY452" s="38"/>
      <c r="AZ452" s="38"/>
      <c r="BA452" s="38"/>
      <c r="BB452" s="38"/>
      <c r="BC452" s="38"/>
      <c r="BD452" s="38"/>
      <c r="BE452" s="77">
        <f t="shared" si="30"/>
        <v>1</v>
      </c>
      <c r="BF452" s="38"/>
    </row>
    <row r="453" spans="1:58" ht="22.5" hidden="1" customHeight="1">
      <c r="A453" s="33" t="str">
        <f>IF(OR(ISBLANK(E453),ISBLANK(C453)),"",IF(COUNTIF($E$8:E453,E453)&gt;1,"",(MAX($A$7:A452)+1)))</f>
        <v/>
      </c>
      <c r="B453" s="34">
        <f>IF(ISBLANK(C453),"",SUBTOTAL(3,$C$8:C453))</f>
        <v>44</v>
      </c>
      <c r="C453" s="80" t="s">
        <v>983</v>
      </c>
      <c r="D453" s="50" t="s">
        <v>984</v>
      </c>
      <c r="E453" s="50" t="s">
        <v>921</v>
      </c>
      <c r="F453" s="35" t="str">
        <f t="shared" si="28"/>
        <v/>
      </c>
      <c r="G453" s="36" t="str">
        <f t="shared" si="29"/>
        <v/>
      </c>
      <c r="H453" s="51" t="str">
        <f t="shared" si="31"/>
        <v/>
      </c>
      <c r="I453" s="51" t="str">
        <f t="shared" si="31"/>
        <v/>
      </c>
      <c r="J453" s="51" t="str">
        <f t="shared" si="31"/>
        <v/>
      </c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M453" s="38"/>
      <c r="AN453" s="38"/>
      <c r="AO453" s="38"/>
      <c r="AP453" s="38"/>
      <c r="AQ453" s="38"/>
      <c r="AR453" s="38"/>
      <c r="AS453" s="38"/>
      <c r="AT453" s="38"/>
      <c r="AU453" s="38"/>
      <c r="AV453" s="38"/>
      <c r="AW453" s="38"/>
      <c r="AX453" s="38"/>
      <c r="AY453" s="38"/>
      <c r="AZ453" s="38"/>
      <c r="BA453" s="38"/>
      <c r="BB453" s="38"/>
      <c r="BC453" s="38"/>
      <c r="BD453" s="38"/>
      <c r="BE453" s="77">
        <f t="shared" si="30"/>
        <v>0</v>
      </c>
      <c r="BF453" s="38"/>
    </row>
    <row r="454" spans="1:58" ht="22.5" hidden="1" customHeight="1">
      <c r="A454" s="33" t="str">
        <f>IF(OR(ISBLANK(E454),ISBLANK(C454)),"",IF(COUNTIF($E$8:E454,E454)&gt;1,"",(MAX($A$7:A453)+1)))</f>
        <v/>
      </c>
      <c r="B454" s="34">
        <f>IF(ISBLANK(C454),"",SUBTOTAL(3,$C$8:C454))</f>
        <v>44</v>
      </c>
      <c r="C454" s="80" t="s">
        <v>985</v>
      </c>
      <c r="D454" s="50" t="s">
        <v>733</v>
      </c>
      <c r="E454" s="50" t="s">
        <v>921</v>
      </c>
      <c r="F454" s="35" t="str">
        <f t="shared" si="28"/>
        <v/>
      </c>
      <c r="G454" s="36" t="str">
        <f t="shared" si="29"/>
        <v>B</v>
      </c>
      <c r="H454" s="51">
        <f t="shared" si="31"/>
        <v>1</v>
      </c>
      <c r="I454" s="51">
        <f t="shared" si="31"/>
        <v>4</v>
      </c>
      <c r="J454" s="51" t="str">
        <f t="shared" si="31"/>
        <v/>
      </c>
      <c r="K454" s="37" t="s">
        <v>47</v>
      </c>
      <c r="L454" s="37"/>
      <c r="M454" s="37"/>
      <c r="N454" s="37"/>
      <c r="O454" s="37" t="s">
        <v>47</v>
      </c>
      <c r="P454" s="37"/>
      <c r="Q454" s="37"/>
      <c r="R454" s="37" t="s">
        <v>47</v>
      </c>
      <c r="S454" s="37"/>
      <c r="T454" s="37"/>
      <c r="U454" s="37" t="s">
        <v>47</v>
      </c>
      <c r="V454" s="37"/>
      <c r="W454" s="37"/>
      <c r="X454" s="37" t="s">
        <v>47</v>
      </c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M454" s="38"/>
      <c r="AN454" s="38"/>
      <c r="AO454" s="38"/>
      <c r="AP454" s="38"/>
      <c r="AQ454" s="38"/>
      <c r="AR454" s="38" t="s">
        <v>47</v>
      </c>
      <c r="AS454" s="38" t="s">
        <v>47</v>
      </c>
      <c r="AT454" s="38" t="s">
        <v>47</v>
      </c>
      <c r="AU454" s="38"/>
      <c r="AV454" s="38" t="s">
        <v>47</v>
      </c>
      <c r="AW454" s="38" t="s">
        <v>47</v>
      </c>
      <c r="AX454" s="38"/>
      <c r="AY454" s="38" t="s">
        <v>47</v>
      </c>
      <c r="AZ454" s="38"/>
      <c r="BA454" s="38"/>
      <c r="BB454" s="38"/>
      <c r="BC454" s="38" t="s">
        <v>47</v>
      </c>
      <c r="BD454" s="38"/>
      <c r="BE454" s="77">
        <f t="shared" si="30"/>
        <v>7</v>
      </c>
      <c r="BF454" s="38"/>
    </row>
    <row r="455" spans="1:58" ht="22.5" hidden="1" customHeight="1">
      <c r="A455" s="33" t="str">
        <f>IF(OR(ISBLANK(E455),ISBLANK(C455)),"",IF(COUNTIF($E$8:E455,E455)&gt;1,"",(MAX($A$7:A454)+1)))</f>
        <v/>
      </c>
      <c r="B455" s="34">
        <f>IF(ISBLANK(C455),"",SUBTOTAL(3,$C$8:C455))</f>
        <v>44</v>
      </c>
      <c r="C455" s="80" t="s">
        <v>986</v>
      </c>
      <c r="D455" s="50" t="s">
        <v>987</v>
      </c>
      <c r="E455" s="50" t="s">
        <v>921</v>
      </c>
      <c r="F455" s="35" t="str">
        <f t="shared" si="28"/>
        <v/>
      </c>
      <c r="G455" s="36" t="str">
        <f t="shared" si="29"/>
        <v>C</v>
      </c>
      <c r="H455" s="51" t="str">
        <f t="shared" si="31"/>
        <v/>
      </c>
      <c r="I455" s="51">
        <f t="shared" si="31"/>
        <v>2</v>
      </c>
      <c r="J455" s="51" t="str">
        <f t="shared" si="31"/>
        <v/>
      </c>
      <c r="K455" s="37"/>
      <c r="L455" s="37" t="s">
        <v>47</v>
      </c>
      <c r="M455" s="37"/>
      <c r="N455" s="37"/>
      <c r="O455" s="37"/>
      <c r="P455" s="37"/>
      <c r="Q455" s="37"/>
      <c r="R455" s="37" t="s">
        <v>47</v>
      </c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M455" s="38"/>
      <c r="AN455" s="38"/>
      <c r="AO455" s="38"/>
      <c r="AP455" s="38"/>
      <c r="AQ455" s="38"/>
      <c r="AR455" s="38"/>
      <c r="AS455" s="38"/>
      <c r="AT455" s="38"/>
      <c r="AU455" s="38"/>
      <c r="AV455" s="38"/>
      <c r="AW455" s="38"/>
      <c r="AX455" s="38"/>
      <c r="AY455" s="38"/>
      <c r="AZ455" s="38"/>
      <c r="BA455" s="38"/>
      <c r="BB455" s="38"/>
      <c r="BC455" s="38"/>
      <c r="BD455" s="38"/>
      <c r="BE455" s="77">
        <f t="shared" si="30"/>
        <v>0</v>
      </c>
      <c r="BF455" s="38"/>
    </row>
    <row r="456" spans="1:58" ht="22.5" hidden="1" customHeight="1">
      <c r="A456" s="33" t="str">
        <f>IF(OR(ISBLANK(E456),ISBLANK(C456)),"",IF(COUNTIF($E$8:E456,E456)&gt;1,"",(MAX($A$7:A455)+1)))</f>
        <v/>
      </c>
      <c r="B456" s="34">
        <f>IF(ISBLANK(C456),"",SUBTOTAL(3,$C$8:C456))</f>
        <v>44</v>
      </c>
      <c r="C456" s="78" t="s">
        <v>988</v>
      </c>
      <c r="D456" s="50" t="s">
        <v>989</v>
      </c>
      <c r="E456" s="50" t="s">
        <v>921</v>
      </c>
      <c r="F456" s="35" t="str">
        <f t="shared" ref="F456:F519" si="32">IFERROR(IF(OR(ISBLANK($C456),B456=""),"",INDEX(Luonggio,MATCH($C456,MaNVLuong,0))),"")</f>
        <v/>
      </c>
      <c r="G456" s="36" t="str">
        <f t="shared" si="29"/>
        <v>B</v>
      </c>
      <c r="H456" s="51">
        <f t="shared" si="31"/>
        <v>1</v>
      </c>
      <c r="I456" s="51">
        <f t="shared" si="31"/>
        <v>4</v>
      </c>
      <c r="J456" s="51" t="str">
        <f t="shared" si="31"/>
        <v/>
      </c>
      <c r="K456" s="37" t="s">
        <v>47</v>
      </c>
      <c r="L456" s="37"/>
      <c r="M456" s="37"/>
      <c r="N456" s="37"/>
      <c r="O456" s="37" t="s">
        <v>47</v>
      </c>
      <c r="P456" s="37"/>
      <c r="Q456" s="37"/>
      <c r="R456" s="37" t="s">
        <v>47</v>
      </c>
      <c r="S456" s="37"/>
      <c r="T456" s="37"/>
      <c r="U456" s="37" t="s">
        <v>47</v>
      </c>
      <c r="V456" s="37"/>
      <c r="W456" s="37"/>
      <c r="X456" s="37" t="s">
        <v>47</v>
      </c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M456" s="38"/>
      <c r="AN456" s="38"/>
      <c r="AO456" s="38"/>
      <c r="AP456" s="38"/>
      <c r="AQ456" s="38"/>
      <c r="AR456" s="38"/>
      <c r="AS456" s="38"/>
      <c r="AT456" s="38" t="s">
        <v>47</v>
      </c>
      <c r="AU456" s="38"/>
      <c r="AV456" s="38" t="s">
        <v>47</v>
      </c>
      <c r="AW456" s="38" t="s">
        <v>47</v>
      </c>
      <c r="AX456" s="38"/>
      <c r="AY456" s="38"/>
      <c r="AZ456" s="38"/>
      <c r="BA456" s="38"/>
      <c r="BB456" s="38"/>
      <c r="BC456" s="38"/>
      <c r="BD456" s="38"/>
      <c r="BE456" s="77">
        <f t="shared" si="30"/>
        <v>3</v>
      </c>
      <c r="BF456" s="38"/>
    </row>
    <row r="457" spans="1:58" ht="22.5" hidden="1" customHeight="1">
      <c r="A457" s="33" t="str">
        <f>IF(OR(ISBLANK(E457),ISBLANK(C457)),"",IF(COUNTIF($E$8:E457,E457)&gt;1,"",(MAX($A$7:A456)+1)))</f>
        <v/>
      </c>
      <c r="B457" s="34">
        <f>IF(ISBLANK(C457),"",SUBTOTAL(3,$C$8:C457))</f>
        <v>44</v>
      </c>
      <c r="C457" s="79" t="s">
        <v>990</v>
      </c>
      <c r="D457" s="50" t="s">
        <v>991</v>
      </c>
      <c r="E457" s="50" t="s">
        <v>921</v>
      </c>
      <c r="F457" s="35" t="str">
        <f t="shared" si="32"/>
        <v/>
      </c>
      <c r="G457" s="36" t="str">
        <f t="shared" ref="G457:G520" si="33">IF(COUNTIF(H457:J457,"&gt;0")=0,"",IF(AND(OR(OR(SUM(H457)&gt;=2)),SUM(H457:J457)&gt;=4,OR(OR(SUM(I457)&gt;=1))),"A",IF(OR(OR(SUM(H457)&gt;=3)),"A",IF(AND(SUM(I457)&gt;=2,SUM(H457)=1),"B",IF(AND(SUM(I457)&gt;=1,SUM(H457)=2),"B",IF(H457=2,"B",IF(SUM(I457)&gt;=2,"C",IF(H457=1,"C",IF(AND(H457=1,I457=1),"C",IF(AND(SUM(H457:I457)=0,SUM(J457)&lt;=1),"D","D"))))))))))</f>
        <v>D</v>
      </c>
      <c r="H457" s="51" t="str">
        <f t="shared" si="31"/>
        <v/>
      </c>
      <c r="I457" s="51">
        <f t="shared" si="31"/>
        <v>1</v>
      </c>
      <c r="J457" s="51" t="str">
        <f t="shared" si="31"/>
        <v/>
      </c>
      <c r="K457" s="37"/>
      <c r="L457" s="37" t="s">
        <v>47</v>
      </c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  <c r="AK457" s="37"/>
      <c r="AM457" s="38"/>
      <c r="AN457" s="38"/>
      <c r="AO457" s="38"/>
      <c r="AP457" s="38"/>
      <c r="AQ457" s="38"/>
      <c r="AR457" s="38" t="s">
        <v>47</v>
      </c>
      <c r="AS457" s="38" t="s">
        <v>47</v>
      </c>
      <c r="AT457" s="38"/>
      <c r="AU457" s="38"/>
      <c r="AV457" s="38"/>
      <c r="AW457" s="38"/>
      <c r="AX457" s="38"/>
      <c r="AY457" s="38"/>
      <c r="AZ457" s="38"/>
      <c r="BA457" s="38"/>
      <c r="BB457" s="38"/>
      <c r="BC457" s="38"/>
      <c r="BD457" s="38"/>
      <c r="BE457" s="77">
        <f t="shared" ref="BE457:BE520" si="34">COUNTIF(AM457:BD457,"X")</f>
        <v>2</v>
      </c>
      <c r="BF457" s="38"/>
    </row>
    <row r="458" spans="1:58" ht="22.5" hidden="1" customHeight="1">
      <c r="A458" s="33">
        <f>IF(OR(ISBLANK(E458),ISBLANK(C458)),"",IF(COUNTIF($E$8:E458,E458)&gt;1,"",(MAX($A$7:A457)+1)))</f>
        <v>12</v>
      </c>
      <c r="B458" s="34">
        <f>IF(ISBLANK(C458),"",SUBTOTAL(3,$C$8:C458))</f>
        <v>44</v>
      </c>
      <c r="C458" s="78" t="s">
        <v>992</v>
      </c>
      <c r="D458" s="50" t="s">
        <v>993</v>
      </c>
      <c r="E458" s="50" t="s">
        <v>994</v>
      </c>
      <c r="F458" s="35" t="str">
        <f t="shared" si="32"/>
        <v/>
      </c>
      <c r="G458" s="36" t="str">
        <f t="shared" si="33"/>
        <v/>
      </c>
      <c r="H458" s="51" t="str">
        <f t="shared" si="31"/>
        <v/>
      </c>
      <c r="I458" s="51" t="str">
        <f t="shared" si="31"/>
        <v/>
      </c>
      <c r="J458" s="51" t="str">
        <f t="shared" si="31"/>
        <v/>
      </c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M458" s="38"/>
      <c r="AN458" s="38"/>
      <c r="AO458" s="38"/>
      <c r="AP458" s="38"/>
      <c r="AQ458" s="38"/>
      <c r="AR458" s="38"/>
      <c r="AS458" s="38"/>
      <c r="AT458" s="38"/>
      <c r="AU458" s="38"/>
      <c r="AV458" s="38"/>
      <c r="AW458" s="38"/>
      <c r="AX458" s="38"/>
      <c r="AY458" s="38"/>
      <c r="AZ458" s="38"/>
      <c r="BA458" s="38"/>
      <c r="BB458" s="38"/>
      <c r="BC458" s="38"/>
      <c r="BD458" s="38"/>
      <c r="BE458" s="77">
        <f t="shared" si="34"/>
        <v>0</v>
      </c>
      <c r="BF458" s="38"/>
    </row>
    <row r="459" spans="1:58" ht="22.5" hidden="1" customHeight="1">
      <c r="A459" s="33" t="str">
        <f>IF(OR(ISBLANK(E459),ISBLANK(C459)),"",IF(COUNTIF($E$8:E459,E459)&gt;1,"",(MAX($A$7:A458)+1)))</f>
        <v/>
      </c>
      <c r="B459" s="34">
        <f>IF(ISBLANK(C459),"",SUBTOTAL(3,$C$8:C459))</f>
        <v>44</v>
      </c>
      <c r="C459" s="78" t="s">
        <v>995</v>
      </c>
      <c r="D459" s="50" t="s">
        <v>996</v>
      </c>
      <c r="E459" s="50" t="s">
        <v>994</v>
      </c>
      <c r="F459" s="35" t="str">
        <f t="shared" si="32"/>
        <v/>
      </c>
      <c r="G459" s="36" t="str">
        <f t="shared" si="33"/>
        <v/>
      </c>
      <c r="H459" s="51" t="str">
        <f t="shared" si="31"/>
        <v/>
      </c>
      <c r="I459" s="51" t="str">
        <f t="shared" si="31"/>
        <v/>
      </c>
      <c r="J459" s="51" t="str">
        <f t="shared" si="31"/>
        <v/>
      </c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M459" s="38"/>
      <c r="AN459" s="38"/>
      <c r="AO459" s="38"/>
      <c r="AP459" s="38"/>
      <c r="AQ459" s="38"/>
      <c r="AR459" s="38"/>
      <c r="AS459" s="38"/>
      <c r="AT459" s="38"/>
      <c r="AU459" s="38"/>
      <c r="AV459" s="38"/>
      <c r="AW459" s="38"/>
      <c r="AX459" s="38"/>
      <c r="AY459" s="38"/>
      <c r="AZ459" s="38"/>
      <c r="BA459" s="38"/>
      <c r="BB459" s="38"/>
      <c r="BC459" s="38"/>
      <c r="BD459" s="38"/>
      <c r="BE459" s="77">
        <f t="shared" si="34"/>
        <v>0</v>
      </c>
      <c r="BF459" s="38"/>
    </row>
    <row r="460" spans="1:58" ht="22.5" hidden="1" customHeight="1">
      <c r="A460" s="33" t="str">
        <f>IF(OR(ISBLANK(E460),ISBLANK(C460)),"",IF(COUNTIF($E$8:E460,E460)&gt;1,"",(MAX($A$7:A459)+1)))</f>
        <v/>
      </c>
      <c r="B460" s="34">
        <f>IF(ISBLANK(C460),"",SUBTOTAL(3,$C$8:C460))</f>
        <v>44</v>
      </c>
      <c r="C460" s="86" t="s">
        <v>997</v>
      </c>
      <c r="D460" s="50" t="s">
        <v>998</v>
      </c>
      <c r="E460" s="50" t="s">
        <v>994</v>
      </c>
      <c r="F460" s="35" t="str">
        <f t="shared" si="32"/>
        <v/>
      </c>
      <c r="G460" s="36" t="str">
        <f t="shared" si="33"/>
        <v>D</v>
      </c>
      <c r="H460" s="51" t="str">
        <f t="shared" si="31"/>
        <v/>
      </c>
      <c r="I460" s="51">
        <f t="shared" si="31"/>
        <v>1</v>
      </c>
      <c r="J460" s="51">
        <f t="shared" si="31"/>
        <v>6</v>
      </c>
      <c r="K460" s="37"/>
      <c r="L460" s="37" t="s">
        <v>47</v>
      </c>
      <c r="M460" s="37"/>
      <c r="N460" s="37"/>
      <c r="O460" s="37"/>
      <c r="P460" s="37" t="s">
        <v>47</v>
      </c>
      <c r="Q460" s="37"/>
      <c r="R460" s="37"/>
      <c r="S460" s="37" t="s">
        <v>47</v>
      </c>
      <c r="T460" s="37"/>
      <c r="U460" s="37"/>
      <c r="V460" s="37" t="s">
        <v>47</v>
      </c>
      <c r="W460" s="37"/>
      <c r="X460" s="37"/>
      <c r="Y460" s="37" t="s">
        <v>47</v>
      </c>
      <c r="Z460" s="37"/>
      <c r="AA460" s="37"/>
      <c r="AB460" s="37" t="s">
        <v>47</v>
      </c>
      <c r="AC460" s="37"/>
      <c r="AD460" s="37"/>
      <c r="AE460" s="37" t="s">
        <v>47</v>
      </c>
      <c r="AF460" s="37"/>
      <c r="AG460" s="37"/>
      <c r="AH460" s="37"/>
      <c r="AI460" s="37"/>
      <c r="AJ460" s="37"/>
      <c r="AK460" s="37"/>
      <c r="AM460" s="38"/>
      <c r="AN460" s="38"/>
      <c r="AO460" s="38"/>
      <c r="AP460" s="38"/>
      <c r="AQ460" s="38"/>
      <c r="AR460" s="38"/>
      <c r="AS460" s="38" t="s">
        <v>47</v>
      </c>
      <c r="AT460" s="38"/>
      <c r="AU460" s="38"/>
      <c r="AV460" s="38"/>
      <c r="AW460" s="38" t="s">
        <v>47</v>
      </c>
      <c r="AX460" s="38"/>
      <c r="AY460" s="38"/>
      <c r="AZ460" s="38"/>
      <c r="BA460" s="38"/>
      <c r="BB460" s="38"/>
      <c r="BC460" s="38"/>
      <c r="BD460" s="38"/>
      <c r="BE460" s="77">
        <f t="shared" si="34"/>
        <v>2</v>
      </c>
      <c r="BF460" s="38"/>
    </row>
    <row r="461" spans="1:58" ht="22.5" hidden="1" customHeight="1">
      <c r="A461" s="33" t="str">
        <f>IF(OR(ISBLANK(E461),ISBLANK(C461)),"",IF(COUNTIF($E$8:E461,E461)&gt;1,"",(MAX($A$7:A460)+1)))</f>
        <v/>
      </c>
      <c r="B461" s="34">
        <f>IF(ISBLANK(C461),"",SUBTOTAL(3,$C$8:C461))</f>
        <v>44</v>
      </c>
      <c r="C461" s="80" t="s">
        <v>999</v>
      </c>
      <c r="D461" s="50" t="s">
        <v>1000</v>
      </c>
      <c r="E461" s="50" t="s">
        <v>994</v>
      </c>
      <c r="F461" s="35" t="str">
        <f t="shared" si="32"/>
        <v/>
      </c>
      <c r="G461" s="36" t="str">
        <f t="shared" si="33"/>
        <v/>
      </c>
      <c r="H461" s="51" t="str">
        <f t="shared" si="31"/>
        <v/>
      </c>
      <c r="I461" s="51" t="str">
        <f t="shared" si="31"/>
        <v/>
      </c>
      <c r="J461" s="51" t="str">
        <f t="shared" si="31"/>
        <v/>
      </c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M461" s="38"/>
      <c r="AN461" s="38"/>
      <c r="AO461" s="38"/>
      <c r="AP461" s="38"/>
      <c r="AQ461" s="38"/>
      <c r="AR461" s="38"/>
      <c r="AS461" s="38"/>
      <c r="AT461" s="38"/>
      <c r="AU461" s="38"/>
      <c r="AV461" s="38"/>
      <c r="AW461" s="38"/>
      <c r="AX461" s="38"/>
      <c r="AY461" s="38"/>
      <c r="AZ461" s="38"/>
      <c r="BA461" s="38"/>
      <c r="BB461" s="38"/>
      <c r="BC461" s="38"/>
      <c r="BD461" s="38"/>
      <c r="BE461" s="77">
        <f t="shared" si="34"/>
        <v>0</v>
      </c>
      <c r="BF461" s="38"/>
    </row>
    <row r="462" spans="1:58" ht="22.5" hidden="1" customHeight="1">
      <c r="A462" s="33" t="str">
        <f>IF(OR(ISBLANK(E462),ISBLANK(C462)),"",IF(COUNTIF($E$8:E462,E462)&gt;1,"",(MAX($A$7:A461)+1)))</f>
        <v/>
      </c>
      <c r="B462" s="34">
        <f>IF(ISBLANK(C462),"",SUBTOTAL(3,$C$8:C462))</f>
        <v>44</v>
      </c>
      <c r="C462" s="78" t="s">
        <v>1001</v>
      </c>
      <c r="D462" s="50" t="s">
        <v>1002</v>
      </c>
      <c r="E462" s="50" t="s">
        <v>994</v>
      </c>
      <c r="F462" s="35" t="str">
        <f t="shared" si="32"/>
        <v/>
      </c>
      <c r="G462" s="36" t="str">
        <f t="shared" si="33"/>
        <v>C</v>
      </c>
      <c r="H462" s="51" t="str">
        <f t="shared" si="31"/>
        <v/>
      </c>
      <c r="I462" s="51">
        <f t="shared" si="31"/>
        <v>3</v>
      </c>
      <c r="J462" s="51">
        <f t="shared" si="31"/>
        <v>4</v>
      </c>
      <c r="K462" s="37"/>
      <c r="L462" s="37" t="s">
        <v>47</v>
      </c>
      <c r="M462" s="37"/>
      <c r="N462" s="37"/>
      <c r="O462" s="37" t="s">
        <v>47</v>
      </c>
      <c r="P462" s="37"/>
      <c r="Q462" s="37"/>
      <c r="R462" s="37" t="s">
        <v>47</v>
      </c>
      <c r="S462" s="37"/>
      <c r="T462" s="37"/>
      <c r="U462" s="37"/>
      <c r="V462" s="37" t="s">
        <v>47</v>
      </c>
      <c r="W462" s="37"/>
      <c r="X462" s="37"/>
      <c r="Y462" s="37" t="s">
        <v>47</v>
      </c>
      <c r="Z462" s="37"/>
      <c r="AA462" s="37"/>
      <c r="AB462" s="37" t="s">
        <v>47</v>
      </c>
      <c r="AC462" s="37"/>
      <c r="AD462" s="37"/>
      <c r="AE462" s="37" t="s">
        <v>47</v>
      </c>
      <c r="AF462" s="37"/>
      <c r="AG462" s="37"/>
      <c r="AH462" s="37"/>
      <c r="AI462" s="37"/>
      <c r="AJ462" s="37"/>
      <c r="AK462" s="37"/>
      <c r="AM462" s="38"/>
      <c r="AN462" s="38"/>
      <c r="AO462" s="38"/>
      <c r="AP462" s="38"/>
      <c r="AQ462" s="38"/>
      <c r="AR462" s="38"/>
      <c r="AS462" s="38" t="s">
        <v>47</v>
      </c>
      <c r="AT462" s="38"/>
      <c r="AU462" s="38"/>
      <c r="AV462" s="38"/>
      <c r="AW462" s="38" t="s">
        <v>47</v>
      </c>
      <c r="AX462" s="38"/>
      <c r="AY462" s="38"/>
      <c r="AZ462" s="38"/>
      <c r="BA462" s="38"/>
      <c r="BB462" s="38"/>
      <c r="BC462" s="38"/>
      <c r="BD462" s="38"/>
      <c r="BE462" s="77">
        <f t="shared" si="34"/>
        <v>2</v>
      </c>
      <c r="BF462" s="38"/>
    </row>
    <row r="463" spans="1:58" ht="22.5" hidden="1" customHeight="1">
      <c r="A463" s="33" t="str">
        <f>IF(OR(ISBLANK(E463),ISBLANK(C463)),"",IF(COUNTIF($E$8:E463,E463)&gt;1,"",(MAX($A$7:A462)+1)))</f>
        <v/>
      </c>
      <c r="B463" s="34">
        <f>IF(ISBLANK(C463),"",SUBTOTAL(3,$C$8:C463))</f>
        <v>44</v>
      </c>
      <c r="C463" s="78" t="s">
        <v>1003</v>
      </c>
      <c r="D463" s="50" t="s">
        <v>1004</v>
      </c>
      <c r="E463" s="50" t="s">
        <v>994</v>
      </c>
      <c r="F463" s="35" t="str">
        <f t="shared" si="32"/>
        <v/>
      </c>
      <c r="G463" s="36" t="str">
        <f t="shared" si="33"/>
        <v>C</v>
      </c>
      <c r="H463" s="51">
        <f t="shared" si="31"/>
        <v>1</v>
      </c>
      <c r="I463" s="51">
        <f t="shared" si="31"/>
        <v>1</v>
      </c>
      <c r="J463" s="51">
        <f t="shared" si="31"/>
        <v>5</v>
      </c>
      <c r="K463" s="37" t="s">
        <v>47</v>
      </c>
      <c r="L463" s="37"/>
      <c r="M463" s="37"/>
      <c r="N463" s="37"/>
      <c r="O463" s="37"/>
      <c r="P463" s="37" t="s">
        <v>47</v>
      </c>
      <c r="Q463" s="37"/>
      <c r="R463" s="37" t="s">
        <v>47</v>
      </c>
      <c r="S463" s="37"/>
      <c r="T463" s="37"/>
      <c r="U463" s="37"/>
      <c r="V463" s="37" t="s">
        <v>47</v>
      </c>
      <c r="W463" s="37"/>
      <c r="X463" s="37"/>
      <c r="Y463" s="37" t="s">
        <v>47</v>
      </c>
      <c r="Z463" s="37"/>
      <c r="AA463" s="37"/>
      <c r="AB463" s="37" t="s">
        <v>47</v>
      </c>
      <c r="AC463" s="37"/>
      <c r="AD463" s="37"/>
      <c r="AE463" s="37" t="s">
        <v>47</v>
      </c>
      <c r="AF463" s="37"/>
      <c r="AG463" s="37"/>
      <c r="AH463" s="37"/>
      <c r="AI463" s="37"/>
      <c r="AJ463" s="37"/>
      <c r="AK463" s="37"/>
      <c r="AM463" s="38"/>
      <c r="AN463" s="38"/>
      <c r="AO463" s="38"/>
      <c r="AP463" s="38"/>
      <c r="AQ463" s="38"/>
      <c r="AR463" s="38"/>
      <c r="AS463" s="38"/>
      <c r="AT463" s="38"/>
      <c r="AU463" s="38"/>
      <c r="AV463" s="38"/>
      <c r="AW463" s="38"/>
      <c r="AX463" s="38"/>
      <c r="AY463" s="38"/>
      <c r="AZ463" s="38"/>
      <c r="BA463" s="38"/>
      <c r="BB463" s="38"/>
      <c r="BC463" s="38"/>
      <c r="BD463" s="38"/>
      <c r="BE463" s="77">
        <f t="shared" si="34"/>
        <v>0</v>
      </c>
      <c r="BF463" s="38"/>
    </row>
    <row r="464" spans="1:58" ht="22.5" hidden="1" customHeight="1">
      <c r="A464" s="33" t="str">
        <f>IF(OR(ISBLANK(E464),ISBLANK(C464)),"",IF(COUNTIF($E$8:E464,E464)&gt;1,"",(MAX($A$7:A463)+1)))</f>
        <v/>
      </c>
      <c r="B464" s="34">
        <f>IF(ISBLANK(C464),"",SUBTOTAL(3,$C$8:C464))</f>
        <v>44</v>
      </c>
      <c r="C464" s="78" t="s">
        <v>1005</v>
      </c>
      <c r="D464" s="50" t="s">
        <v>1006</v>
      </c>
      <c r="E464" s="50" t="s">
        <v>994</v>
      </c>
      <c r="F464" s="35" t="str">
        <f t="shared" si="32"/>
        <v/>
      </c>
      <c r="G464" s="36" t="str">
        <f t="shared" si="33"/>
        <v>D</v>
      </c>
      <c r="H464" s="51" t="str">
        <f t="shared" si="31"/>
        <v/>
      </c>
      <c r="I464" s="51">
        <f t="shared" si="31"/>
        <v>1</v>
      </c>
      <c r="J464" s="51">
        <f t="shared" si="31"/>
        <v>6</v>
      </c>
      <c r="K464" s="37"/>
      <c r="L464" s="37" t="s">
        <v>47</v>
      </c>
      <c r="M464" s="37"/>
      <c r="N464" s="37"/>
      <c r="O464" s="37"/>
      <c r="P464" s="37" t="s">
        <v>47</v>
      </c>
      <c r="Q464" s="37"/>
      <c r="R464" s="37"/>
      <c r="S464" s="37" t="s">
        <v>47</v>
      </c>
      <c r="T464" s="37"/>
      <c r="U464" s="37"/>
      <c r="V464" s="37" t="s">
        <v>47</v>
      </c>
      <c r="W464" s="37"/>
      <c r="X464" s="37"/>
      <c r="Y464" s="37" t="s">
        <v>47</v>
      </c>
      <c r="Z464" s="37"/>
      <c r="AA464" s="37"/>
      <c r="AB464" s="37" t="s">
        <v>47</v>
      </c>
      <c r="AC464" s="37"/>
      <c r="AD464" s="37"/>
      <c r="AE464" s="37" t="s">
        <v>47</v>
      </c>
      <c r="AF464" s="37"/>
      <c r="AG464" s="37"/>
      <c r="AH464" s="37"/>
      <c r="AI464" s="37"/>
      <c r="AJ464" s="37"/>
      <c r="AK464" s="37"/>
      <c r="AM464" s="38"/>
      <c r="AN464" s="38"/>
      <c r="AO464" s="38"/>
      <c r="AP464" s="38"/>
      <c r="AQ464" s="38"/>
      <c r="AR464" s="38"/>
      <c r="AS464" s="38" t="s">
        <v>47</v>
      </c>
      <c r="AT464" s="38"/>
      <c r="AU464" s="38"/>
      <c r="AV464" s="38"/>
      <c r="AW464" s="38"/>
      <c r="AX464" s="38"/>
      <c r="AY464" s="38"/>
      <c r="AZ464" s="38"/>
      <c r="BA464" s="38"/>
      <c r="BB464" s="38"/>
      <c r="BC464" s="38"/>
      <c r="BD464" s="38"/>
      <c r="BE464" s="77">
        <f t="shared" si="34"/>
        <v>1</v>
      </c>
      <c r="BF464" s="38"/>
    </row>
    <row r="465" spans="1:58" ht="22.5" hidden="1" customHeight="1">
      <c r="A465" s="33" t="str">
        <f>IF(OR(ISBLANK(E465),ISBLANK(C465)),"",IF(COUNTIF($E$8:E465,E465)&gt;1,"",(MAX($A$7:A464)+1)))</f>
        <v/>
      </c>
      <c r="B465" s="34">
        <f>IF(ISBLANK(C465),"",SUBTOTAL(3,$C$8:C465))</f>
        <v>44</v>
      </c>
      <c r="C465" s="78" t="s">
        <v>1007</v>
      </c>
      <c r="D465" s="50" t="s">
        <v>1008</v>
      </c>
      <c r="E465" s="50" t="s">
        <v>994</v>
      </c>
      <c r="F465" s="35" t="str">
        <f t="shared" si="32"/>
        <v/>
      </c>
      <c r="G465" s="36" t="str">
        <f t="shared" si="33"/>
        <v>C</v>
      </c>
      <c r="H465" s="51">
        <f t="shared" si="31"/>
        <v>1</v>
      </c>
      <c r="I465" s="51" t="str">
        <f t="shared" si="31"/>
        <v/>
      </c>
      <c r="J465" s="51">
        <f t="shared" si="31"/>
        <v>6</v>
      </c>
      <c r="K465" s="37" t="s">
        <v>47</v>
      </c>
      <c r="L465" s="37"/>
      <c r="M465" s="37"/>
      <c r="N465" s="37"/>
      <c r="O465" s="37"/>
      <c r="P465" s="37" t="s">
        <v>47</v>
      </c>
      <c r="Q465" s="37"/>
      <c r="R465" s="37"/>
      <c r="S465" s="37" t="s">
        <v>47</v>
      </c>
      <c r="T465" s="37"/>
      <c r="U465" s="37"/>
      <c r="V465" s="37" t="s">
        <v>47</v>
      </c>
      <c r="W465" s="37"/>
      <c r="X465" s="37"/>
      <c r="Y465" s="37" t="s">
        <v>47</v>
      </c>
      <c r="Z465" s="37"/>
      <c r="AA465" s="37"/>
      <c r="AB465" s="37" t="s">
        <v>47</v>
      </c>
      <c r="AC465" s="37"/>
      <c r="AD465" s="37"/>
      <c r="AE465" s="37" t="s">
        <v>47</v>
      </c>
      <c r="AF465" s="37"/>
      <c r="AG465" s="37"/>
      <c r="AH465" s="37"/>
      <c r="AI465" s="37"/>
      <c r="AJ465" s="37"/>
      <c r="AK465" s="37"/>
      <c r="AM465" s="38"/>
      <c r="AN465" s="38"/>
      <c r="AO465" s="38"/>
      <c r="AP465" s="38"/>
      <c r="AQ465" s="38"/>
      <c r="AR465" s="38"/>
      <c r="AS465" s="38"/>
      <c r="AT465" s="38"/>
      <c r="AU465" s="38"/>
      <c r="AV465" s="38"/>
      <c r="AW465" s="38"/>
      <c r="AX465" s="38"/>
      <c r="AY465" s="38"/>
      <c r="AZ465" s="38"/>
      <c r="BA465" s="38"/>
      <c r="BB465" s="38" t="s">
        <v>47</v>
      </c>
      <c r="BC465" s="38"/>
      <c r="BD465" s="38"/>
      <c r="BE465" s="77">
        <f t="shared" si="34"/>
        <v>1</v>
      </c>
      <c r="BF465" s="38"/>
    </row>
    <row r="466" spans="1:58" ht="22.5" hidden="1" customHeight="1">
      <c r="A466" s="33" t="str">
        <f>IF(OR(ISBLANK(E466),ISBLANK(C466)),"",IF(COUNTIF($E$8:E466,E466)&gt;1,"",(MAX($A$7:A465)+1)))</f>
        <v/>
      </c>
      <c r="B466" s="34">
        <f>IF(ISBLANK(C466),"",SUBTOTAL(3,$C$8:C466))</f>
        <v>44</v>
      </c>
      <c r="C466" s="78" t="s">
        <v>1009</v>
      </c>
      <c r="D466" s="50" t="s">
        <v>1010</v>
      </c>
      <c r="E466" s="50" t="s">
        <v>994</v>
      </c>
      <c r="F466" s="35" t="str">
        <f t="shared" si="32"/>
        <v/>
      </c>
      <c r="G466" s="36" t="str">
        <f t="shared" si="33"/>
        <v>A</v>
      </c>
      <c r="H466" s="51">
        <f t="shared" si="31"/>
        <v>3</v>
      </c>
      <c r="I466" s="51" t="str">
        <f t="shared" si="31"/>
        <v/>
      </c>
      <c r="J466" s="51">
        <f t="shared" si="31"/>
        <v>4</v>
      </c>
      <c r="K466" s="37" t="s">
        <v>47</v>
      </c>
      <c r="L466" s="37"/>
      <c r="M466" s="37"/>
      <c r="N466" s="37" t="s">
        <v>47</v>
      </c>
      <c r="O466" s="37"/>
      <c r="P466" s="37"/>
      <c r="Q466" s="37" t="s">
        <v>47</v>
      </c>
      <c r="R466" s="37"/>
      <c r="S466" s="37" t="s">
        <v>47</v>
      </c>
      <c r="T466" s="37"/>
      <c r="U466" s="37"/>
      <c r="V466" s="37" t="s">
        <v>47</v>
      </c>
      <c r="W466" s="37"/>
      <c r="X466" s="37"/>
      <c r="Y466" s="37"/>
      <c r="Z466" s="37"/>
      <c r="AA466" s="37"/>
      <c r="AB466" s="37" t="s">
        <v>47</v>
      </c>
      <c r="AC466" s="37"/>
      <c r="AD466" s="37"/>
      <c r="AE466" s="37" t="s">
        <v>47</v>
      </c>
      <c r="AF466" s="37"/>
      <c r="AG466" s="37"/>
      <c r="AH466" s="37"/>
      <c r="AI466" s="37"/>
      <c r="AJ466" s="37"/>
      <c r="AK466" s="37"/>
      <c r="AM466" s="38"/>
      <c r="AN466" s="38"/>
      <c r="AO466" s="38"/>
      <c r="AP466" s="38"/>
      <c r="AQ466" s="38"/>
      <c r="AR466" s="38"/>
      <c r="AS466" s="38"/>
      <c r="AT466" s="38"/>
      <c r="AU466" s="38" t="s">
        <v>47</v>
      </c>
      <c r="AV466" s="38"/>
      <c r="AW466" s="38" t="s">
        <v>47</v>
      </c>
      <c r="AX466" s="38" t="s">
        <v>47</v>
      </c>
      <c r="AY466" s="38"/>
      <c r="AZ466" s="38"/>
      <c r="BA466" s="38"/>
      <c r="BB466" s="38"/>
      <c r="BC466" s="38"/>
      <c r="BD466" s="38"/>
      <c r="BE466" s="77">
        <f t="shared" si="34"/>
        <v>3</v>
      </c>
      <c r="BF466" s="38"/>
    </row>
    <row r="467" spans="1:58" ht="22.5" hidden="1" customHeight="1">
      <c r="A467" s="33" t="str">
        <f>IF(OR(ISBLANK(E467),ISBLANK(C467)),"",IF(COUNTIF($E$8:E467,E467)&gt;1,"",(MAX($A$7:A466)+1)))</f>
        <v/>
      </c>
      <c r="B467" s="34">
        <f>IF(ISBLANK(C467),"",SUBTOTAL(3,$C$8:C467))</f>
        <v>44</v>
      </c>
      <c r="C467" s="78" t="s">
        <v>1011</v>
      </c>
      <c r="D467" s="50" t="s">
        <v>1012</v>
      </c>
      <c r="E467" s="50" t="s">
        <v>994</v>
      </c>
      <c r="F467" s="35" t="str">
        <f t="shared" si="32"/>
        <v/>
      </c>
      <c r="G467" s="36" t="str">
        <f t="shared" si="33"/>
        <v>C</v>
      </c>
      <c r="H467" s="51">
        <f t="shared" si="31"/>
        <v>1</v>
      </c>
      <c r="I467" s="51">
        <f t="shared" si="31"/>
        <v>1</v>
      </c>
      <c r="J467" s="51">
        <f t="shared" si="31"/>
        <v>5</v>
      </c>
      <c r="K467" s="37"/>
      <c r="L467" s="37" t="s">
        <v>47</v>
      </c>
      <c r="M467" s="37"/>
      <c r="N467" s="37"/>
      <c r="O467" s="37"/>
      <c r="P467" s="37" t="s">
        <v>47</v>
      </c>
      <c r="Q467" s="37" t="s">
        <v>47</v>
      </c>
      <c r="R467" s="37"/>
      <c r="S467" s="37"/>
      <c r="T467" s="37"/>
      <c r="U467" s="37"/>
      <c r="V467" s="37" t="s">
        <v>47</v>
      </c>
      <c r="W467" s="37"/>
      <c r="X467" s="37"/>
      <c r="Y467" s="37" t="s">
        <v>47</v>
      </c>
      <c r="Z467" s="37"/>
      <c r="AA467" s="37"/>
      <c r="AB467" s="37" t="s">
        <v>47</v>
      </c>
      <c r="AC467" s="37"/>
      <c r="AD467" s="37"/>
      <c r="AE467" s="37" t="s">
        <v>47</v>
      </c>
      <c r="AF467" s="37"/>
      <c r="AG467" s="37"/>
      <c r="AH467" s="37"/>
      <c r="AI467" s="37"/>
      <c r="AJ467" s="37"/>
      <c r="AK467" s="37"/>
      <c r="AM467" s="38"/>
      <c r="AN467" s="38"/>
      <c r="AO467" s="38"/>
      <c r="AP467" s="38"/>
      <c r="AQ467" s="38"/>
      <c r="AR467" s="38"/>
      <c r="AS467" s="38"/>
      <c r="AT467" s="38"/>
      <c r="AU467" s="38"/>
      <c r="AV467" s="38"/>
      <c r="AW467" s="38" t="s">
        <v>47</v>
      </c>
      <c r="AX467" s="38"/>
      <c r="AY467" s="38"/>
      <c r="AZ467" s="38"/>
      <c r="BA467" s="38"/>
      <c r="BB467" s="38"/>
      <c r="BC467" s="38"/>
      <c r="BD467" s="38"/>
      <c r="BE467" s="77">
        <f t="shared" si="34"/>
        <v>1</v>
      </c>
      <c r="BF467" s="38"/>
    </row>
    <row r="468" spans="1:58" ht="22.5" hidden="1" customHeight="1">
      <c r="A468" s="33" t="str">
        <f>IF(OR(ISBLANK(E468),ISBLANK(C468)),"",IF(COUNTIF($E$8:E468,E468)&gt;1,"",(MAX($A$7:A467)+1)))</f>
        <v/>
      </c>
      <c r="B468" s="34">
        <f>IF(ISBLANK(C468),"",SUBTOTAL(3,$C$8:C468))</f>
        <v>44</v>
      </c>
      <c r="C468" s="78" t="s">
        <v>1013</v>
      </c>
      <c r="D468" s="50" t="s">
        <v>1014</v>
      </c>
      <c r="E468" s="50" t="s">
        <v>994</v>
      </c>
      <c r="F468" s="35" t="str">
        <f t="shared" si="32"/>
        <v/>
      </c>
      <c r="G468" s="36" t="str">
        <f t="shared" si="33"/>
        <v>B</v>
      </c>
      <c r="H468" s="51">
        <f t="shared" si="31"/>
        <v>1</v>
      </c>
      <c r="I468" s="51">
        <f t="shared" si="31"/>
        <v>2</v>
      </c>
      <c r="J468" s="51">
        <f t="shared" si="31"/>
        <v>4</v>
      </c>
      <c r="K468" s="37" t="s">
        <v>47</v>
      </c>
      <c r="L468" s="37"/>
      <c r="M468" s="37"/>
      <c r="N468" s="37"/>
      <c r="O468" s="37" t="s">
        <v>47</v>
      </c>
      <c r="P468" s="37"/>
      <c r="Q468" s="37"/>
      <c r="R468" s="37" t="s">
        <v>47</v>
      </c>
      <c r="S468" s="37"/>
      <c r="T468" s="37"/>
      <c r="U468" s="37"/>
      <c r="V468" s="37" t="s">
        <v>47</v>
      </c>
      <c r="W468" s="37"/>
      <c r="X468" s="37"/>
      <c r="Y468" s="37" t="s">
        <v>47</v>
      </c>
      <c r="Z468" s="37"/>
      <c r="AA468" s="37"/>
      <c r="AB468" s="37" t="s">
        <v>47</v>
      </c>
      <c r="AC468" s="37"/>
      <c r="AD468" s="37"/>
      <c r="AE468" s="37" t="s">
        <v>47</v>
      </c>
      <c r="AF468" s="37"/>
      <c r="AG468" s="37"/>
      <c r="AH468" s="37"/>
      <c r="AI468" s="37"/>
      <c r="AJ468" s="37"/>
      <c r="AK468" s="37"/>
      <c r="AM468" s="38"/>
      <c r="AN468" s="38"/>
      <c r="AO468" s="38"/>
      <c r="AP468" s="38"/>
      <c r="AQ468" s="38"/>
      <c r="AR468" s="38"/>
      <c r="AS468" s="38"/>
      <c r="AT468" s="38"/>
      <c r="AU468" s="38"/>
      <c r="AV468" s="38"/>
      <c r="AW468" s="38"/>
      <c r="AX468" s="38"/>
      <c r="AY468" s="38"/>
      <c r="AZ468" s="38"/>
      <c r="BA468" s="38"/>
      <c r="BB468" s="38"/>
      <c r="BC468" s="38"/>
      <c r="BD468" s="38"/>
      <c r="BE468" s="77">
        <f t="shared" si="34"/>
        <v>0</v>
      </c>
      <c r="BF468" s="38"/>
    </row>
    <row r="469" spans="1:58" ht="22.5" hidden="1" customHeight="1">
      <c r="A469" s="33" t="str">
        <f>IF(OR(ISBLANK(E469),ISBLANK(C469)),"",IF(COUNTIF($E$8:E469,E469)&gt;1,"",(MAX($A$7:A468)+1)))</f>
        <v/>
      </c>
      <c r="B469" s="34">
        <f>IF(ISBLANK(C469),"",SUBTOTAL(3,$C$8:C469))</f>
        <v>44</v>
      </c>
      <c r="C469" s="78" t="s">
        <v>1015</v>
      </c>
      <c r="D469" s="50" t="s">
        <v>1016</v>
      </c>
      <c r="E469" s="50" t="s">
        <v>994</v>
      </c>
      <c r="F469" s="35" t="str">
        <f t="shared" si="32"/>
        <v/>
      </c>
      <c r="G469" s="36" t="str">
        <f t="shared" si="33"/>
        <v>D</v>
      </c>
      <c r="H469" s="51" t="str">
        <f t="shared" si="31"/>
        <v/>
      </c>
      <c r="I469" s="51">
        <f t="shared" si="31"/>
        <v>1</v>
      </c>
      <c r="J469" s="51">
        <f t="shared" si="31"/>
        <v>6</v>
      </c>
      <c r="K469" s="37"/>
      <c r="L469" s="37" t="s">
        <v>47</v>
      </c>
      <c r="M469" s="37"/>
      <c r="N469" s="37"/>
      <c r="O469" s="37"/>
      <c r="P469" s="37" t="s">
        <v>47</v>
      </c>
      <c r="Q469" s="37"/>
      <c r="R469" s="37"/>
      <c r="S469" s="37" t="s">
        <v>47</v>
      </c>
      <c r="T469" s="37"/>
      <c r="U469" s="37"/>
      <c r="V469" s="37" t="s">
        <v>47</v>
      </c>
      <c r="W469" s="37"/>
      <c r="X469" s="37"/>
      <c r="Y469" s="37" t="s">
        <v>47</v>
      </c>
      <c r="Z469" s="37"/>
      <c r="AA469" s="37"/>
      <c r="AB469" s="37" t="s">
        <v>47</v>
      </c>
      <c r="AC469" s="37"/>
      <c r="AD469" s="37"/>
      <c r="AE469" s="37" t="s">
        <v>47</v>
      </c>
      <c r="AF469" s="37"/>
      <c r="AG469" s="37"/>
      <c r="AH469" s="37"/>
      <c r="AI469" s="37"/>
      <c r="AJ469" s="37"/>
      <c r="AK469" s="37"/>
      <c r="AM469" s="38"/>
      <c r="AN469" s="38"/>
      <c r="AO469" s="38"/>
      <c r="AP469" s="38"/>
      <c r="AQ469" s="38"/>
      <c r="AR469" s="38" t="s">
        <v>47</v>
      </c>
      <c r="AS469" s="38" t="s">
        <v>47</v>
      </c>
      <c r="AT469" s="38"/>
      <c r="AU469" s="38"/>
      <c r="AV469" s="38"/>
      <c r="AW469" s="38"/>
      <c r="AX469" s="38"/>
      <c r="AY469" s="38"/>
      <c r="AZ469" s="38"/>
      <c r="BA469" s="38"/>
      <c r="BB469" s="38"/>
      <c r="BC469" s="38"/>
      <c r="BD469" s="38"/>
      <c r="BE469" s="77">
        <f t="shared" si="34"/>
        <v>2</v>
      </c>
      <c r="BF469" s="38"/>
    </row>
    <row r="470" spans="1:58" ht="22.5" hidden="1" customHeight="1">
      <c r="A470" s="33" t="str">
        <f>IF(OR(ISBLANK(E470),ISBLANK(C470)),"",IF(COUNTIF($E$8:E470,E470)&gt;1,"",(MAX($A$7:A469)+1)))</f>
        <v/>
      </c>
      <c r="B470" s="34">
        <f>IF(ISBLANK(C470),"",SUBTOTAL(3,$C$8:C470))</f>
        <v>44</v>
      </c>
      <c r="C470" s="78" t="s">
        <v>1017</v>
      </c>
      <c r="D470" s="50" t="s">
        <v>1018</v>
      </c>
      <c r="E470" s="50" t="s">
        <v>994</v>
      </c>
      <c r="F470" s="35" t="str">
        <f t="shared" si="32"/>
        <v/>
      </c>
      <c r="G470" s="36" t="str">
        <f t="shared" si="33"/>
        <v/>
      </c>
      <c r="H470" s="51" t="str">
        <f t="shared" si="31"/>
        <v/>
      </c>
      <c r="I470" s="51" t="str">
        <f t="shared" si="31"/>
        <v/>
      </c>
      <c r="J470" s="51" t="str">
        <f t="shared" si="31"/>
        <v/>
      </c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M470" s="38"/>
      <c r="AN470" s="38"/>
      <c r="AO470" s="38"/>
      <c r="AP470" s="38"/>
      <c r="AQ470" s="38"/>
      <c r="AR470" s="38"/>
      <c r="AS470" s="38"/>
      <c r="AT470" s="38"/>
      <c r="AU470" s="38"/>
      <c r="AV470" s="38"/>
      <c r="AW470" s="38"/>
      <c r="AX470" s="38"/>
      <c r="AY470" s="38"/>
      <c r="AZ470" s="38"/>
      <c r="BA470" s="38"/>
      <c r="BB470" s="38"/>
      <c r="BC470" s="38"/>
      <c r="BD470" s="38"/>
      <c r="BE470" s="77">
        <f t="shared" si="34"/>
        <v>0</v>
      </c>
      <c r="BF470" s="38"/>
    </row>
    <row r="471" spans="1:58" ht="22.5" hidden="1" customHeight="1">
      <c r="A471" s="33" t="str">
        <f>IF(OR(ISBLANK(E471),ISBLANK(C471)),"",IF(COUNTIF($E$8:E471,E471)&gt;1,"",(MAX($A$7:A470)+1)))</f>
        <v/>
      </c>
      <c r="B471" s="34">
        <f>IF(ISBLANK(C471),"",SUBTOTAL(3,$C$8:C471))</f>
        <v>44</v>
      </c>
      <c r="C471" s="78" t="s">
        <v>1019</v>
      </c>
      <c r="D471" s="50" t="s">
        <v>1020</v>
      </c>
      <c r="E471" s="50" t="s">
        <v>994</v>
      </c>
      <c r="F471" s="35" t="str">
        <f t="shared" si="32"/>
        <v/>
      </c>
      <c r="G471" s="36" t="str">
        <f t="shared" si="33"/>
        <v>C</v>
      </c>
      <c r="H471" s="51">
        <f t="shared" si="31"/>
        <v>1</v>
      </c>
      <c r="I471" s="51" t="str">
        <f t="shared" si="31"/>
        <v/>
      </c>
      <c r="J471" s="51">
        <f t="shared" si="31"/>
        <v>6</v>
      </c>
      <c r="K471" s="37"/>
      <c r="L471" s="37"/>
      <c r="M471" s="37" t="s">
        <v>47</v>
      </c>
      <c r="N471" s="37"/>
      <c r="O471" s="37"/>
      <c r="P471" s="37"/>
      <c r="Q471" s="37" t="s">
        <v>47</v>
      </c>
      <c r="R471" s="37"/>
      <c r="S471" s="37" t="s">
        <v>47</v>
      </c>
      <c r="T471" s="37"/>
      <c r="U471" s="37"/>
      <c r="V471" s="37" t="s">
        <v>47</v>
      </c>
      <c r="W471" s="37"/>
      <c r="X471" s="37"/>
      <c r="Y471" s="37" t="s">
        <v>47</v>
      </c>
      <c r="Z471" s="37"/>
      <c r="AA471" s="37"/>
      <c r="AB471" s="37" t="s">
        <v>47</v>
      </c>
      <c r="AC471" s="37"/>
      <c r="AD471" s="37"/>
      <c r="AE471" s="37" t="s">
        <v>47</v>
      </c>
      <c r="AF471" s="37"/>
      <c r="AG471" s="37"/>
      <c r="AH471" s="37"/>
      <c r="AI471" s="37"/>
      <c r="AJ471" s="37"/>
      <c r="AK471" s="37"/>
      <c r="AM471" s="38"/>
      <c r="AN471" s="38"/>
      <c r="AO471" s="38"/>
      <c r="AP471" s="38"/>
      <c r="AQ471" s="38"/>
      <c r="AR471" s="38"/>
      <c r="AS471" s="38" t="s">
        <v>47</v>
      </c>
      <c r="AT471" s="38"/>
      <c r="AU471" s="38"/>
      <c r="AV471" s="38"/>
      <c r="AW471" s="38"/>
      <c r="AX471" s="38"/>
      <c r="AY471" s="38"/>
      <c r="AZ471" s="38"/>
      <c r="BA471" s="38"/>
      <c r="BB471" s="38"/>
      <c r="BC471" s="38"/>
      <c r="BD471" s="38"/>
      <c r="BE471" s="77">
        <f t="shared" si="34"/>
        <v>1</v>
      </c>
      <c r="BF471" s="38"/>
    </row>
    <row r="472" spans="1:58" ht="22.5" hidden="1" customHeight="1">
      <c r="A472" s="33" t="str">
        <f>IF(OR(ISBLANK(E472),ISBLANK(C472)),"",IF(COUNTIF($E$8:E472,E472)&gt;1,"",(MAX($A$7:A471)+1)))</f>
        <v/>
      </c>
      <c r="B472" s="34">
        <f>IF(ISBLANK(C472),"",SUBTOTAL(3,$C$8:C472))</f>
        <v>44</v>
      </c>
      <c r="C472" s="78" t="s">
        <v>1021</v>
      </c>
      <c r="D472" s="50" t="s">
        <v>1022</v>
      </c>
      <c r="E472" s="50" t="s">
        <v>994</v>
      </c>
      <c r="F472" s="35" t="str">
        <f t="shared" si="32"/>
        <v/>
      </c>
      <c r="G472" s="36" t="str">
        <f t="shared" si="33"/>
        <v>C</v>
      </c>
      <c r="H472" s="51" t="str">
        <f t="shared" ref="H472:J535" si="35">IF(OR(ISBLANK($C472),COUNTIFS($K472:$AH472,"X",$K$7:$AH$7,H$7)=0,),"",COUNTIFS($K472:$AH472,"X",$K$7:$AH$7,H$7))</f>
        <v/>
      </c>
      <c r="I472" s="51">
        <f t="shared" si="35"/>
        <v>2</v>
      </c>
      <c r="J472" s="51">
        <f t="shared" si="35"/>
        <v>5</v>
      </c>
      <c r="K472" s="37"/>
      <c r="L472" s="37" t="s">
        <v>47</v>
      </c>
      <c r="M472" s="37"/>
      <c r="N472" s="37"/>
      <c r="O472" s="37"/>
      <c r="P472" s="37" t="s">
        <v>47</v>
      </c>
      <c r="Q472" s="37"/>
      <c r="R472" s="37" t="s">
        <v>47</v>
      </c>
      <c r="S472" s="37"/>
      <c r="T472" s="37"/>
      <c r="U472" s="37"/>
      <c r="V472" s="37" t="s">
        <v>47</v>
      </c>
      <c r="W472" s="37"/>
      <c r="X472" s="37"/>
      <c r="Y472" s="37" t="s">
        <v>47</v>
      </c>
      <c r="Z472" s="37"/>
      <c r="AA472" s="37"/>
      <c r="AB472" s="37" t="s">
        <v>47</v>
      </c>
      <c r="AC472" s="37"/>
      <c r="AD472" s="37"/>
      <c r="AE472" s="37" t="s">
        <v>47</v>
      </c>
      <c r="AF472" s="37"/>
      <c r="AG472" s="37"/>
      <c r="AH472" s="37"/>
      <c r="AI472" s="37"/>
      <c r="AJ472" s="37"/>
      <c r="AK472" s="37"/>
      <c r="AM472" s="38"/>
      <c r="AN472" s="38"/>
      <c r="AO472" s="38"/>
      <c r="AP472" s="38"/>
      <c r="AQ472" s="38"/>
      <c r="AR472" s="38" t="s">
        <v>47</v>
      </c>
      <c r="AS472" s="38"/>
      <c r="AT472" s="38"/>
      <c r="AU472" s="38"/>
      <c r="AV472" s="38"/>
      <c r="AW472" s="38"/>
      <c r="AX472" s="38"/>
      <c r="AY472" s="38"/>
      <c r="AZ472" s="38"/>
      <c r="BA472" s="38"/>
      <c r="BB472" s="38"/>
      <c r="BC472" s="38"/>
      <c r="BD472" s="38"/>
      <c r="BE472" s="77">
        <f t="shared" si="34"/>
        <v>1</v>
      </c>
      <c r="BF472" s="38"/>
    </row>
    <row r="473" spans="1:58" ht="22.5" hidden="1" customHeight="1">
      <c r="A473" s="33" t="str">
        <f>IF(OR(ISBLANK(E473),ISBLANK(C473)),"",IF(COUNTIF($E$8:E473,E473)&gt;1,"",(MAX($A$7:A472)+1)))</f>
        <v/>
      </c>
      <c r="B473" s="34">
        <f>IF(ISBLANK(C473),"",SUBTOTAL(3,$C$8:C473))</f>
        <v>44</v>
      </c>
      <c r="C473" s="78" t="s">
        <v>1023</v>
      </c>
      <c r="D473" s="50" t="s">
        <v>1024</v>
      </c>
      <c r="E473" s="50" t="s">
        <v>994</v>
      </c>
      <c r="F473" s="35" t="str">
        <f t="shared" si="32"/>
        <v/>
      </c>
      <c r="G473" s="36" t="str">
        <f t="shared" si="33"/>
        <v/>
      </c>
      <c r="H473" s="51" t="str">
        <f t="shared" si="35"/>
        <v/>
      </c>
      <c r="I473" s="51" t="str">
        <f t="shared" si="35"/>
        <v/>
      </c>
      <c r="J473" s="51" t="str">
        <f t="shared" si="35"/>
        <v/>
      </c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  <c r="AK473" s="37"/>
      <c r="AM473" s="38" t="s">
        <v>47</v>
      </c>
      <c r="AN473" s="38" t="s">
        <v>47</v>
      </c>
      <c r="AO473" s="38"/>
      <c r="AP473" s="38"/>
      <c r="AQ473" s="38"/>
      <c r="AR473" s="38"/>
      <c r="AS473" s="38"/>
      <c r="AT473" s="38"/>
      <c r="AU473" s="38"/>
      <c r="AV473" s="38"/>
      <c r="AW473" s="38"/>
      <c r="AX473" s="38"/>
      <c r="AY473" s="38"/>
      <c r="AZ473" s="38"/>
      <c r="BA473" s="38"/>
      <c r="BB473" s="38"/>
      <c r="BC473" s="38"/>
      <c r="BD473" s="38"/>
      <c r="BE473" s="77">
        <f t="shared" si="34"/>
        <v>2</v>
      </c>
      <c r="BF473" s="38"/>
    </row>
    <row r="474" spans="1:58" ht="22.5" hidden="1" customHeight="1">
      <c r="A474" s="33" t="str">
        <f>IF(OR(ISBLANK(E474),ISBLANK(C474)),"",IF(COUNTIF($E$8:E474,E474)&gt;1,"",(MAX($A$7:A473)+1)))</f>
        <v/>
      </c>
      <c r="B474" s="34">
        <f>IF(ISBLANK(C474),"",SUBTOTAL(3,$C$8:C474))</f>
        <v>44</v>
      </c>
      <c r="C474" s="78" t="s">
        <v>1025</v>
      </c>
      <c r="D474" s="50" t="s">
        <v>1026</v>
      </c>
      <c r="E474" s="50" t="s">
        <v>994</v>
      </c>
      <c r="F474" s="35" t="str">
        <f t="shared" si="32"/>
        <v/>
      </c>
      <c r="G474" s="36" t="str">
        <f t="shared" si="33"/>
        <v>A</v>
      </c>
      <c r="H474" s="51">
        <f t="shared" si="35"/>
        <v>2</v>
      </c>
      <c r="I474" s="51">
        <f t="shared" si="35"/>
        <v>1</v>
      </c>
      <c r="J474" s="51">
        <f t="shared" si="35"/>
        <v>4</v>
      </c>
      <c r="K474" s="37" t="s">
        <v>47</v>
      </c>
      <c r="L474" s="37"/>
      <c r="M474" s="37"/>
      <c r="N474" s="37" t="s">
        <v>47</v>
      </c>
      <c r="O474" s="37"/>
      <c r="P474" s="37"/>
      <c r="Q474" s="37"/>
      <c r="R474" s="37" t="s">
        <v>47</v>
      </c>
      <c r="S474" s="37"/>
      <c r="T474" s="37"/>
      <c r="U474" s="37"/>
      <c r="V474" s="37" t="s">
        <v>47</v>
      </c>
      <c r="W474" s="37"/>
      <c r="X474" s="37"/>
      <c r="Y474" s="37" t="s">
        <v>47</v>
      </c>
      <c r="Z474" s="37"/>
      <c r="AA474" s="37"/>
      <c r="AB474" s="37" t="s">
        <v>47</v>
      </c>
      <c r="AC474" s="37"/>
      <c r="AD474" s="37"/>
      <c r="AE474" s="37" t="s">
        <v>47</v>
      </c>
      <c r="AF474" s="37"/>
      <c r="AG474" s="37"/>
      <c r="AH474" s="37"/>
      <c r="AI474" s="37"/>
      <c r="AJ474" s="37"/>
      <c r="AK474" s="37"/>
      <c r="AM474" s="38"/>
      <c r="AN474" s="38"/>
      <c r="AO474" s="38"/>
      <c r="AP474" s="38"/>
      <c r="AQ474" s="38"/>
      <c r="AR474" s="38"/>
      <c r="AS474" s="38"/>
      <c r="AT474" s="38" t="s">
        <v>47</v>
      </c>
      <c r="AU474" s="38"/>
      <c r="AV474" s="38" t="s">
        <v>47</v>
      </c>
      <c r="AW474" s="38" t="s">
        <v>47</v>
      </c>
      <c r="AX474" s="38" t="s">
        <v>47</v>
      </c>
      <c r="AY474" s="38"/>
      <c r="AZ474" s="38"/>
      <c r="BA474" s="38"/>
      <c r="BB474" s="38"/>
      <c r="BC474" s="38"/>
      <c r="BD474" s="38"/>
      <c r="BE474" s="77">
        <f t="shared" si="34"/>
        <v>4</v>
      </c>
      <c r="BF474" s="38"/>
    </row>
    <row r="475" spans="1:58" ht="22.5" hidden="1" customHeight="1">
      <c r="A475" s="33" t="str">
        <f>IF(OR(ISBLANK(E475),ISBLANK(C475)),"",IF(COUNTIF($E$8:E475,E475)&gt;1,"",(MAX($A$7:A474)+1)))</f>
        <v/>
      </c>
      <c r="B475" s="34">
        <f>IF(ISBLANK(C475),"",SUBTOTAL(3,$C$8:C475))</f>
        <v>44</v>
      </c>
      <c r="C475" s="78" t="s">
        <v>1027</v>
      </c>
      <c r="D475" s="50" t="s">
        <v>1028</v>
      </c>
      <c r="E475" s="50" t="s">
        <v>994</v>
      </c>
      <c r="F475" s="35" t="str">
        <f t="shared" si="32"/>
        <v/>
      </c>
      <c r="G475" s="36" t="str">
        <f t="shared" si="33"/>
        <v>C</v>
      </c>
      <c r="H475" s="51">
        <f t="shared" si="35"/>
        <v>1</v>
      </c>
      <c r="I475" s="51" t="str">
        <f t="shared" si="35"/>
        <v/>
      </c>
      <c r="J475" s="51">
        <f t="shared" si="35"/>
        <v>1</v>
      </c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 t="s">
        <v>47</v>
      </c>
      <c r="AA475" s="37"/>
      <c r="AB475" s="37"/>
      <c r="AC475" s="37"/>
      <c r="AD475" s="37"/>
      <c r="AE475" s="37" t="s">
        <v>47</v>
      </c>
      <c r="AF475" s="37"/>
      <c r="AG475" s="37"/>
      <c r="AH475" s="37"/>
      <c r="AI475" s="37"/>
      <c r="AJ475" s="37"/>
      <c r="AK475" s="37"/>
      <c r="AM475" s="38" t="s">
        <v>47</v>
      </c>
      <c r="AN475" s="38" t="s">
        <v>47</v>
      </c>
      <c r="AO475" s="38" t="s">
        <v>47</v>
      </c>
      <c r="AP475" s="38"/>
      <c r="AQ475" s="38"/>
      <c r="AR475" s="38"/>
      <c r="AS475" s="38"/>
      <c r="AT475" s="38"/>
      <c r="AU475" s="38"/>
      <c r="AV475" s="38"/>
      <c r="AW475" s="38"/>
      <c r="AX475" s="38"/>
      <c r="AY475" s="38"/>
      <c r="AZ475" s="38"/>
      <c r="BA475" s="38"/>
      <c r="BB475" s="38"/>
      <c r="BC475" s="38"/>
      <c r="BD475" s="38"/>
      <c r="BE475" s="77">
        <f t="shared" si="34"/>
        <v>3</v>
      </c>
      <c r="BF475" s="38"/>
    </row>
    <row r="476" spans="1:58" ht="22.5" hidden="1" customHeight="1">
      <c r="A476" s="33" t="str">
        <f>IF(OR(ISBLANK(E476),ISBLANK(C476)),"",IF(COUNTIF($E$8:E476,E476)&gt;1,"",(MAX($A$7:A475)+1)))</f>
        <v/>
      </c>
      <c r="B476" s="34">
        <f>IF(ISBLANK(C476),"",SUBTOTAL(3,$C$8:C476))</f>
        <v>44</v>
      </c>
      <c r="C476" s="78" t="s">
        <v>1029</v>
      </c>
      <c r="D476" s="50" t="s">
        <v>687</v>
      </c>
      <c r="E476" s="50" t="s">
        <v>994</v>
      </c>
      <c r="F476" s="35" t="str">
        <f t="shared" si="32"/>
        <v/>
      </c>
      <c r="G476" s="36" t="str">
        <f t="shared" si="33"/>
        <v>B</v>
      </c>
      <c r="H476" s="51">
        <f t="shared" si="35"/>
        <v>1</v>
      </c>
      <c r="I476" s="51">
        <f t="shared" si="35"/>
        <v>2</v>
      </c>
      <c r="J476" s="51">
        <f t="shared" si="35"/>
        <v>4</v>
      </c>
      <c r="K476" s="37" t="s">
        <v>47</v>
      </c>
      <c r="L476" s="37"/>
      <c r="M476" s="37"/>
      <c r="N476" s="37"/>
      <c r="O476" s="37"/>
      <c r="P476" s="37" t="s">
        <v>47</v>
      </c>
      <c r="Q476" s="37"/>
      <c r="R476" s="37"/>
      <c r="S476" s="37" t="s">
        <v>47</v>
      </c>
      <c r="T476" s="37"/>
      <c r="U476" s="37" t="s">
        <v>47</v>
      </c>
      <c r="V476" s="37"/>
      <c r="W476" s="37"/>
      <c r="X476" s="37" t="s">
        <v>47</v>
      </c>
      <c r="Y476" s="37"/>
      <c r="Z476" s="37"/>
      <c r="AA476" s="37"/>
      <c r="AB476" s="37" t="s">
        <v>47</v>
      </c>
      <c r="AC476" s="37"/>
      <c r="AD476" s="37"/>
      <c r="AE476" s="37" t="s">
        <v>47</v>
      </c>
      <c r="AF476" s="37"/>
      <c r="AG476" s="37"/>
      <c r="AH476" s="37"/>
      <c r="AI476" s="37"/>
      <c r="AJ476" s="37"/>
      <c r="AK476" s="37"/>
      <c r="AM476" s="38"/>
      <c r="AN476" s="38"/>
      <c r="AO476" s="38"/>
      <c r="AP476" s="38"/>
      <c r="AQ476" s="38"/>
      <c r="AR476" s="38"/>
      <c r="AS476" s="38"/>
      <c r="AT476" s="38"/>
      <c r="AU476" s="38"/>
      <c r="AV476" s="38"/>
      <c r="AW476" s="38"/>
      <c r="AX476" s="38"/>
      <c r="AY476" s="38"/>
      <c r="AZ476" s="38"/>
      <c r="BA476" s="38"/>
      <c r="BB476" s="38" t="s">
        <v>47</v>
      </c>
      <c r="BC476" s="38"/>
      <c r="BD476" s="38"/>
      <c r="BE476" s="77">
        <f t="shared" si="34"/>
        <v>1</v>
      </c>
      <c r="BF476" s="38"/>
    </row>
    <row r="477" spans="1:58" ht="22.5" hidden="1" customHeight="1">
      <c r="A477" s="33" t="str">
        <f>IF(OR(ISBLANK(E477),ISBLANK(C477)),"",IF(COUNTIF($E$8:E477,E477)&gt;1,"",(MAX($A$7:A476)+1)))</f>
        <v/>
      </c>
      <c r="B477" s="34">
        <f>IF(ISBLANK(C477),"",SUBTOTAL(3,$C$8:C477))</f>
        <v>44</v>
      </c>
      <c r="C477" s="78" t="s">
        <v>1030</v>
      </c>
      <c r="D477" s="50" t="s">
        <v>1031</v>
      </c>
      <c r="E477" s="50" t="s">
        <v>994</v>
      </c>
      <c r="F477" s="35" t="str">
        <f t="shared" si="32"/>
        <v/>
      </c>
      <c r="G477" s="36" t="str">
        <f t="shared" si="33"/>
        <v>D</v>
      </c>
      <c r="H477" s="51" t="str">
        <f t="shared" si="35"/>
        <v/>
      </c>
      <c r="I477" s="51">
        <f t="shared" si="35"/>
        <v>1</v>
      </c>
      <c r="J477" s="51">
        <f t="shared" si="35"/>
        <v>6</v>
      </c>
      <c r="K477" s="37"/>
      <c r="L477" s="37" t="s">
        <v>47</v>
      </c>
      <c r="M477" s="37"/>
      <c r="N477" s="37"/>
      <c r="O477" s="37"/>
      <c r="P477" s="37" t="s">
        <v>47</v>
      </c>
      <c r="Q477" s="37"/>
      <c r="R477" s="37"/>
      <c r="S477" s="37" t="s">
        <v>47</v>
      </c>
      <c r="T477" s="37"/>
      <c r="U477" s="37"/>
      <c r="V477" s="37" t="s">
        <v>47</v>
      </c>
      <c r="W477" s="37"/>
      <c r="X477" s="37"/>
      <c r="Y477" s="37" t="s">
        <v>47</v>
      </c>
      <c r="Z477" s="37"/>
      <c r="AA477" s="37"/>
      <c r="AB477" s="37" t="s">
        <v>47</v>
      </c>
      <c r="AC477" s="37"/>
      <c r="AD477" s="37"/>
      <c r="AE477" s="37" t="s">
        <v>47</v>
      </c>
      <c r="AF477" s="37"/>
      <c r="AG477" s="37"/>
      <c r="AH477" s="37"/>
      <c r="AI477" s="37"/>
      <c r="AJ477" s="37"/>
      <c r="AK477" s="37"/>
      <c r="AM477" s="38"/>
      <c r="AN477" s="38"/>
      <c r="AO477" s="38"/>
      <c r="AP477" s="38"/>
      <c r="AQ477" s="38"/>
      <c r="AR477" s="38"/>
      <c r="AS477" s="38"/>
      <c r="AT477" s="38"/>
      <c r="AU477" s="38"/>
      <c r="AV477" s="38"/>
      <c r="AW477" s="38" t="s">
        <v>47</v>
      </c>
      <c r="AX477" s="38"/>
      <c r="AY477" s="38"/>
      <c r="AZ477" s="38"/>
      <c r="BA477" s="38"/>
      <c r="BB477" s="38"/>
      <c r="BC477" s="38"/>
      <c r="BD477" s="38"/>
      <c r="BE477" s="77">
        <f t="shared" si="34"/>
        <v>1</v>
      </c>
      <c r="BF477" s="38"/>
    </row>
    <row r="478" spans="1:58" ht="22.5" hidden="1" customHeight="1">
      <c r="A478" s="33" t="str">
        <f>IF(OR(ISBLANK(E478),ISBLANK(C478)),"",IF(COUNTIF($E$8:E478,E478)&gt;1,"",(MAX($A$7:A477)+1)))</f>
        <v/>
      </c>
      <c r="B478" s="34">
        <f>IF(ISBLANK(C478),"",SUBTOTAL(3,$C$8:C478))</f>
        <v>44</v>
      </c>
      <c r="C478" s="78" t="s">
        <v>1032</v>
      </c>
      <c r="D478" s="50" t="s">
        <v>1033</v>
      </c>
      <c r="E478" s="50" t="s">
        <v>994</v>
      </c>
      <c r="F478" s="35" t="str">
        <f t="shared" si="32"/>
        <v/>
      </c>
      <c r="G478" s="36" t="str">
        <f t="shared" si="33"/>
        <v>A</v>
      </c>
      <c r="H478" s="51">
        <f t="shared" si="35"/>
        <v>4</v>
      </c>
      <c r="I478" s="51">
        <f t="shared" si="35"/>
        <v>1</v>
      </c>
      <c r="J478" s="51">
        <f t="shared" si="35"/>
        <v>1</v>
      </c>
      <c r="K478" s="37" t="s">
        <v>47</v>
      </c>
      <c r="L478" s="37"/>
      <c r="M478" s="37"/>
      <c r="N478" s="37"/>
      <c r="O478" s="37" t="s">
        <v>47</v>
      </c>
      <c r="P478" s="37"/>
      <c r="Q478" s="37" t="s">
        <v>47</v>
      </c>
      <c r="R478" s="37"/>
      <c r="S478" s="37"/>
      <c r="T478" s="37" t="s">
        <v>47</v>
      </c>
      <c r="U478" s="37"/>
      <c r="V478" s="37"/>
      <c r="W478" s="37" t="s">
        <v>47</v>
      </c>
      <c r="X478" s="37"/>
      <c r="Y478" s="37"/>
      <c r="Z478" s="37"/>
      <c r="AA478" s="37"/>
      <c r="AB478" s="37" t="s">
        <v>47</v>
      </c>
      <c r="AC478" s="37"/>
      <c r="AD478" s="37"/>
      <c r="AE478" s="37"/>
      <c r="AF478" s="37"/>
      <c r="AG478" s="37"/>
      <c r="AH478" s="37"/>
      <c r="AI478" s="37"/>
      <c r="AJ478" s="37"/>
      <c r="AK478" s="37"/>
      <c r="AM478" s="38"/>
      <c r="AN478" s="38"/>
      <c r="AO478" s="38"/>
      <c r="AP478" s="38"/>
      <c r="AQ478" s="38"/>
      <c r="AR478" s="38"/>
      <c r="AS478" s="38"/>
      <c r="AT478" s="38" t="s">
        <v>47</v>
      </c>
      <c r="AU478" s="38"/>
      <c r="AV478" s="38" t="s">
        <v>47</v>
      </c>
      <c r="AW478" s="38" t="s">
        <v>47</v>
      </c>
      <c r="AX478" s="38"/>
      <c r="AY478" s="38"/>
      <c r="AZ478" s="38"/>
      <c r="BA478" s="38"/>
      <c r="BB478" s="38"/>
      <c r="BC478" s="38"/>
      <c r="BD478" s="38"/>
      <c r="BE478" s="77">
        <f t="shared" si="34"/>
        <v>3</v>
      </c>
      <c r="BF478" s="38"/>
    </row>
    <row r="479" spans="1:58" ht="22.5" hidden="1" customHeight="1">
      <c r="A479" s="33" t="str">
        <f>IF(OR(ISBLANK(E479),ISBLANK(C479)),"",IF(COUNTIF($E$8:E479,E479)&gt;1,"",(MAX($A$7:A478)+1)))</f>
        <v/>
      </c>
      <c r="B479" s="34">
        <f>IF(ISBLANK(C479),"",SUBTOTAL(3,$C$8:C479))</f>
        <v>44</v>
      </c>
      <c r="C479" s="78" t="s">
        <v>1034</v>
      </c>
      <c r="D479" s="50" t="s">
        <v>1035</v>
      </c>
      <c r="E479" s="50" t="s">
        <v>994</v>
      </c>
      <c r="F479" s="35" t="str">
        <f t="shared" si="32"/>
        <v/>
      </c>
      <c r="G479" s="36" t="str">
        <f t="shared" si="33"/>
        <v>A</v>
      </c>
      <c r="H479" s="51">
        <f t="shared" si="35"/>
        <v>2</v>
      </c>
      <c r="I479" s="51">
        <f t="shared" si="35"/>
        <v>3</v>
      </c>
      <c r="J479" s="51">
        <f t="shared" si="35"/>
        <v>2</v>
      </c>
      <c r="K479" s="37" t="s">
        <v>47</v>
      </c>
      <c r="L479" s="37"/>
      <c r="M479" s="37"/>
      <c r="N479" s="37"/>
      <c r="O479" s="37" t="s">
        <v>47</v>
      </c>
      <c r="P479" s="37"/>
      <c r="Q479" s="37" t="s">
        <v>47</v>
      </c>
      <c r="R479" s="37"/>
      <c r="S479" s="37"/>
      <c r="T479" s="37"/>
      <c r="U479" s="37" t="s">
        <v>47</v>
      </c>
      <c r="V479" s="37"/>
      <c r="W479" s="37"/>
      <c r="X479" s="37" t="s">
        <v>47</v>
      </c>
      <c r="Y479" s="37"/>
      <c r="Z479" s="37"/>
      <c r="AA479" s="37"/>
      <c r="AB479" s="37" t="s">
        <v>47</v>
      </c>
      <c r="AC479" s="37"/>
      <c r="AD479" s="37"/>
      <c r="AE479" s="37" t="s">
        <v>47</v>
      </c>
      <c r="AF479" s="37"/>
      <c r="AG479" s="37"/>
      <c r="AH479" s="37"/>
      <c r="AI479" s="37"/>
      <c r="AJ479" s="37"/>
      <c r="AK479" s="37"/>
      <c r="AM479" s="38"/>
      <c r="AN479" s="38"/>
      <c r="AO479" s="38"/>
      <c r="AP479" s="38"/>
      <c r="AQ479" s="38"/>
      <c r="AR479" s="38"/>
      <c r="AS479" s="38"/>
      <c r="AT479" s="38"/>
      <c r="AU479" s="38"/>
      <c r="AV479" s="38"/>
      <c r="AW479" s="38"/>
      <c r="AX479" s="38"/>
      <c r="AY479" s="38"/>
      <c r="AZ479" s="38" t="s">
        <v>47</v>
      </c>
      <c r="BA479" s="38" t="s">
        <v>47</v>
      </c>
      <c r="BB479" s="38" t="s">
        <v>47</v>
      </c>
      <c r="BC479" s="38" t="s">
        <v>47</v>
      </c>
      <c r="BD479" s="38"/>
      <c r="BE479" s="77">
        <f t="shared" si="34"/>
        <v>4</v>
      </c>
      <c r="BF479" s="38"/>
    </row>
    <row r="480" spans="1:58" ht="22.5" hidden="1" customHeight="1">
      <c r="A480" s="33" t="str">
        <f>IF(OR(ISBLANK(E480),ISBLANK(C480)),"",IF(COUNTIF($E$8:E480,E480)&gt;1,"",(MAX($A$7:A479)+1)))</f>
        <v/>
      </c>
      <c r="B480" s="34">
        <f>IF(ISBLANK(C480),"",SUBTOTAL(3,$C$8:C480))</f>
        <v>44</v>
      </c>
      <c r="C480" s="78" t="s">
        <v>1036</v>
      </c>
      <c r="D480" s="50" t="s">
        <v>1037</v>
      </c>
      <c r="E480" s="50" t="s">
        <v>994</v>
      </c>
      <c r="F480" s="35" t="str">
        <f t="shared" si="32"/>
        <v/>
      </c>
      <c r="G480" s="36" t="str">
        <f t="shared" si="33"/>
        <v>D</v>
      </c>
      <c r="H480" s="51" t="str">
        <f t="shared" si="35"/>
        <v/>
      </c>
      <c r="I480" s="51">
        <f t="shared" si="35"/>
        <v>1</v>
      </c>
      <c r="J480" s="51">
        <f t="shared" si="35"/>
        <v>6</v>
      </c>
      <c r="K480" s="37"/>
      <c r="L480" s="37" t="s">
        <v>47</v>
      </c>
      <c r="M480" s="37"/>
      <c r="N480" s="37"/>
      <c r="O480" s="37"/>
      <c r="P480" s="37" t="s">
        <v>47</v>
      </c>
      <c r="Q480" s="37"/>
      <c r="R480" s="37"/>
      <c r="S480" s="37" t="s">
        <v>47</v>
      </c>
      <c r="T480" s="37"/>
      <c r="U480" s="37"/>
      <c r="V480" s="37" t="s">
        <v>47</v>
      </c>
      <c r="W480" s="37"/>
      <c r="X480" s="37"/>
      <c r="Y480" s="37" t="s">
        <v>47</v>
      </c>
      <c r="Z480" s="37"/>
      <c r="AA480" s="37"/>
      <c r="AB480" s="37" t="s">
        <v>47</v>
      </c>
      <c r="AC480" s="37"/>
      <c r="AD480" s="37"/>
      <c r="AE480" s="37" t="s">
        <v>47</v>
      </c>
      <c r="AF480" s="37"/>
      <c r="AG480" s="37"/>
      <c r="AH480" s="37"/>
      <c r="AI480" s="37"/>
      <c r="AJ480" s="37"/>
      <c r="AK480" s="37"/>
      <c r="AM480" s="38"/>
      <c r="AN480" s="38"/>
      <c r="AO480" s="38"/>
      <c r="AP480" s="38"/>
      <c r="AQ480" s="38"/>
      <c r="AR480" s="38" t="s">
        <v>47</v>
      </c>
      <c r="AS480" s="38" t="s">
        <v>47</v>
      </c>
      <c r="AT480" s="38"/>
      <c r="AU480" s="38"/>
      <c r="AV480" s="38"/>
      <c r="AW480" s="38"/>
      <c r="AX480" s="38"/>
      <c r="AY480" s="38"/>
      <c r="AZ480" s="38"/>
      <c r="BA480" s="38"/>
      <c r="BB480" s="38"/>
      <c r="BC480" s="38"/>
      <c r="BD480" s="38"/>
      <c r="BE480" s="77">
        <f t="shared" si="34"/>
        <v>2</v>
      </c>
      <c r="BF480" s="38"/>
    </row>
    <row r="481" spans="1:58" ht="22.5" hidden="1" customHeight="1">
      <c r="A481" s="33" t="str">
        <f>IF(OR(ISBLANK(E481),ISBLANK(C481)),"",IF(COUNTIF($E$8:E481,E481)&gt;1,"",(MAX($A$7:A480)+1)))</f>
        <v/>
      </c>
      <c r="B481" s="34">
        <f>IF(ISBLANK(C481),"",SUBTOTAL(3,$C$8:C481))</f>
        <v>44</v>
      </c>
      <c r="C481" s="78" t="s">
        <v>1038</v>
      </c>
      <c r="D481" s="50" t="s">
        <v>1039</v>
      </c>
      <c r="E481" s="50" t="s">
        <v>994</v>
      </c>
      <c r="F481" s="35" t="str">
        <f t="shared" si="32"/>
        <v/>
      </c>
      <c r="G481" s="36" t="str">
        <f t="shared" si="33"/>
        <v>C</v>
      </c>
      <c r="H481" s="51" t="str">
        <f t="shared" si="35"/>
        <v/>
      </c>
      <c r="I481" s="51">
        <f t="shared" si="35"/>
        <v>3</v>
      </c>
      <c r="J481" s="51">
        <f t="shared" si="35"/>
        <v>4</v>
      </c>
      <c r="K481" s="37"/>
      <c r="L481" s="37" t="s">
        <v>47</v>
      </c>
      <c r="M481" s="37"/>
      <c r="N481" s="37"/>
      <c r="O481" s="37" t="s">
        <v>47</v>
      </c>
      <c r="P481" s="37"/>
      <c r="Q481" s="37"/>
      <c r="R481" s="37" t="s">
        <v>47</v>
      </c>
      <c r="S481" s="37"/>
      <c r="T481" s="37"/>
      <c r="U481" s="37"/>
      <c r="V481" s="37" t="s">
        <v>47</v>
      </c>
      <c r="W481" s="37"/>
      <c r="X481" s="37"/>
      <c r="Y481" s="37" t="s">
        <v>47</v>
      </c>
      <c r="Z481" s="37"/>
      <c r="AA481" s="37"/>
      <c r="AB481" s="37" t="s">
        <v>47</v>
      </c>
      <c r="AC481" s="37"/>
      <c r="AD481" s="37"/>
      <c r="AE481" s="37" t="s">
        <v>47</v>
      </c>
      <c r="AF481" s="37"/>
      <c r="AG481" s="37"/>
      <c r="AH481" s="37"/>
      <c r="AI481" s="37"/>
      <c r="AJ481" s="37"/>
      <c r="AK481" s="37"/>
      <c r="AM481" s="38"/>
      <c r="AN481" s="38"/>
      <c r="AO481" s="38"/>
      <c r="AP481" s="38"/>
      <c r="AQ481" s="38"/>
      <c r="AR481" s="38" t="s">
        <v>47</v>
      </c>
      <c r="AS481" s="38" t="s">
        <v>47</v>
      </c>
      <c r="AT481" s="38"/>
      <c r="AU481" s="38"/>
      <c r="AV481" s="38"/>
      <c r="AW481" s="38"/>
      <c r="AX481" s="38"/>
      <c r="AY481" s="38"/>
      <c r="AZ481" s="38"/>
      <c r="BA481" s="38"/>
      <c r="BB481" s="38"/>
      <c r="BC481" s="38"/>
      <c r="BD481" s="38"/>
      <c r="BE481" s="77">
        <f t="shared" si="34"/>
        <v>2</v>
      </c>
      <c r="BF481" s="38"/>
    </row>
    <row r="482" spans="1:58" ht="22.5" hidden="1" customHeight="1">
      <c r="A482" s="33" t="str">
        <f>IF(OR(ISBLANK(E482),ISBLANK(C482)),"",IF(COUNTIF($E$8:E482,E482)&gt;1,"",(MAX($A$7:A481)+1)))</f>
        <v/>
      </c>
      <c r="B482" s="34">
        <f>IF(ISBLANK(C482),"",SUBTOTAL(3,$C$8:C482))</f>
        <v>44</v>
      </c>
      <c r="C482" s="80" t="s">
        <v>1040</v>
      </c>
      <c r="D482" s="52" t="s">
        <v>218</v>
      </c>
      <c r="E482" s="50" t="s">
        <v>994</v>
      </c>
      <c r="F482" s="35" t="str">
        <f t="shared" si="32"/>
        <v/>
      </c>
      <c r="G482" s="36" t="str">
        <f t="shared" si="33"/>
        <v>C</v>
      </c>
      <c r="H482" s="51" t="str">
        <f t="shared" si="35"/>
        <v/>
      </c>
      <c r="I482" s="51">
        <f t="shared" si="35"/>
        <v>3</v>
      </c>
      <c r="J482" s="51">
        <f t="shared" si="35"/>
        <v>4</v>
      </c>
      <c r="K482" s="37"/>
      <c r="L482" s="37" t="s">
        <v>47</v>
      </c>
      <c r="M482" s="37"/>
      <c r="N482" s="37"/>
      <c r="O482" s="37" t="s">
        <v>47</v>
      </c>
      <c r="P482" s="37"/>
      <c r="Q482" s="37"/>
      <c r="R482" s="37" t="s">
        <v>47</v>
      </c>
      <c r="S482" s="37"/>
      <c r="T482" s="37"/>
      <c r="U482" s="37"/>
      <c r="V482" s="37" t="s">
        <v>47</v>
      </c>
      <c r="W482" s="37"/>
      <c r="X482" s="37"/>
      <c r="Y482" s="37" t="s">
        <v>47</v>
      </c>
      <c r="Z482" s="37"/>
      <c r="AA482" s="37"/>
      <c r="AB482" s="37" t="s">
        <v>47</v>
      </c>
      <c r="AC482" s="37"/>
      <c r="AD482" s="37"/>
      <c r="AE482" s="37" t="s">
        <v>47</v>
      </c>
      <c r="AF482" s="37"/>
      <c r="AG482" s="37"/>
      <c r="AH482" s="37"/>
      <c r="AI482" s="37"/>
      <c r="AJ482" s="37"/>
      <c r="AK482" s="37"/>
      <c r="AM482" s="38"/>
      <c r="AN482" s="38"/>
      <c r="AO482" s="38"/>
      <c r="AP482" s="38"/>
      <c r="AQ482" s="38"/>
      <c r="AR482" s="38"/>
      <c r="AS482" s="38" t="s">
        <v>47</v>
      </c>
      <c r="AT482" s="38"/>
      <c r="AU482" s="38"/>
      <c r="AV482" s="38"/>
      <c r="AW482" s="38"/>
      <c r="AX482" s="38"/>
      <c r="AY482" s="38"/>
      <c r="AZ482" s="38"/>
      <c r="BA482" s="38"/>
      <c r="BB482" s="38"/>
      <c r="BC482" s="38"/>
      <c r="BD482" s="38"/>
      <c r="BE482" s="77">
        <f t="shared" si="34"/>
        <v>1</v>
      </c>
      <c r="BF482" s="38"/>
    </row>
    <row r="483" spans="1:58" ht="22.5" hidden="1" customHeight="1">
      <c r="A483" s="33" t="str">
        <f>IF(OR(ISBLANK(E483),ISBLANK(C483)),"",IF(COUNTIF($E$8:E483,E483)&gt;1,"",(MAX($A$7:A482)+1)))</f>
        <v/>
      </c>
      <c r="B483" s="34">
        <f>IF(ISBLANK(C483),"",SUBTOTAL(3,$C$8:C483))</f>
        <v>44</v>
      </c>
      <c r="C483" s="80" t="s">
        <v>1041</v>
      </c>
      <c r="D483" s="50" t="s">
        <v>1042</v>
      </c>
      <c r="E483" s="50" t="s">
        <v>994</v>
      </c>
      <c r="F483" s="35" t="str">
        <f t="shared" si="32"/>
        <v/>
      </c>
      <c r="G483" s="36" t="str">
        <f t="shared" si="33"/>
        <v>C</v>
      </c>
      <c r="H483" s="51" t="str">
        <f t="shared" si="35"/>
        <v/>
      </c>
      <c r="I483" s="51">
        <f t="shared" si="35"/>
        <v>3</v>
      </c>
      <c r="J483" s="51">
        <f t="shared" si="35"/>
        <v>4</v>
      </c>
      <c r="K483" s="37"/>
      <c r="L483" s="37" t="s">
        <v>47</v>
      </c>
      <c r="M483" s="37"/>
      <c r="N483" s="37"/>
      <c r="O483" s="37" t="s">
        <v>47</v>
      </c>
      <c r="P483" s="37"/>
      <c r="Q483" s="37"/>
      <c r="R483" s="37" t="s">
        <v>47</v>
      </c>
      <c r="S483" s="37"/>
      <c r="T483" s="37"/>
      <c r="U483" s="37"/>
      <c r="V483" s="37" t="s">
        <v>47</v>
      </c>
      <c r="W483" s="37"/>
      <c r="X483" s="37"/>
      <c r="Y483" s="37" t="s">
        <v>47</v>
      </c>
      <c r="Z483" s="37"/>
      <c r="AA483" s="37"/>
      <c r="AB483" s="37" t="s">
        <v>47</v>
      </c>
      <c r="AC483" s="37"/>
      <c r="AD483" s="37"/>
      <c r="AE483" s="37" t="s">
        <v>47</v>
      </c>
      <c r="AF483" s="37"/>
      <c r="AG483" s="37"/>
      <c r="AH483" s="37"/>
      <c r="AI483" s="37"/>
      <c r="AJ483" s="37"/>
      <c r="AK483" s="37"/>
      <c r="AM483" s="38"/>
      <c r="AN483" s="38"/>
      <c r="AO483" s="38"/>
      <c r="AP483" s="38"/>
      <c r="AQ483" s="38"/>
      <c r="AR483" s="38" t="s">
        <v>47</v>
      </c>
      <c r="AS483" s="38"/>
      <c r="AT483" s="38"/>
      <c r="AU483" s="38" t="s">
        <v>47</v>
      </c>
      <c r="AV483" s="38"/>
      <c r="AW483" s="38" t="s">
        <v>47</v>
      </c>
      <c r="AX483" s="38"/>
      <c r="AY483" s="38"/>
      <c r="AZ483" s="38"/>
      <c r="BA483" s="38"/>
      <c r="BB483" s="38"/>
      <c r="BC483" s="38"/>
      <c r="BD483" s="38"/>
      <c r="BE483" s="77">
        <f t="shared" si="34"/>
        <v>3</v>
      </c>
      <c r="BF483" s="38"/>
    </row>
    <row r="484" spans="1:58" ht="22.5" hidden="1" customHeight="1">
      <c r="A484" s="33" t="str">
        <f>IF(OR(ISBLANK(E484),ISBLANK(C484)),"",IF(COUNTIF($E$8:E484,E484)&gt;1,"",(MAX($A$7:A483)+1)))</f>
        <v/>
      </c>
      <c r="B484" s="34">
        <f>IF(ISBLANK(C484),"",SUBTOTAL(3,$C$8:C484))</f>
        <v>44</v>
      </c>
      <c r="C484" s="80" t="s">
        <v>1043</v>
      </c>
      <c r="D484" s="50" t="s">
        <v>1044</v>
      </c>
      <c r="E484" s="50" t="s">
        <v>994</v>
      </c>
      <c r="F484" s="35" t="str">
        <f t="shared" si="32"/>
        <v/>
      </c>
      <c r="G484" s="36" t="str">
        <f t="shared" si="33"/>
        <v>C</v>
      </c>
      <c r="H484" s="51" t="str">
        <f t="shared" si="35"/>
        <v/>
      </c>
      <c r="I484" s="51">
        <f t="shared" si="35"/>
        <v>3</v>
      </c>
      <c r="J484" s="51">
        <f t="shared" si="35"/>
        <v>4</v>
      </c>
      <c r="K484" s="37"/>
      <c r="L484" s="37" t="s">
        <v>47</v>
      </c>
      <c r="M484" s="37"/>
      <c r="N484" s="37"/>
      <c r="O484" s="37" t="s">
        <v>47</v>
      </c>
      <c r="P484" s="37"/>
      <c r="Q484" s="37"/>
      <c r="R484" s="37" t="s">
        <v>47</v>
      </c>
      <c r="S484" s="37"/>
      <c r="T484" s="37"/>
      <c r="U484" s="37"/>
      <c r="V484" s="37" t="s">
        <v>47</v>
      </c>
      <c r="W484" s="37"/>
      <c r="X484" s="37"/>
      <c r="Y484" s="37" t="s">
        <v>47</v>
      </c>
      <c r="Z484" s="37"/>
      <c r="AA484" s="37"/>
      <c r="AB484" s="37" t="s">
        <v>47</v>
      </c>
      <c r="AC484" s="37"/>
      <c r="AD484" s="37"/>
      <c r="AE484" s="37" t="s">
        <v>47</v>
      </c>
      <c r="AF484" s="37"/>
      <c r="AG484" s="37"/>
      <c r="AH484" s="37"/>
      <c r="AI484" s="37"/>
      <c r="AJ484" s="37"/>
      <c r="AK484" s="37"/>
      <c r="AM484" s="38"/>
      <c r="AN484" s="38"/>
      <c r="AO484" s="38"/>
      <c r="AP484" s="38"/>
      <c r="AQ484" s="38"/>
      <c r="AR484" s="38"/>
      <c r="AS484" s="38" t="s">
        <v>47</v>
      </c>
      <c r="AT484" s="38"/>
      <c r="AU484" s="38"/>
      <c r="AV484" s="38"/>
      <c r="AW484" s="38"/>
      <c r="AX484" s="38"/>
      <c r="AY484" s="38"/>
      <c r="AZ484" s="38"/>
      <c r="BA484" s="38"/>
      <c r="BB484" s="38"/>
      <c r="BC484" s="38"/>
      <c r="BD484" s="38"/>
      <c r="BE484" s="77">
        <f t="shared" si="34"/>
        <v>1</v>
      </c>
      <c r="BF484" s="38"/>
    </row>
    <row r="485" spans="1:58" ht="22.5" hidden="1" customHeight="1">
      <c r="A485" s="33" t="str">
        <f>IF(OR(ISBLANK(E485),ISBLANK(C485)),"",IF(COUNTIF($E$8:E485,E485)&gt;1,"",(MAX($A$7:A484)+1)))</f>
        <v/>
      </c>
      <c r="B485" s="34">
        <f>IF(ISBLANK(C485),"",SUBTOTAL(3,$C$8:C485))</f>
        <v>44</v>
      </c>
      <c r="C485" s="80" t="s">
        <v>1045</v>
      </c>
      <c r="D485" s="50" t="s">
        <v>1046</v>
      </c>
      <c r="E485" s="50" t="s">
        <v>994</v>
      </c>
      <c r="F485" s="35" t="str">
        <f t="shared" si="32"/>
        <v/>
      </c>
      <c r="G485" s="36" t="str">
        <f t="shared" si="33"/>
        <v>C</v>
      </c>
      <c r="H485" s="51" t="str">
        <f t="shared" si="35"/>
        <v/>
      </c>
      <c r="I485" s="51">
        <f t="shared" si="35"/>
        <v>3</v>
      </c>
      <c r="J485" s="51">
        <f t="shared" si="35"/>
        <v>5</v>
      </c>
      <c r="K485" s="37"/>
      <c r="L485" s="37" t="s">
        <v>47</v>
      </c>
      <c r="M485" s="37"/>
      <c r="N485" s="37"/>
      <c r="O485" s="37" t="s">
        <v>47</v>
      </c>
      <c r="P485" s="37"/>
      <c r="Q485" s="37"/>
      <c r="R485" s="37" t="s">
        <v>47</v>
      </c>
      <c r="S485" s="37"/>
      <c r="T485" s="37"/>
      <c r="U485" s="37"/>
      <c r="V485" s="37" t="s">
        <v>47</v>
      </c>
      <c r="W485" s="37"/>
      <c r="X485" s="37"/>
      <c r="Y485" s="37" t="s">
        <v>47</v>
      </c>
      <c r="Z485" s="37"/>
      <c r="AA485" s="37"/>
      <c r="AB485" s="37" t="s">
        <v>47</v>
      </c>
      <c r="AC485" s="37"/>
      <c r="AD485" s="37"/>
      <c r="AE485" s="37" t="s">
        <v>47</v>
      </c>
      <c r="AF485" s="37"/>
      <c r="AG485" s="37"/>
      <c r="AH485" s="37" t="s">
        <v>47</v>
      </c>
      <c r="AI485" s="37"/>
      <c r="AJ485" s="37"/>
      <c r="AK485" s="37"/>
      <c r="AM485" s="38"/>
      <c r="AN485" s="38"/>
      <c r="AO485" s="38"/>
      <c r="AP485" s="38"/>
      <c r="AQ485" s="38"/>
      <c r="AR485" s="38"/>
      <c r="AS485" s="38" t="s">
        <v>47</v>
      </c>
      <c r="AT485" s="38"/>
      <c r="AU485" s="38"/>
      <c r="AV485" s="38"/>
      <c r="AW485" s="38" t="s">
        <v>47</v>
      </c>
      <c r="AX485" s="38"/>
      <c r="AY485" s="38"/>
      <c r="AZ485" s="38"/>
      <c r="BA485" s="38"/>
      <c r="BB485" s="38"/>
      <c r="BC485" s="38"/>
      <c r="BD485" s="38"/>
      <c r="BE485" s="77">
        <f t="shared" si="34"/>
        <v>2</v>
      </c>
      <c r="BF485" s="38"/>
    </row>
    <row r="486" spans="1:58" ht="22.5" hidden="1" customHeight="1">
      <c r="A486" s="33" t="str">
        <f>IF(OR(ISBLANK(E486),ISBLANK(C486)),"",IF(COUNTIF($E$8:E486,E486)&gt;1,"",(MAX($A$7:A485)+1)))</f>
        <v/>
      </c>
      <c r="B486" s="34">
        <f>IF(ISBLANK(C486),"",SUBTOTAL(3,$C$8:C486))</f>
        <v>44</v>
      </c>
      <c r="C486" s="80" t="s">
        <v>1047</v>
      </c>
      <c r="D486" s="50" t="s">
        <v>1048</v>
      </c>
      <c r="E486" s="50" t="s">
        <v>994</v>
      </c>
      <c r="F486" s="35" t="str">
        <f t="shared" si="32"/>
        <v/>
      </c>
      <c r="G486" s="36" t="str">
        <f t="shared" si="33"/>
        <v>C</v>
      </c>
      <c r="H486" s="51">
        <f t="shared" si="35"/>
        <v>1</v>
      </c>
      <c r="I486" s="51" t="str">
        <f t="shared" si="35"/>
        <v/>
      </c>
      <c r="J486" s="51">
        <f t="shared" si="35"/>
        <v>7</v>
      </c>
      <c r="K486" s="37"/>
      <c r="L486" s="37"/>
      <c r="M486" s="37" t="s">
        <v>47</v>
      </c>
      <c r="N486" s="37"/>
      <c r="O486" s="37"/>
      <c r="P486" s="37" t="s">
        <v>47</v>
      </c>
      <c r="Q486" s="37" t="s">
        <v>47</v>
      </c>
      <c r="R486" s="37"/>
      <c r="S486" s="37"/>
      <c r="T486" s="37"/>
      <c r="U486" s="37"/>
      <c r="V486" s="37" t="s">
        <v>47</v>
      </c>
      <c r="W486" s="37"/>
      <c r="X486" s="37"/>
      <c r="Y486" s="37" t="s">
        <v>47</v>
      </c>
      <c r="Z486" s="37"/>
      <c r="AA486" s="37"/>
      <c r="AB486" s="37" t="s">
        <v>47</v>
      </c>
      <c r="AC486" s="37"/>
      <c r="AD486" s="37"/>
      <c r="AE486" s="37" t="s">
        <v>47</v>
      </c>
      <c r="AF486" s="37"/>
      <c r="AG486" s="37"/>
      <c r="AH486" s="37" t="s">
        <v>47</v>
      </c>
      <c r="AI486" s="37"/>
      <c r="AJ486" s="37"/>
      <c r="AK486" s="37"/>
      <c r="AM486" s="38"/>
      <c r="AN486" s="38"/>
      <c r="AO486" s="38"/>
      <c r="AP486" s="38"/>
      <c r="AQ486" s="38"/>
      <c r="AR486" s="38"/>
      <c r="AS486" s="38" t="s">
        <v>47</v>
      </c>
      <c r="AT486" s="38"/>
      <c r="AU486" s="38"/>
      <c r="AV486" s="38"/>
      <c r="AW486" s="38"/>
      <c r="AX486" s="38"/>
      <c r="AY486" s="38"/>
      <c r="AZ486" s="38"/>
      <c r="BA486" s="38"/>
      <c r="BB486" s="38"/>
      <c r="BC486" s="38"/>
      <c r="BD486" s="38"/>
      <c r="BE486" s="77">
        <f t="shared" si="34"/>
        <v>1</v>
      </c>
      <c r="BF486" s="38"/>
    </row>
    <row r="487" spans="1:58" ht="22.5" hidden="1" customHeight="1">
      <c r="A487" s="33" t="str">
        <f>IF(OR(ISBLANK(E487),ISBLANK(C487)),"",IF(COUNTIF($E$8:E487,E487)&gt;1,"",(MAX($A$7:A486)+1)))</f>
        <v/>
      </c>
      <c r="B487" s="34">
        <f>IF(ISBLANK(C487),"",SUBTOTAL(3,$C$8:C487))</f>
        <v>44</v>
      </c>
      <c r="C487" s="80" t="s">
        <v>1049</v>
      </c>
      <c r="D487" s="50" t="s">
        <v>1050</v>
      </c>
      <c r="E487" s="50" t="s">
        <v>994</v>
      </c>
      <c r="F487" s="35" t="str">
        <f t="shared" si="32"/>
        <v/>
      </c>
      <c r="G487" s="36" t="str">
        <f t="shared" si="33"/>
        <v>C</v>
      </c>
      <c r="H487" s="51">
        <f t="shared" si="35"/>
        <v>1</v>
      </c>
      <c r="I487" s="51" t="str">
        <f t="shared" si="35"/>
        <v/>
      </c>
      <c r="J487" s="51" t="str">
        <f t="shared" si="35"/>
        <v/>
      </c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 t="s">
        <v>47</v>
      </c>
      <c r="AG487" s="37"/>
      <c r="AH487" s="37"/>
      <c r="AI487" s="37"/>
      <c r="AJ487" s="37"/>
      <c r="AK487" s="37"/>
      <c r="AM487" s="38"/>
      <c r="AN487" s="38"/>
      <c r="AO487" s="38"/>
      <c r="AP487" s="38" t="s">
        <v>47</v>
      </c>
      <c r="AQ487" s="38"/>
      <c r="AR487" s="38"/>
      <c r="AS487" s="38"/>
      <c r="AT487" s="38"/>
      <c r="AU487" s="38"/>
      <c r="AV487" s="38"/>
      <c r="AW487" s="38"/>
      <c r="AX487" s="38"/>
      <c r="AY487" s="38"/>
      <c r="AZ487" s="38"/>
      <c r="BA487" s="38"/>
      <c r="BB487" s="38"/>
      <c r="BC487" s="38"/>
      <c r="BD487" s="38"/>
      <c r="BE487" s="77">
        <f t="shared" si="34"/>
        <v>1</v>
      </c>
      <c r="BF487" s="38"/>
    </row>
    <row r="488" spans="1:58" ht="22.5" hidden="1" customHeight="1">
      <c r="A488" s="33" t="str">
        <f>IF(OR(ISBLANK(E488),ISBLANK(C488)),"",IF(COUNTIF($E$8:E488,E488)&gt;1,"",(MAX($A$7:A487)+1)))</f>
        <v/>
      </c>
      <c r="B488" s="34">
        <f>IF(ISBLANK(C488),"",SUBTOTAL(3,$C$8:C488))</f>
        <v>44</v>
      </c>
      <c r="C488" s="80" t="s">
        <v>1051</v>
      </c>
      <c r="D488" s="50" t="s">
        <v>1052</v>
      </c>
      <c r="E488" s="50" t="s">
        <v>994</v>
      </c>
      <c r="F488" s="35" t="str">
        <f t="shared" si="32"/>
        <v/>
      </c>
      <c r="G488" s="36" t="str">
        <f t="shared" si="33"/>
        <v>B</v>
      </c>
      <c r="H488" s="51">
        <f t="shared" si="35"/>
        <v>1</v>
      </c>
      <c r="I488" s="51">
        <f t="shared" si="35"/>
        <v>3</v>
      </c>
      <c r="J488" s="51">
        <f t="shared" si="35"/>
        <v>4</v>
      </c>
      <c r="K488" s="37"/>
      <c r="L488" s="37"/>
      <c r="M488" s="37" t="s">
        <v>47</v>
      </c>
      <c r="N488" s="37"/>
      <c r="O488" s="37"/>
      <c r="P488" s="37" t="s">
        <v>47</v>
      </c>
      <c r="Q488" s="37"/>
      <c r="R488" s="37" t="s">
        <v>47</v>
      </c>
      <c r="S488" s="37"/>
      <c r="T488" s="37"/>
      <c r="U488" s="37" t="s">
        <v>47</v>
      </c>
      <c r="V488" s="37"/>
      <c r="W488" s="37"/>
      <c r="X488" s="37" t="s">
        <v>47</v>
      </c>
      <c r="Y488" s="37"/>
      <c r="Z488" s="37" t="s">
        <v>47</v>
      </c>
      <c r="AA488" s="37"/>
      <c r="AB488" s="37"/>
      <c r="AC488" s="37"/>
      <c r="AD488" s="37"/>
      <c r="AE488" s="37" t="s">
        <v>47</v>
      </c>
      <c r="AF488" s="37"/>
      <c r="AG488" s="37"/>
      <c r="AH488" s="37" t="s">
        <v>47</v>
      </c>
      <c r="AI488" s="37"/>
      <c r="AJ488" s="37"/>
      <c r="AK488" s="37"/>
      <c r="AM488" s="38"/>
      <c r="AN488" s="38"/>
      <c r="AO488" s="38" t="s">
        <v>47</v>
      </c>
      <c r="AP488" s="38"/>
      <c r="AQ488" s="38"/>
      <c r="AR488" s="38"/>
      <c r="AS488" s="38" t="s">
        <v>47</v>
      </c>
      <c r="AT488" s="38"/>
      <c r="AU488" s="38"/>
      <c r="AV488" s="38"/>
      <c r="AW488" s="38"/>
      <c r="AX488" s="38"/>
      <c r="AY488" s="38"/>
      <c r="AZ488" s="38"/>
      <c r="BA488" s="38"/>
      <c r="BB488" s="38"/>
      <c r="BC488" s="38"/>
      <c r="BD488" s="38"/>
      <c r="BE488" s="77">
        <f t="shared" si="34"/>
        <v>2</v>
      </c>
      <c r="BF488" s="38"/>
    </row>
    <row r="489" spans="1:58" ht="22.5" hidden="1" customHeight="1">
      <c r="A489" s="33" t="str">
        <f>IF(OR(ISBLANK(E489),ISBLANK(C489)),"",IF(COUNTIF($E$8:E489,E489)&gt;1,"",(MAX($A$7:A488)+1)))</f>
        <v/>
      </c>
      <c r="B489" s="34">
        <f>IF(ISBLANK(C489),"",SUBTOTAL(3,$C$8:C489))</f>
        <v>44</v>
      </c>
      <c r="C489" s="80" t="s">
        <v>1053</v>
      </c>
      <c r="D489" s="50" t="s">
        <v>1054</v>
      </c>
      <c r="E489" s="50" t="s">
        <v>994</v>
      </c>
      <c r="F489" s="35" t="str">
        <f t="shared" si="32"/>
        <v/>
      </c>
      <c r="G489" s="36" t="str">
        <f t="shared" si="33"/>
        <v>C</v>
      </c>
      <c r="H489" s="51" t="str">
        <f t="shared" si="35"/>
        <v/>
      </c>
      <c r="I489" s="51">
        <f t="shared" si="35"/>
        <v>2</v>
      </c>
      <c r="J489" s="51">
        <f t="shared" si="35"/>
        <v>6</v>
      </c>
      <c r="K489" s="37"/>
      <c r="L489" s="37" t="s">
        <v>47</v>
      </c>
      <c r="M489" s="37"/>
      <c r="N489" s="37"/>
      <c r="O489" s="37"/>
      <c r="P489" s="37" t="s">
        <v>47</v>
      </c>
      <c r="Q489" s="37"/>
      <c r="R489" s="37" t="s">
        <v>47</v>
      </c>
      <c r="S489" s="37"/>
      <c r="T489" s="37"/>
      <c r="U489" s="37"/>
      <c r="V489" s="37" t="s">
        <v>47</v>
      </c>
      <c r="W489" s="37"/>
      <c r="X489" s="37"/>
      <c r="Y489" s="37" t="s">
        <v>47</v>
      </c>
      <c r="Z489" s="37"/>
      <c r="AA489" s="37"/>
      <c r="AB489" s="37" t="s">
        <v>47</v>
      </c>
      <c r="AC489" s="37"/>
      <c r="AD489" s="37"/>
      <c r="AE489" s="37" t="s">
        <v>47</v>
      </c>
      <c r="AF489" s="37"/>
      <c r="AG489" s="37"/>
      <c r="AH489" s="37" t="s">
        <v>47</v>
      </c>
      <c r="AI489" s="37"/>
      <c r="AJ489" s="37"/>
      <c r="AK489" s="37"/>
      <c r="AM489" s="38"/>
      <c r="AN489" s="38"/>
      <c r="AO489" s="38"/>
      <c r="AP489" s="38"/>
      <c r="AQ489" s="38"/>
      <c r="AR489" s="38"/>
      <c r="AS489" s="38" t="s">
        <v>47</v>
      </c>
      <c r="AT489" s="38"/>
      <c r="AU489" s="38"/>
      <c r="AV489" s="38"/>
      <c r="AW489" s="38"/>
      <c r="AX489" s="38"/>
      <c r="AY489" s="38"/>
      <c r="AZ489" s="38"/>
      <c r="BA489" s="38"/>
      <c r="BB489" s="38"/>
      <c r="BC489" s="38"/>
      <c r="BD489" s="38"/>
      <c r="BE489" s="77">
        <f t="shared" si="34"/>
        <v>1</v>
      </c>
      <c r="BF489" s="38"/>
    </row>
    <row r="490" spans="1:58" ht="22.5" hidden="1" customHeight="1">
      <c r="A490" s="33" t="str">
        <f>IF(OR(ISBLANK(E490),ISBLANK(C490)),"",IF(COUNTIF($E$8:E490,E490)&gt;1,"",(MAX($A$7:A489)+1)))</f>
        <v/>
      </c>
      <c r="B490" s="34">
        <f>IF(ISBLANK(C490),"",SUBTOTAL(3,$C$8:C490))</f>
        <v>44</v>
      </c>
      <c r="C490" s="80" t="s">
        <v>1055</v>
      </c>
      <c r="D490" s="50" t="s">
        <v>1056</v>
      </c>
      <c r="E490" s="50" t="s">
        <v>994</v>
      </c>
      <c r="F490" s="35" t="str">
        <f t="shared" si="32"/>
        <v/>
      </c>
      <c r="G490" s="36" t="str">
        <f t="shared" si="33"/>
        <v>A</v>
      </c>
      <c r="H490" s="51">
        <f t="shared" si="35"/>
        <v>2</v>
      </c>
      <c r="I490" s="51">
        <f t="shared" si="35"/>
        <v>2</v>
      </c>
      <c r="J490" s="51">
        <f t="shared" si="35"/>
        <v>4</v>
      </c>
      <c r="K490" s="37"/>
      <c r="L490" s="37" t="s">
        <v>47</v>
      </c>
      <c r="M490" s="37"/>
      <c r="N490" s="37"/>
      <c r="O490" s="37"/>
      <c r="P490" s="37" t="s">
        <v>47</v>
      </c>
      <c r="Q490" s="37" t="s">
        <v>47</v>
      </c>
      <c r="R490" s="37"/>
      <c r="S490" s="37"/>
      <c r="T490" s="37" t="s">
        <v>47</v>
      </c>
      <c r="U490" s="37"/>
      <c r="V490" s="37"/>
      <c r="W490" s="37"/>
      <c r="X490" s="37" t="s">
        <v>47</v>
      </c>
      <c r="Y490" s="37"/>
      <c r="Z490" s="37"/>
      <c r="AA490" s="37"/>
      <c r="AB490" s="37" t="s">
        <v>47</v>
      </c>
      <c r="AC490" s="37"/>
      <c r="AD490" s="37"/>
      <c r="AE490" s="37" t="s">
        <v>47</v>
      </c>
      <c r="AF490" s="37"/>
      <c r="AG490" s="37"/>
      <c r="AH490" s="37" t="s">
        <v>47</v>
      </c>
      <c r="AI490" s="37"/>
      <c r="AJ490" s="37"/>
      <c r="AK490" s="37"/>
      <c r="AM490" s="38"/>
      <c r="AN490" s="38"/>
      <c r="AO490" s="38"/>
      <c r="AP490" s="38"/>
      <c r="AQ490" s="38"/>
      <c r="AR490" s="38" t="s">
        <v>47</v>
      </c>
      <c r="AS490" s="38"/>
      <c r="AT490" s="38"/>
      <c r="AU490" s="38"/>
      <c r="AV490" s="38"/>
      <c r="AW490" s="38" t="s">
        <v>47</v>
      </c>
      <c r="AX490" s="38"/>
      <c r="AY490" s="38"/>
      <c r="AZ490" s="38"/>
      <c r="BA490" s="38"/>
      <c r="BB490" s="38"/>
      <c r="BC490" s="38"/>
      <c r="BD490" s="38"/>
      <c r="BE490" s="77">
        <f t="shared" si="34"/>
        <v>2</v>
      </c>
      <c r="BF490" s="38"/>
    </row>
    <row r="491" spans="1:58" ht="22.5" hidden="1" customHeight="1">
      <c r="A491" s="33" t="str">
        <f>IF(OR(ISBLANK(E491),ISBLANK(C491)),"",IF(COUNTIF($E$8:E491,E491)&gt;1,"",(MAX($A$7:A490)+1)))</f>
        <v/>
      </c>
      <c r="B491" s="34">
        <f>IF(ISBLANK(C491),"",SUBTOTAL(3,$C$8:C491))</f>
        <v>44</v>
      </c>
      <c r="C491" s="80" t="s">
        <v>1057</v>
      </c>
      <c r="D491" s="50" t="s">
        <v>1058</v>
      </c>
      <c r="E491" s="50" t="s">
        <v>994</v>
      </c>
      <c r="F491" s="35" t="str">
        <f t="shared" si="32"/>
        <v/>
      </c>
      <c r="G491" s="36" t="str">
        <f t="shared" si="33"/>
        <v>C</v>
      </c>
      <c r="H491" s="51" t="str">
        <f t="shared" si="35"/>
        <v/>
      </c>
      <c r="I491" s="51">
        <f t="shared" si="35"/>
        <v>2</v>
      </c>
      <c r="J491" s="51">
        <f t="shared" si="35"/>
        <v>6</v>
      </c>
      <c r="K491" s="37"/>
      <c r="L491" s="37" t="s">
        <v>47</v>
      </c>
      <c r="M491" s="37"/>
      <c r="N491" s="37"/>
      <c r="O491" s="37"/>
      <c r="P491" s="37" t="s">
        <v>47</v>
      </c>
      <c r="Q491" s="37"/>
      <c r="R491" s="37" t="s">
        <v>47</v>
      </c>
      <c r="S491" s="37"/>
      <c r="T491" s="37"/>
      <c r="U491" s="37"/>
      <c r="V491" s="37" t="s">
        <v>47</v>
      </c>
      <c r="W491" s="37"/>
      <c r="X491" s="37"/>
      <c r="Y491" s="37" t="s">
        <v>47</v>
      </c>
      <c r="Z491" s="37"/>
      <c r="AA491" s="37"/>
      <c r="AB491" s="37" t="s">
        <v>47</v>
      </c>
      <c r="AC491" s="37"/>
      <c r="AD491" s="37"/>
      <c r="AE491" s="37" t="s">
        <v>47</v>
      </c>
      <c r="AF491" s="37"/>
      <c r="AG491" s="37"/>
      <c r="AH491" s="37" t="s">
        <v>47</v>
      </c>
      <c r="AI491" s="37"/>
      <c r="AJ491" s="37"/>
      <c r="AK491" s="37"/>
      <c r="AM491" s="38"/>
      <c r="AN491" s="38"/>
      <c r="AO491" s="38"/>
      <c r="AP491" s="38"/>
      <c r="AQ491" s="38"/>
      <c r="AR491" s="38"/>
      <c r="AS491" s="38" t="s">
        <v>47</v>
      </c>
      <c r="AT491" s="38"/>
      <c r="AU491" s="38"/>
      <c r="AV491" s="38"/>
      <c r="AW491" s="38"/>
      <c r="AX491" s="38"/>
      <c r="AY491" s="38"/>
      <c r="AZ491" s="38"/>
      <c r="BA491" s="38"/>
      <c r="BB491" s="38"/>
      <c r="BC491" s="38"/>
      <c r="BD491" s="38"/>
      <c r="BE491" s="77">
        <f t="shared" si="34"/>
        <v>1</v>
      </c>
      <c r="BF491" s="38"/>
    </row>
    <row r="492" spans="1:58" ht="22.5" hidden="1" customHeight="1">
      <c r="A492" s="33" t="str">
        <f>IF(OR(ISBLANK(E492),ISBLANK(C492)),"",IF(COUNTIF($E$8:E492,E492)&gt;1,"",(MAX($A$7:A491)+1)))</f>
        <v/>
      </c>
      <c r="B492" s="34">
        <f>IF(ISBLANK(C492),"",SUBTOTAL(3,$C$8:C492))</f>
        <v>44</v>
      </c>
      <c r="C492" s="80" t="s">
        <v>1059</v>
      </c>
      <c r="D492" s="50" t="s">
        <v>1060</v>
      </c>
      <c r="E492" s="50" t="s">
        <v>994</v>
      </c>
      <c r="F492" s="35" t="str">
        <f t="shared" si="32"/>
        <v/>
      </c>
      <c r="G492" s="36" t="str">
        <f t="shared" si="33"/>
        <v>C</v>
      </c>
      <c r="H492" s="51" t="str">
        <f t="shared" si="35"/>
        <v/>
      </c>
      <c r="I492" s="51">
        <f t="shared" si="35"/>
        <v>3</v>
      </c>
      <c r="J492" s="51">
        <f t="shared" si="35"/>
        <v>5</v>
      </c>
      <c r="K492" s="37"/>
      <c r="L492" s="37" t="s">
        <v>47</v>
      </c>
      <c r="M492" s="37"/>
      <c r="N492" s="37"/>
      <c r="O492" s="37" t="s">
        <v>47</v>
      </c>
      <c r="P492" s="37"/>
      <c r="Q492" s="37"/>
      <c r="R492" s="37" t="s">
        <v>47</v>
      </c>
      <c r="S492" s="37"/>
      <c r="T492" s="37"/>
      <c r="U492" s="37"/>
      <c r="V492" s="37" t="s">
        <v>47</v>
      </c>
      <c r="W492" s="37"/>
      <c r="X492" s="37"/>
      <c r="Y492" s="37" t="s">
        <v>47</v>
      </c>
      <c r="Z492" s="37"/>
      <c r="AA492" s="37"/>
      <c r="AB492" s="37" t="s">
        <v>47</v>
      </c>
      <c r="AC492" s="37"/>
      <c r="AD492" s="37"/>
      <c r="AE492" s="37" t="s">
        <v>47</v>
      </c>
      <c r="AF492" s="37"/>
      <c r="AG492" s="37"/>
      <c r="AH492" s="37" t="s">
        <v>47</v>
      </c>
      <c r="AI492" s="37"/>
      <c r="AJ492" s="37"/>
      <c r="AK492" s="37"/>
      <c r="AM492" s="38"/>
      <c r="AN492" s="38"/>
      <c r="AO492" s="38"/>
      <c r="AP492" s="38"/>
      <c r="AQ492" s="38"/>
      <c r="AR492" s="38"/>
      <c r="AS492" s="38"/>
      <c r="AT492" s="38"/>
      <c r="AU492" s="38"/>
      <c r="AV492" s="38"/>
      <c r="AW492" s="38"/>
      <c r="AX492" s="38"/>
      <c r="AY492" s="38"/>
      <c r="AZ492" s="38"/>
      <c r="BA492" s="38"/>
      <c r="BB492" s="38"/>
      <c r="BC492" s="38"/>
      <c r="BD492" s="38"/>
      <c r="BE492" s="77">
        <f t="shared" si="34"/>
        <v>0</v>
      </c>
      <c r="BF492" s="38"/>
    </row>
    <row r="493" spans="1:58" ht="22.5" hidden="1" customHeight="1">
      <c r="A493" s="33" t="str">
        <f>IF(OR(ISBLANK(E493),ISBLANK(C493)),"",IF(COUNTIF($E$8:E493,E493)&gt;1,"",(MAX($A$7:A492)+1)))</f>
        <v/>
      </c>
      <c r="B493" s="34">
        <f>IF(ISBLANK(C493),"",SUBTOTAL(3,$C$8:C493))</f>
        <v>44</v>
      </c>
      <c r="C493" s="78" t="s">
        <v>1061</v>
      </c>
      <c r="D493" s="50" t="s">
        <v>1062</v>
      </c>
      <c r="E493" s="50" t="s">
        <v>994</v>
      </c>
      <c r="F493" s="35" t="str">
        <f t="shared" si="32"/>
        <v/>
      </c>
      <c r="G493" s="36" t="str">
        <f t="shared" si="33"/>
        <v>A</v>
      </c>
      <c r="H493" s="51">
        <f t="shared" si="35"/>
        <v>3</v>
      </c>
      <c r="I493" s="51">
        <f t="shared" si="35"/>
        <v>2</v>
      </c>
      <c r="J493" s="51">
        <f t="shared" si="35"/>
        <v>3</v>
      </c>
      <c r="K493" s="37" t="s">
        <v>47</v>
      </c>
      <c r="L493" s="37"/>
      <c r="M493" s="37"/>
      <c r="N493" s="37" t="s">
        <v>47</v>
      </c>
      <c r="O493" s="37"/>
      <c r="P493" s="37"/>
      <c r="Q493" s="37" t="s">
        <v>47</v>
      </c>
      <c r="R493" s="37"/>
      <c r="S493" s="37"/>
      <c r="T493" s="37"/>
      <c r="U493" s="37" t="s">
        <v>47</v>
      </c>
      <c r="V493" s="37"/>
      <c r="W493" s="37"/>
      <c r="X493" s="37" t="s">
        <v>47</v>
      </c>
      <c r="Y493" s="37"/>
      <c r="Z493" s="37"/>
      <c r="AA493" s="37"/>
      <c r="AB493" s="37" t="s">
        <v>47</v>
      </c>
      <c r="AC493" s="37"/>
      <c r="AD493" s="37"/>
      <c r="AE493" s="37" t="s">
        <v>47</v>
      </c>
      <c r="AF493" s="37"/>
      <c r="AG493" s="37"/>
      <c r="AH493" s="37" t="s">
        <v>47</v>
      </c>
      <c r="AI493" s="37"/>
      <c r="AJ493" s="37"/>
      <c r="AK493" s="37"/>
      <c r="AM493" s="38"/>
      <c r="AN493" s="38"/>
      <c r="AO493" s="38"/>
      <c r="AP493" s="38"/>
      <c r="AQ493" s="38"/>
      <c r="AR493" s="38"/>
      <c r="AS493" s="38"/>
      <c r="AT493" s="38" t="s">
        <v>47</v>
      </c>
      <c r="AU493" s="38" t="s">
        <v>47</v>
      </c>
      <c r="AV493" s="38"/>
      <c r="AW493" s="38" t="s">
        <v>47</v>
      </c>
      <c r="AX493" s="38"/>
      <c r="AY493" s="38" t="s">
        <v>47</v>
      </c>
      <c r="AZ493" s="38"/>
      <c r="BA493" s="38"/>
      <c r="BB493" s="38" t="s">
        <v>47</v>
      </c>
      <c r="BC493" s="38"/>
      <c r="BD493" s="38"/>
      <c r="BE493" s="77">
        <f t="shared" si="34"/>
        <v>5</v>
      </c>
      <c r="BF493" s="38"/>
    </row>
    <row r="494" spans="1:58" ht="22.5" hidden="1" customHeight="1">
      <c r="A494" s="33" t="str">
        <f>IF(OR(ISBLANK(E494),ISBLANK(C494)),"",IF(COUNTIF($E$8:E494,E494)&gt;1,"",(MAX($A$7:A493)+1)))</f>
        <v/>
      </c>
      <c r="B494" s="34">
        <f>IF(ISBLANK(C494),"",SUBTOTAL(3,$C$8:C494))</f>
        <v>44</v>
      </c>
      <c r="C494" s="79" t="s">
        <v>1063</v>
      </c>
      <c r="D494" s="50" t="s">
        <v>1064</v>
      </c>
      <c r="E494" s="50" t="s">
        <v>994</v>
      </c>
      <c r="F494" s="35" t="str">
        <f t="shared" si="32"/>
        <v/>
      </c>
      <c r="G494" s="36" t="str">
        <f t="shared" si="33"/>
        <v>C</v>
      </c>
      <c r="H494" s="51" t="str">
        <f t="shared" si="35"/>
        <v/>
      </c>
      <c r="I494" s="51">
        <f t="shared" si="35"/>
        <v>2</v>
      </c>
      <c r="J494" s="51">
        <f t="shared" si="35"/>
        <v>5</v>
      </c>
      <c r="K494" s="37"/>
      <c r="L494" s="37" t="s">
        <v>47</v>
      </c>
      <c r="M494" s="37"/>
      <c r="N494" s="37"/>
      <c r="O494" s="37"/>
      <c r="P494" s="37" t="s">
        <v>47</v>
      </c>
      <c r="Q494" s="37"/>
      <c r="R494" s="37"/>
      <c r="S494" s="37" t="s">
        <v>47</v>
      </c>
      <c r="T494" s="37"/>
      <c r="U494" s="37"/>
      <c r="V494" s="37"/>
      <c r="W494" s="37"/>
      <c r="X494" s="37" t="s">
        <v>47</v>
      </c>
      <c r="Y494" s="37"/>
      <c r="Z494" s="37"/>
      <c r="AA494" s="37"/>
      <c r="AB494" s="37" t="s">
        <v>47</v>
      </c>
      <c r="AC494" s="37"/>
      <c r="AD494" s="37"/>
      <c r="AE494" s="37" t="s">
        <v>47</v>
      </c>
      <c r="AF494" s="37"/>
      <c r="AG494" s="37"/>
      <c r="AH494" s="37" t="s">
        <v>47</v>
      </c>
      <c r="AI494" s="37"/>
      <c r="AJ494" s="37"/>
      <c r="AK494" s="37"/>
      <c r="AM494" s="38"/>
      <c r="AN494" s="38"/>
      <c r="AO494" s="38"/>
      <c r="AP494" s="38"/>
      <c r="AQ494" s="38"/>
      <c r="AR494" s="38"/>
      <c r="AS494" s="38"/>
      <c r="AT494" s="38"/>
      <c r="AU494" s="38"/>
      <c r="AV494" s="38"/>
      <c r="AW494" s="38"/>
      <c r="AX494" s="38"/>
      <c r="AY494" s="38"/>
      <c r="AZ494" s="38"/>
      <c r="BA494" s="38"/>
      <c r="BB494" s="38"/>
      <c r="BC494" s="38"/>
      <c r="BD494" s="38"/>
      <c r="BE494" s="77">
        <f t="shared" si="34"/>
        <v>0</v>
      </c>
      <c r="BF494" s="38"/>
    </row>
    <row r="495" spans="1:58" ht="22.5" hidden="1" customHeight="1">
      <c r="A495" s="33" t="str">
        <f>IF(OR(ISBLANK(E495),ISBLANK(C495)),"",IF(COUNTIF($E$8:E495,E495)&gt;1,"",(MAX($A$7:A494)+1)))</f>
        <v/>
      </c>
      <c r="B495" s="34">
        <f>IF(ISBLANK(C495),"",SUBTOTAL(3,$C$8:C495))</f>
        <v>44</v>
      </c>
      <c r="C495" s="78" t="s">
        <v>1065</v>
      </c>
      <c r="D495" s="50" t="s">
        <v>1066</v>
      </c>
      <c r="E495" s="50" t="s">
        <v>994</v>
      </c>
      <c r="F495" s="35" t="str">
        <f t="shared" si="32"/>
        <v/>
      </c>
      <c r="G495" s="36" t="str">
        <f t="shared" si="33"/>
        <v>B</v>
      </c>
      <c r="H495" s="51">
        <f t="shared" si="35"/>
        <v>1</v>
      </c>
      <c r="I495" s="51">
        <f t="shared" si="35"/>
        <v>3</v>
      </c>
      <c r="J495" s="51">
        <f t="shared" si="35"/>
        <v>4</v>
      </c>
      <c r="K495" s="37"/>
      <c r="L495" s="37" t="s">
        <v>47</v>
      </c>
      <c r="M495" s="37"/>
      <c r="N495" s="37"/>
      <c r="O495" s="37" t="s">
        <v>47</v>
      </c>
      <c r="P495" s="37"/>
      <c r="Q495" s="37" t="s">
        <v>47</v>
      </c>
      <c r="R495" s="37"/>
      <c r="S495" s="37"/>
      <c r="T495" s="37"/>
      <c r="U495" s="37"/>
      <c r="V495" s="37" t="s">
        <v>47</v>
      </c>
      <c r="W495" s="37"/>
      <c r="X495" s="37" t="s">
        <v>47</v>
      </c>
      <c r="Y495" s="37"/>
      <c r="Z495" s="37"/>
      <c r="AA495" s="37"/>
      <c r="AB495" s="37" t="s">
        <v>47</v>
      </c>
      <c r="AC495" s="37"/>
      <c r="AD495" s="37"/>
      <c r="AE495" s="37" t="s">
        <v>47</v>
      </c>
      <c r="AF495" s="37"/>
      <c r="AG495" s="37"/>
      <c r="AH495" s="37" t="s">
        <v>47</v>
      </c>
      <c r="AI495" s="37"/>
      <c r="AJ495" s="37"/>
      <c r="AK495" s="37"/>
      <c r="AM495" s="38"/>
      <c r="AN495" s="38"/>
      <c r="AO495" s="38"/>
      <c r="AP495" s="38"/>
      <c r="AQ495" s="38"/>
      <c r="AR495" s="38"/>
      <c r="AS495" s="38"/>
      <c r="AT495" s="38"/>
      <c r="AU495" s="38"/>
      <c r="AV495" s="38" t="s">
        <v>47</v>
      </c>
      <c r="AW495" s="38" t="s">
        <v>47</v>
      </c>
      <c r="AX495" s="38"/>
      <c r="AY495" s="38"/>
      <c r="AZ495" s="38"/>
      <c r="BA495" s="38"/>
      <c r="BB495" s="38"/>
      <c r="BC495" s="38"/>
      <c r="BD495" s="38"/>
      <c r="BE495" s="77">
        <f t="shared" si="34"/>
        <v>2</v>
      </c>
      <c r="BF495" s="38"/>
    </row>
    <row r="496" spans="1:58" ht="22.5" hidden="1" customHeight="1">
      <c r="A496" s="33" t="str">
        <f>IF(OR(ISBLANK(E496),ISBLANK(C496)),"",IF(COUNTIF($E$8:E496,E496)&gt;1,"",(MAX($A$7:A495)+1)))</f>
        <v/>
      </c>
      <c r="B496" s="34">
        <f>IF(ISBLANK(C496),"",SUBTOTAL(3,$C$8:C496))</f>
        <v>44</v>
      </c>
      <c r="C496" s="78" t="s">
        <v>1067</v>
      </c>
      <c r="D496" s="50" t="s">
        <v>1068</v>
      </c>
      <c r="E496" s="50" t="s">
        <v>994</v>
      </c>
      <c r="F496" s="35" t="str">
        <f t="shared" si="32"/>
        <v/>
      </c>
      <c r="G496" s="36" t="str">
        <f t="shared" si="33"/>
        <v>C</v>
      </c>
      <c r="H496" s="51" t="str">
        <f t="shared" si="35"/>
        <v/>
      </c>
      <c r="I496" s="51">
        <f t="shared" si="35"/>
        <v>5</v>
      </c>
      <c r="J496" s="51">
        <f t="shared" si="35"/>
        <v>3</v>
      </c>
      <c r="K496" s="37"/>
      <c r="L496" s="37" t="s">
        <v>47</v>
      </c>
      <c r="M496" s="37"/>
      <c r="N496" s="37"/>
      <c r="O496" s="37" t="s">
        <v>47</v>
      </c>
      <c r="P496" s="37"/>
      <c r="Q496" s="37"/>
      <c r="R496" s="37" t="s">
        <v>47</v>
      </c>
      <c r="S496" s="37"/>
      <c r="T496" s="37"/>
      <c r="U496" s="37" t="s">
        <v>47</v>
      </c>
      <c r="V496" s="37"/>
      <c r="W496" s="37"/>
      <c r="X496" s="37" t="s">
        <v>47</v>
      </c>
      <c r="Y496" s="37"/>
      <c r="Z496" s="37"/>
      <c r="AA496" s="37"/>
      <c r="AB496" s="37" t="s">
        <v>47</v>
      </c>
      <c r="AC496" s="37"/>
      <c r="AD496" s="37"/>
      <c r="AE496" s="37" t="s">
        <v>47</v>
      </c>
      <c r="AF496" s="37"/>
      <c r="AG496" s="37"/>
      <c r="AH496" s="37" t="s">
        <v>47</v>
      </c>
      <c r="AI496" s="37"/>
      <c r="AJ496" s="37"/>
      <c r="AK496" s="37"/>
      <c r="AM496" s="38"/>
      <c r="AN496" s="38"/>
      <c r="AO496" s="38"/>
      <c r="AP496" s="38"/>
      <c r="AQ496" s="38"/>
      <c r="AR496" s="38"/>
      <c r="AS496" s="38"/>
      <c r="AT496" s="38" t="s">
        <v>47</v>
      </c>
      <c r="AU496" s="38"/>
      <c r="AV496" s="38"/>
      <c r="AW496" s="38" t="s">
        <v>47</v>
      </c>
      <c r="AX496" s="38"/>
      <c r="AY496" s="38"/>
      <c r="AZ496" s="38"/>
      <c r="BA496" s="38"/>
      <c r="BB496" s="38"/>
      <c r="BC496" s="38"/>
      <c r="BD496" s="38"/>
      <c r="BE496" s="77">
        <f t="shared" si="34"/>
        <v>2</v>
      </c>
      <c r="BF496" s="38"/>
    </row>
    <row r="497" spans="1:58" ht="22.5" hidden="1" customHeight="1">
      <c r="A497" s="33" t="str">
        <f>IF(OR(ISBLANK(E497),ISBLANK(C497)),"",IF(COUNTIF($E$8:E497,E497)&gt;1,"",(MAX($A$7:A496)+1)))</f>
        <v/>
      </c>
      <c r="B497" s="34">
        <f>IF(ISBLANK(C497),"",SUBTOTAL(3,$C$8:C497))</f>
        <v>44</v>
      </c>
      <c r="C497" s="80" t="s">
        <v>1069</v>
      </c>
      <c r="D497" s="50" t="s">
        <v>1070</v>
      </c>
      <c r="E497" s="50" t="s">
        <v>994</v>
      </c>
      <c r="F497" s="35" t="str">
        <f t="shared" si="32"/>
        <v/>
      </c>
      <c r="G497" s="36" t="str">
        <f t="shared" si="33"/>
        <v>C</v>
      </c>
      <c r="H497" s="51" t="str">
        <f t="shared" si="35"/>
        <v/>
      </c>
      <c r="I497" s="51">
        <f t="shared" si="35"/>
        <v>5</v>
      </c>
      <c r="J497" s="51">
        <f t="shared" si="35"/>
        <v>3</v>
      </c>
      <c r="K497" s="37"/>
      <c r="L497" s="37" t="s">
        <v>47</v>
      </c>
      <c r="M497" s="37"/>
      <c r="N497" s="37"/>
      <c r="O497" s="37" t="s">
        <v>47</v>
      </c>
      <c r="P497" s="37"/>
      <c r="Q497" s="37"/>
      <c r="R497" s="37" t="s">
        <v>47</v>
      </c>
      <c r="S497" s="37"/>
      <c r="T497" s="37"/>
      <c r="U497" s="37" t="s">
        <v>47</v>
      </c>
      <c r="V497" s="37"/>
      <c r="W497" s="37"/>
      <c r="X497" s="37" t="s">
        <v>47</v>
      </c>
      <c r="Y497" s="37"/>
      <c r="Z497" s="37"/>
      <c r="AA497" s="37"/>
      <c r="AB497" s="37" t="s">
        <v>47</v>
      </c>
      <c r="AC497" s="37"/>
      <c r="AD497" s="37"/>
      <c r="AE497" s="37" t="s">
        <v>47</v>
      </c>
      <c r="AF497" s="37"/>
      <c r="AG497" s="37"/>
      <c r="AH497" s="37" t="s">
        <v>47</v>
      </c>
      <c r="AI497" s="37"/>
      <c r="AJ497" s="37"/>
      <c r="AK497" s="37"/>
      <c r="AM497" s="38"/>
      <c r="AN497" s="38"/>
      <c r="AO497" s="38"/>
      <c r="AP497" s="38"/>
      <c r="AQ497" s="38"/>
      <c r="AR497" s="38" t="s">
        <v>47</v>
      </c>
      <c r="AS497" s="38"/>
      <c r="AT497" s="38"/>
      <c r="AU497" s="38"/>
      <c r="AV497" s="38"/>
      <c r="AW497" s="38"/>
      <c r="AX497" s="38"/>
      <c r="AY497" s="38"/>
      <c r="AZ497" s="38"/>
      <c r="BA497" s="38"/>
      <c r="BB497" s="38"/>
      <c r="BC497" s="38"/>
      <c r="BD497" s="38"/>
      <c r="BE497" s="77">
        <f t="shared" si="34"/>
        <v>1</v>
      </c>
      <c r="BF497" s="38"/>
    </row>
    <row r="498" spans="1:58" ht="22.5" hidden="1" customHeight="1">
      <c r="A498" s="33">
        <f>IF(OR(ISBLANK(E498),ISBLANK(C498)),"",IF(COUNTIF($E$8:E498,E498)&gt;1,"",(MAX($A$7:A497)+1)))</f>
        <v>13</v>
      </c>
      <c r="B498" s="34">
        <f>IF(ISBLANK(C498),"",SUBTOTAL(3,$C$8:C498))</f>
        <v>44</v>
      </c>
      <c r="C498" s="80" t="s">
        <v>1071</v>
      </c>
      <c r="D498" s="50" t="s">
        <v>1072</v>
      </c>
      <c r="E498" s="50" t="s">
        <v>1073</v>
      </c>
      <c r="F498" s="35" t="str">
        <f t="shared" si="32"/>
        <v/>
      </c>
      <c r="G498" s="36" t="str">
        <f t="shared" si="33"/>
        <v/>
      </c>
      <c r="H498" s="51" t="str">
        <f t="shared" si="35"/>
        <v/>
      </c>
      <c r="I498" s="51" t="str">
        <f t="shared" si="35"/>
        <v/>
      </c>
      <c r="J498" s="51" t="str">
        <f t="shared" si="35"/>
        <v/>
      </c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M498" s="38"/>
      <c r="AN498" s="38"/>
      <c r="AO498" s="38"/>
      <c r="AP498" s="38"/>
      <c r="AQ498" s="38"/>
      <c r="AR498" s="38"/>
      <c r="AS498" s="38"/>
      <c r="AT498" s="38"/>
      <c r="AU498" s="38"/>
      <c r="AV498" s="38"/>
      <c r="AW498" s="38"/>
      <c r="AX498" s="38"/>
      <c r="AY498" s="38"/>
      <c r="AZ498" s="38"/>
      <c r="BA498" s="38"/>
      <c r="BB498" s="38"/>
      <c r="BC498" s="38"/>
      <c r="BD498" s="38"/>
      <c r="BE498" s="77">
        <f t="shared" si="34"/>
        <v>0</v>
      </c>
      <c r="BF498" s="38"/>
    </row>
    <row r="499" spans="1:58" ht="22.5" hidden="1" customHeight="1">
      <c r="A499" s="33" t="str">
        <f>IF(OR(ISBLANK(E499),ISBLANK(C499)),"",IF(COUNTIF($E$8:E499,E499)&gt;1,"",(MAX($A$7:A498)+1)))</f>
        <v/>
      </c>
      <c r="B499" s="34">
        <f>IF(ISBLANK(C499),"",SUBTOTAL(3,$C$8:C499))</f>
        <v>44</v>
      </c>
      <c r="C499" s="78" t="s">
        <v>1074</v>
      </c>
      <c r="D499" s="50" t="s">
        <v>1075</v>
      </c>
      <c r="E499" s="50" t="s">
        <v>1073</v>
      </c>
      <c r="F499" s="35" t="str">
        <f t="shared" si="32"/>
        <v/>
      </c>
      <c r="G499" s="36" t="str">
        <f t="shared" si="33"/>
        <v>D</v>
      </c>
      <c r="H499" s="51" t="str">
        <f t="shared" si="35"/>
        <v/>
      </c>
      <c r="I499" s="51">
        <f t="shared" si="35"/>
        <v>1</v>
      </c>
      <c r="J499" s="51" t="str">
        <f t="shared" si="35"/>
        <v/>
      </c>
      <c r="K499" s="37"/>
      <c r="L499" s="37" t="s">
        <v>47</v>
      </c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  <c r="AK499" s="37"/>
      <c r="AM499" s="38"/>
      <c r="AN499" s="38"/>
      <c r="AO499" s="38"/>
      <c r="AP499" s="38"/>
      <c r="AQ499" s="38"/>
      <c r="AR499" s="38"/>
      <c r="AS499" s="38"/>
      <c r="AT499" s="38"/>
      <c r="AU499" s="38"/>
      <c r="AV499" s="38"/>
      <c r="AW499" s="38"/>
      <c r="AX499" s="38"/>
      <c r="AY499" s="38"/>
      <c r="AZ499" s="38"/>
      <c r="BA499" s="38"/>
      <c r="BB499" s="38" t="s">
        <v>47</v>
      </c>
      <c r="BC499" s="38"/>
      <c r="BD499" s="38"/>
      <c r="BE499" s="77">
        <f t="shared" si="34"/>
        <v>1</v>
      </c>
      <c r="BF499" s="38"/>
    </row>
    <row r="500" spans="1:58" ht="22.5" hidden="1" customHeight="1">
      <c r="A500" s="33" t="str">
        <f>IF(OR(ISBLANK(E500),ISBLANK(C500)),"",IF(COUNTIF($E$8:E500,E500)&gt;1,"",(MAX($A$7:A499)+1)))</f>
        <v/>
      </c>
      <c r="B500" s="34">
        <f>IF(ISBLANK(C500),"",SUBTOTAL(3,$C$8:C500))</f>
        <v>44</v>
      </c>
      <c r="C500" s="78" t="s">
        <v>1076</v>
      </c>
      <c r="D500" s="50" t="s">
        <v>1077</v>
      </c>
      <c r="E500" s="50" t="s">
        <v>1073</v>
      </c>
      <c r="F500" s="35" t="str">
        <f t="shared" si="32"/>
        <v/>
      </c>
      <c r="G500" s="36" t="str">
        <f t="shared" si="33"/>
        <v>C</v>
      </c>
      <c r="H500" s="51">
        <f t="shared" si="35"/>
        <v>1</v>
      </c>
      <c r="I500" s="51">
        <f t="shared" si="35"/>
        <v>1</v>
      </c>
      <c r="J500" s="51" t="str">
        <f t="shared" si="35"/>
        <v/>
      </c>
      <c r="K500" s="37" t="s">
        <v>47</v>
      </c>
      <c r="L500" s="37"/>
      <c r="M500" s="37"/>
      <c r="N500" s="37"/>
      <c r="O500" s="37"/>
      <c r="P500" s="37"/>
      <c r="Q500" s="37"/>
      <c r="R500" s="37" t="s">
        <v>47</v>
      </c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M500" s="38"/>
      <c r="AN500" s="38"/>
      <c r="AO500" s="38"/>
      <c r="AP500" s="38"/>
      <c r="AQ500" s="38"/>
      <c r="AR500" s="38"/>
      <c r="AS500" s="38"/>
      <c r="AT500" s="38" t="s">
        <v>47</v>
      </c>
      <c r="AU500" s="38"/>
      <c r="AV500" s="38"/>
      <c r="AW500" s="38"/>
      <c r="AX500" s="38"/>
      <c r="AY500" s="38"/>
      <c r="AZ500" s="38"/>
      <c r="BA500" s="38"/>
      <c r="BB500" s="38"/>
      <c r="BC500" s="38"/>
      <c r="BD500" s="38"/>
      <c r="BE500" s="77">
        <f t="shared" si="34"/>
        <v>1</v>
      </c>
      <c r="BF500" s="38"/>
    </row>
    <row r="501" spans="1:58" ht="22.5" hidden="1" customHeight="1">
      <c r="A501" s="33" t="str">
        <f>IF(OR(ISBLANK(E501),ISBLANK(C501)),"",IF(COUNTIF($E$8:E501,E501)&gt;1,"",(MAX($A$7:A500)+1)))</f>
        <v/>
      </c>
      <c r="B501" s="34">
        <f>IF(ISBLANK(C501),"",SUBTOTAL(3,$C$8:C501))</f>
        <v>44</v>
      </c>
      <c r="C501" s="78" t="s">
        <v>1078</v>
      </c>
      <c r="D501" s="50" t="s">
        <v>1079</v>
      </c>
      <c r="E501" s="50" t="s">
        <v>1073</v>
      </c>
      <c r="F501" s="35" t="str">
        <f t="shared" si="32"/>
        <v/>
      </c>
      <c r="G501" s="36" t="str">
        <f t="shared" si="33"/>
        <v>B</v>
      </c>
      <c r="H501" s="51">
        <f t="shared" si="35"/>
        <v>1</v>
      </c>
      <c r="I501" s="51">
        <f t="shared" si="35"/>
        <v>2</v>
      </c>
      <c r="J501" s="51" t="str">
        <f t="shared" si="35"/>
        <v/>
      </c>
      <c r="K501" s="37" t="s">
        <v>47</v>
      </c>
      <c r="L501" s="37"/>
      <c r="M501" s="37"/>
      <c r="N501" s="37"/>
      <c r="O501" s="37" t="s">
        <v>47</v>
      </c>
      <c r="P501" s="37"/>
      <c r="Q501" s="37"/>
      <c r="R501" s="37" t="s">
        <v>47</v>
      </c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  <c r="AK501" s="37"/>
      <c r="AM501" s="38"/>
      <c r="AN501" s="38"/>
      <c r="AO501" s="38"/>
      <c r="AP501" s="38"/>
      <c r="AQ501" s="38"/>
      <c r="AR501" s="38"/>
      <c r="AS501" s="38"/>
      <c r="AT501" s="38"/>
      <c r="AU501" s="38" t="s">
        <v>47</v>
      </c>
      <c r="AV501" s="38"/>
      <c r="AW501" s="38"/>
      <c r="AX501" s="38"/>
      <c r="AY501" s="38"/>
      <c r="AZ501" s="38"/>
      <c r="BA501" s="38"/>
      <c r="BB501" s="38"/>
      <c r="BC501" s="38"/>
      <c r="BD501" s="38"/>
      <c r="BE501" s="77">
        <f t="shared" si="34"/>
        <v>1</v>
      </c>
      <c r="BF501" s="38"/>
    </row>
    <row r="502" spans="1:58" ht="22.5" hidden="1" customHeight="1">
      <c r="A502" s="33" t="str">
        <f>IF(OR(ISBLANK(E502),ISBLANK(C502)),"",IF(COUNTIF($E$8:E502,E502)&gt;1,"",(MAX($A$7:A501)+1)))</f>
        <v/>
      </c>
      <c r="B502" s="34">
        <f>IF(ISBLANK(C502),"",SUBTOTAL(3,$C$8:C502))</f>
        <v>44</v>
      </c>
      <c r="C502" s="85" t="s">
        <v>1080</v>
      </c>
      <c r="D502" s="50" t="s">
        <v>1081</v>
      </c>
      <c r="E502" s="50" t="s">
        <v>1073</v>
      </c>
      <c r="F502" s="35" t="str">
        <f t="shared" si="32"/>
        <v/>
      </c>
      <c r="G502" s="36" t="str">
        <f t="shared" si="33"/>
        <v>C</v>
      </c>
      <c r="H502" s="51">
        <f t="shared" si="35"/>
        <v>1</v>
      </c>
      <c r="I502" s="51" t="str">
        <f t="shared" si="35"/>
        <v/>
      </c>
      <c r="J502" s="51" t="str">
        <f t="shared" si="35"/>
        <v/>
      </c>
      <c r="K502" s="37" t="s">
        <v>47</v>
      </c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  <c r="AK502" s="37"/>
      <c r="AM502" s="38"/>
      <c r="AN502" s="38"/>
      <c r="AO502" s="38"/>
      <c r="AP502" s="38"/>
      <c r="AQ502" s="38"/>
      <c r="AR502" s="38"/>
      <c r="AS502" s="38"/>
      <c r="AT502" s="38"/>
      <c r="AU502" s="38" t="s">
        <v>47</v>
      </c>
      <c r="AV502" s="38"/>
      <c r="AW502" s="38"/>
      <c r="AX502" s="38"/>
      <c r="AY502" s="38"/>
      <c r="AZ502" s="38"/>
      <c r="BA502" s="38"/>
      <c r="BB502" s="38"/>
      <c r="BC502" s="38"/>
      <c r="BD502" s="38"/>
      <c r="BE502" s="77">
        <f t="shared" si="34"/>
        <v>1</v>
      </c>
      <c r="BF502" s="38"/>
    </row>
    <row r="503" spans="1:58" ht="22.5" hidden="1" customHeight="1">
      <c r="A503" s="33" t="str">
        <f>IF(OR(ISBLANK(E503),ISBLANK(C503)),"",IF(COUNTIF($E$8:E503,E503)&gt;1,"",(MAX($A$7:A502)+1)))</f>
        <v/>
      </c>
      <c r="B503" s="34">
        <f>IF(ISBLANK(C503),"",SUBTOTAL(3,$C$8:C503))</f>
        <v>44</v>
      </c>
      <c r="C503" s="80" t="s">
        <v>1082</v>
      </c>
      <c r="D503" s="52" t="s">
        <v>1083</v>
      </c>
      <c r="E503" s="50" t="s">
        <v>1073</v>
      </c>
      <c r="F503" s="35" t="str">
        <f t="shared" si="32"/>
        <v/>
      </c>
      <c r="G503" s="36" t="str">
        <f t="shared" si="33"/>
        <v>B</v>
      </c>
      <c r="H503" s="51">
        <f t="shared" si="35"/>
        <v>2</v>
      </c>
      <c r="I503" s="51" t="str">
        <f t="shared" si="35"/>
        <v/>
      </c>
      <c r="J503" s="51" t="str">
        <f t="shared" si="35"/>
        <v/>
      </c>
      <c r="K503" s="37" t="s">
        <v>47</v>
      </c>
      <c r="L503" s="37"/>
      <c r="M503" s="37"/>
      <c r="N503" s="37"/>
      <c r="O503" s="37"/>
      <c r="P503" s="37"/>
      <c r="Q503" s="37" t="s">
        <v>47</v>
      </c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  <c r="AK503" s="37"/>
      <c r="AM503" s="38"/>
      <c r="AN503" s="38"/>
      <c r="AO503" s="38"/>
      <c r="AP503" s="38"/>
      <c r="AQ503" s="38"/>
      <c r="AR503" s="38"/>
      <c r="AS503" s="38"/>
      <c r="AT503" s="38"/>
      <c r="AU503" s="38"/>
      <c r="AV503" s="38"/>
      <c r="AW503" s="38"/>
      <c r="AX503" s="38"/>
      <c r="AY503" s="38"/>
      <c r="AZ503" s="38"/>
      <c r="BA503" s="38" t="s">
        <v>47</v>
      </c>
      <c r="BB503" s="38"/>
      <c r="BC503" s="38"/>
      <c r="BD503" s="38"/>
      <c r="BE503" s="77">
        <f t="shared" si="34"/>
        <v>1</v>
      </c>
      <c r="BF503" s="38"/>
    </row>
    <row r="504" spans="1:58" ht="22.5" hidden="1" customHeight="1">
      <c r="A504" s="33" t="str">
        <f>IF(OR(ISBLANK(E504),ISBLANK(C504)),"",IF(COUNTIF($E$8:E504,E504)&gt;1,"",(MAX($A$7:A503)+1)))</f>
        <v/>
      </c>
      <c r="B504" s="34">
        <f>IF(ISBLANK(C504),"",SUBTOTAL(3,$C$8:C504))</f>
        <v>44</v>
      </c>
      <c r="C504" s="80" t="s">
        <v>1084</v>
      </c>
      <c r="D504" s="52" t="s">
        <v>1085</v>
      </c>
      <c r="E504" s="50" t="s">
        <v>1073</v>
      </c>
      <c r="F504" s="35" t="str">
        <f t="shared" si="32"/>
        <v/>
      </c>
      <c r="G504" s="36" t="str">
        <f t="shared" si="33"/>
        <v>C</v>
      </c>
      <c r="H504" s="51">
        <f t="shared" si="35"/>
        <v>1</v>
      </c>
      <c r="I504" s="51" t="str">
        <f t="shared" si="35"/>
        <v/>
      </c>
      <c r="J504" s="51">
        <f t="shared" si="35"/>
        <v>1</v>
      </c>
      <c r="K504" s="37" t="s">
        <v>47</v>
      </c>
      <c r="L504" s="37"/>
      <c r="M504" s="37"/>
      <c r="N504" s="37"/>
      <c r="O504" s="37"/>
      <c r="P504" s="37"/>
      <c r="Q504" s="37"/>
      <c r="R504" s="37"/>
      <c r="S504" s="37" t="s">
        <v>47</v>
      </c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  <c r="AK504" s="37"/>
      <c r="AM504" s="38"/>
      <c r="AN504" s="38"/>
      <c r="AO504" s="38"/>
      <c r="AP504" s="38"/>
      <c r="AQ504" s="38"/>
      <c r="AR504" s="38"/>
      <c r="AS504" s="38"/>
      <c r="AT504" s="38"/>
      <c r="AU504" s="38"/>
      <c r="AV504" s="38"/>
      <c r="AW504" s="38"/>
      <c r="AX504" s="38"/>
      <c r="AY504" s="38"/>
      <c r="AZ504" s="38"/>
      <c r="BA504" s="38"/>
      <c r="BB504" s="38"/>
      <c r="BC504" s="38" t="s">
        <v>47</v>
      </c>
      <c r="BD504" s="38"/>
      <c r="BE504" s="77">
        <f t="shared" si="34"/>
        <v>1</v>
      </c>
      <c r="BF504" s="38"/>
    </row>
    <row r="505" spans="1:58" ht="22.5" hidden="1" customHeight="1">
      <c r="A505" s="33" t="str">
        <f>IF(OR(ISBLANK(E505),ISBLANK(C505)),"",IF(COUNTIF($E$8:E505,E505)&gt;1,"",(MAX($A$7:A504)+1)))</f>
        <v/>
      </c>
      <c r="B505" s="34">
        <f>IF(ISBLANK(C505),"",SUBTOTAL(3,$C$8:C505))</f>
        <v>44</v>
      </c>
      <c r="C505" s="80" t="s">
        <v>1086</v>
      </c>
      <c r="D505" s="52" t="s">
        <v>1087</v>
      </c>
      <c r="E505" s="50" t="s">
        <v>1073</v>
      </c>
      <c r="F505" s="35" t="str">
        <f t="shared" si="32"/>
        <v/>
      </c>
      <c r="G505" s="36" t="str">
        <f t="shared" si="33"/>
        <v>B</v>
      </c>
      <c r="H505" s="51">
        <f t="shared" si="35"/>
        <v>2</v>
      </c>
      <c r="I505" s="51">
        <f t="shared" si="35"/>
        <v>1</v>
      </c>
      <c r="J505" s="51" t="str">
        <f t="shared" si="35"/>
        <v/>
      </c>
      <c r="K505" s="37" t="s">
        <v>47</v>
      </c>
      <c r="L505" s="37"/>
      <c r="M505" s="37"/>
      <c r="N505" s="37"/>
      <c r="O505" s="37" t="s">
        <v>47</v>
      </c>
      <c r="P505" s="37"/>
      <c r="Q505" s="37" t="s">
        <v>47</v>
      </c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  <c r="AK505" s="37"/>
      <c r="AM505" s="38"/>
      <c r="AN505" s="38"/>
      <c r="AO505" s="38"/>
      <c r="AP505" s="38"/>
      <c r="AQ505" s="38"/>
      <c r="AR505" s="38"/>
      <c r="AS505" s="38" t="s">
        <v>47</v>
      </c>
      <c r="AT505" s="38"/>
      <c r="AU505" s="38"/>
      <c r="AV505" s="38"/>
      <c r="AW505" s="38"/>
      <c r="AX505" s="38"/>
      <c r="AY505" s="38"/>
      <c r="AZ505" s="38"/>
      <c r="BA505" s="38"/>
      <c r="BB505" s="38"/>
      <c r="BC505" s="38"/>
      <c r="BD505" s="38"/>
      <c r="BE505" s="77">
        <f t="shared" si="34"/>
        <v>1</v>
      </c>
      <c r="BF505" s="38"/>
    </row>
    <row r="506" spans="1:58" ht="22.5" hidden="1" customHeight="1">
      <c r="A506" s="33" t="str">
        <f>IF(OR(ISBLANK(E506),ISBLANK(C506)),"",IF(COUNTIF($E$8:E506,E506)&gt;1,"",(MAX($A$7:A505)+1)))</f>
        <v/>
      </c>
      <c r="B506" s="34">
        <f>IF(ISBLANK(C506),"",SUBTOTAL(3,$C$8:C506))</f>
        <v>44</v>
      </c>
      <c r="C506" s="80" t="s">
        <v>1088</v>
      </c>
      <c r="D506" s="52" t="s">
        <v>1089</v>
      </c>
      <c r="E506" s="50" t="s">
        <v>1073</v>
      </c>
      <c r="F506" s="35" t="str">
        <f t="shared" si="32"/>
        <v/>
      </c>
      <c r="G506" s="36" t="str">
        <f t="shared" si="33"/>
        <v>D</v>
      </c>
      <c r="H506" s="51" t="str">
        <f t="shared" si="35"/>
        <v/>
      </c>
      <c r="I506" s="51">
        <f t="shared" si="35"/>
        <v>1</v>
      </c>
      <c r="J506" s="51" t="str">
        <f t="shared" si="35"/>
        <v/>
      </c>
      <c r="K506" s="37"/>
      <c r="L506" s="37" t="s">
        <v>47</v>
      </c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  <c r="AK506" s="37"/>
      <c r="AM506" s="38"/>
      <c r="AN506" s="38"/>
      <c r="AO506" s="38"/>
      <c r="AP506" s="38"/>
      <c r="AQ506" s="38"/>
      <c r="AR506" s="38" t="s">
        <v>47</v>
      </c>
      <c r="AS506" s="38"/>
      <c r="AT506" s="38"/>
      <c r="AU506" s="38"/>
      <c r="AV506" s="38"/>
      <c r="AW506" s="38"/>
      <c r="AX506" s="38"/>
      <c r="AY506" s="38"/>
      <c r="AZ506" s="38"/>
      <c r="BA506" s="38"/>
      <c r="BB506" s="38"/>
      <c r="BC506" s="38"/>
      <c r="BD506" s="38"/>
      <c r="BE506" s="77">
        <f t="shared" si="34"/>
        <v>1</v>
      </c>
      <c r="BF506" s="38"/>
    </row>
    <row r="507" spans="1:58" ht="22.5" hidden="1" customHeight="1">
      <c r="A507" s="33" t="str">
        <f>IF(OR(ISBLANK(E507),ISBLANK(C507)),"",IF(COUNTIF($E$8:E507,E507)&gt;1,"",(MAX($A$7:A506)+1)))</f>
        <v/>
      </c>
      <c r="B507" s="34">
        <f>IF(ISBLANK(C507),"",SUBTOTAL(3,$C$8:C507))</f>
        <v>44</v>
      </c>
      <c r="C507" s="80" t="s">
        <v>1090</v>
      </c>
      <c r="D507" s="52" t="s">
        <v>1091</v>
      </c>
      <c r="E507" s="50" t="s">
        <v>1073</v>
      </c>
      <c r="F507" s="35" t="str">
        <f t="shared" si="32"/>
        <v/>
      </c>
      <c r="G507" s="36" t="str">
        <f t="shared" si="33"/>
        <v>C</v>
      </c>
      <c r="H507" s="51">
        <f t="shared" si="35"/>
        <v>1</v>
      </c>
      <c r="I507" s="51" t="str">
        <f t="shared" si="35"/>
        <v/>
      </c>
      <c r="J507" s="51">
        <f t="shared" si="35"/>
        <v>1</v>
      </c>
      <c r="K507" s="37"/>
      <c r="L507" s="37"/>
      <c r="M507" s="37" t="s">
        <v>47</v>
      </c>
      <c r="N507" s="37"/>
      <c r="O507" s="37"/>
      <c r="P507" s="37"/>
      <c r="Q507" s="37" t="s">
        <v>47</v>
      </c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M507" s="38"/>
      <c r="AN507" s="38"/>
      <c r="AO507" s="38"/>
      <c r="AP507" s="38"/>
      <c r="AQ507" s="38"/>
      <c r="AR507" s="38"/>
      <c r="AS507" s="38" t="s">
        <v>47</v>
      </c>
      <c r="AT507" s="38"/>
      <c r="AU507" s="38"/>
      <c r="AV507" s="38"/>
      <c r="AW507" s="38"/>
      <c r="AX507" s="38"/>
      <c r="AY507" s="38"/>
      <c r="AZ507" s="38"/>
      <c r="BA507" s="38"/>
      <c r="BB507" s="38"/>
      <c r="BC507" s="38"/>
      <c r="BD507" s="38"/>
      <c r="BE507" s="77">
        <f t="shared" si="34"/>
        <v>1</v>
      </c>
      <c r="BF507" s="38"/>
    </row>
    <row r="508" spans="1:58" ht="22.5" hidden="1" customHeight="1">
      <c r="A508" s="33" t="str">
        <f>IF(OR(ISBLANK(E508),ISBLANK(C508)),"",IF(COUNTIF($E$8:E508,E508)&gt;1,"",(MAX($A$7:A507)+1)))</f>
        <v/>
      </c>
      <c r="B508" s="34">
        <f>IF(ISBLANK(C508),"",SUBTOTAL(3,$C$8:C508))</f>
        <v>44</v>
      </c>
      <c r="C508" s="80" t="s">
        <v>1092</v>
      </c>
      <c r="D508" s="52" t="s">
        <v>1093</v>
      </c>
      <c r="E508" s="50" t="s">
        <v>1073</v>
      </c>
      <c r="F508" s="35" t="str">
        <f t="shared" si="32"/>
        <v/>
      </c>
      <c r="G508" s="36" t="str">
        <f t="shared" si="33"/>
        <v>C</v>
      </c>
      <c r="H508" s="51">
        <f t="shared" si="35"/>
        <v>1</v>
      </c>
      <c r="I508" s="51" t="str">
        <f t="shared" si="35"/>
        <v/>
      </c>
      <c r="J508" s="51" t="str">
        <f t="shared" si="35"/>
        <v/>
      </c>
      <c r="K508" s="37" t="s">
        <v>47</v>
      </c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M508" s="38"/>
      <c r="AN508" s="38"/>
      <c r="AO508" s="38"/>
      <c r="AP508" s="38"/>
      <c r="AQ508" s="38"/>
      <c r="AR508" s="38"/>
      <c r="AS508" s="38"/>
      <c r="AT508" s="38"/>
      <c r="AU508" s="38"/>
      <c r="AV508" s="38"/>
      <c r="AW508" s="38" t="s">
        <v>47</v>
      </c>
      <c r="AX508" s="38"/>
      <c r="AY508" s="38"/>
      <c r="AZ508" s="38"/>
      <c r="BA508" s="38"/>
      <c r="BB508" s="38"/>
      <c r="BC508" s="38"/>
      <c r="BD508" s="38"/>
      <c r="BE508" s="77">
        <f t="shared" si="34"/>
        <v>1</v>
      </c>
      <c r="BF508" s="38"/>
    </row>
    <row r="509" spans="1:58" ht="22.5" hidden="1" customHeight="1">
      <c r="A509" s="33" t="str">
        <f>IF(OR(ISBLANK(E509),ISBLANK(C509)),"",IF(COUNTIF($E$8:E509,E509)&gt;1,"",(MAX($A$7:A508)+1)))</f>
        <v/>
      </c>
      <c r="B509" s="34">
        <f>IF(ISBLANK(C509),"",SUBTOTAL(3,$C$8:C509))</f>
        <v>44</v>
      </c>
      <c r="C509" s="80" t="s">
        <v>1094</v>
      </c>
      <c r="D509" s="52" t="s">
        <v>1095</v>
      </c>
      <c r="E509" s="50" t="s">
        <v>1073</v>
      </c>
      <c r="F509" s="35" t="str">
        <f t="shared" si="32"/>
        <v/>
      </c>
      <c r="G509" s="36" t="str">
        <f t="shared" si="33"/>
        <v>C</v>
      </c>
      <c r="H509" s="51">
        <f t="shared" si="35"/>
        <v>1</v>
      </c>
      <c r="I509" s="51" t="str">
        <f t="shared" si="35"/>
        <v/>
      </c>
      <c r="J509" s="51" t="str">
        <f t="shared" si="35"/>
        <v/>
      </c>
      <c r="K509" s="37" t="s">
        <v>47</v>
      </c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  <c r="AK509" s="37"/>
      <c r="AM509" s="38"/>
      <c r="AN509" s="38"/>
      <c r="AO509" s="38"/>
      <c r="AP509" s="38"/>
      <c r="AQ509" s="38"/>
      <c r="AR509" s="38"/>
      <c r="AS509" s="38"/>
      <c r="AT509" s="38"/>
      <c r="AU509" s="38"/>
      <c r="AV509" s="38"/>
      <c r="AW509" s="38"/>
      <c r="AX509" s="38" t="s">
        <v>47</v>
      </c>
      <c r="AY509" s="38"/>
      <c r="AZ509" s="38"/>
      <c r="BA509" s="38"/>
      <c r="BB509" s="38"/>
      <c r="BC509" s="38"/>
      <c r="BD509" s="38"/>
      <c r="BE509" s="77">
        <f t="shared" si="34"/>
        <v>1</v>
      </c>
      <c r="BF509" s="38"/>
    </row>
    <row r="510" spans="1:58" ht="22.5" hidden="1" customHeight="1">
      <c r="A510" s="33" t="str">
        <f>IF(OR(ISBLANK(E510),ISBLANK(C510)),"",IF(COUNTIF($E$8:E510,E510)&gt;1,"",(MAX($A$7:A509)+1)))</f>
        <v/>
      </c>
      <c r="B510" s="34">
        <f>IF(ISBLANK(C510),"",SUBTOTAL(3,$C$8:C510))</f>
        <v>44</v>
      </c>
      <c r="C510" s="80" t="s">
        <v>1096</v>
      </c>
      <c r="D510" s="52" t="s">
        <v>1097</v>
      </c>
      <c r="E510" s="50" t="s">
        <v>1073</v>
      </c>
      <c r="F510" s="35" t="str">
        <f t="shared" si="32"/>
        <v/>
      </c>
      <c r="G510" s="36" t="str">
        <f t="shared" si="33"/>
        <v>C</v>
      </c>
      <c r="H510" s="51">
        <f t="shared" si="35"/>
        <v>1</v>
      </c>
      <c r="I510" s="51">
        <f t="shared" si="35"/>
        <v>1</v>
      </c>
      <c r="J510" s="51" t="str">
        <f t="shared" si="35"/>
        <v/>
      </c>
      <c r="K510" s="37"/>
      <c r="L510" s="37" t="s">
        <v>47</v>
      </c>
      <c r="M510" s="37"/>
      <c r="N510" s="37"/>
      <c r="O510" s="37"/>
      <c r="P510" s="37"/>
      <c r="Q510" s="37" t="s">
        <v>47</v>
      </c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7"/>
      <c r="AK510" s="37"/>
      <c r="AM510" s="38"/>
      <c r="AN510" s="38"/>
      <c r="AO510" s="38"/>
      <c r="AP510" s="38"/>
      <c r="AQ510" s="38"/>
      <c r="AR510" s="38"/>
      <c r="AS510" s="38" t="s">
        <v>47</v>
      </c>
      <c r="AT510" s="38"/>
      <c r="AU510" s="38"/>
      <c r="AV510" s="38"/>
      <c r="AW510" s="38"/>
      <c r="AX510" s="38"/>
      <c r="AY510" s="38"/>
      <c r="AZ510" s="38"/>
      <c r="BA510" s="38"/>
      <c r="BB510" s="38"/>
      <c r="BC510" s="38"/>
      <c r="BD510" s="38"/>
      <c r="BE510" s="77">
        <f t="shared" si="34"/>
        <v>1</v>
      </c>
      <c r="BF510" s="38"/>
    </row>
    <row r="511" spans="1:58" ht="22.5" hidden="1" customHeight="1">
      <c r="A511" s="33" t="str">
        <f>IF(OR(ISBLANK(E511),ISBLANK(C511)),"",IF(COUNTIF($E$8:E511,E511)&gt;1,"",(MAX($A$7:A510)+1)))</f>
        <v/>
      </c>
      <c r="B511" s="34">
        <f>IF(ISBLANK(C511),"",SUBTOTAL(3,$C$8:C511))</f>
        <v>44</v>
      </c>
      <c r="C511" s="80" t="s">
        <v>1098</v>
      </c>
      <c r="D511" s="52" t="s">
        <v>1099</v>
      </c>
      <c r="E511" s="50" t="s">
        <v>1073</v>
      </c>
      <c r="F511" s="35" t="str">
        <f t="shared" si="32"/>
        <v/>
      </c>
      <c r="G511" s="36" t="str">
        <f t="shared" si="33"/>
        <v>B</v>
      </c>
      <c r="H511" s="51">
        <f t="shared" si="35"/>
        <v>2</v>
      </c>
      <c r="I511" s="51" t="str">
        <f t="shared" si="35"/>
        <v/>
      </c>
      <c r="J511" s="51" t="str">
        <f t="shared" si="35"/>
        <v/>
      </c>
      <c r="K511" s="37" t="s">
        <v>47</v>
      </c>
      <c r="L511" s="37"/>
      <c r="M511" s="37"/>
      <c r="N511" s="37"/>
      <c r="O511" s="37"/>
      <c r="P511" s="37"/>
      <c r="Q511" s="37" t="s">
        <v>47</v>
      </c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  <c r="AJ511" s="37"/>
      <c r="AK511" s="37"/>
      <c r="AM511" s="38"/>
      <c r="AN511" s="38"/>
      <c r="AO511" s="38"/>
      <c r="AP511" s="38"/>
      <c r="AQ511" s="38"/>
      <c r="AR511" s="38"/>
      <c r="AS511" s="38"/>
      <c r="AT511" s="38"/>
      <c r="AU511" s="38"/>
      <c r="AV511" s="38"/>
      <c r="AW511" s="38"/>
      <c r="AX511" s="38"/>
      <c r="AY511" s="38" t="s">
        <v>47</v>
      </c>
      <c r="AZ511" s="38"/>
      <c r="BA511" s="38"/>
      <c r="BB511" s="38"/>
      <c r="BC511" s="38"/>
      <c r="BD511" s="38"/>
      <c r="BE511" s="77">
        <f t="shared" si="34"/>
        <v>1</v>
      </c>
      <c r="BF511" s="38"/>
    </row>
    <row r="512" spans="1:58" ht="22.5" hidden="1" customHeight="1">
      <c r="A512" s="33" t="str">
        <f>IF(OR(ISBLANK(E512),ISBLANK(C512)),"",IF(COUNTIF($E$8:E512,E512)&gt;1,"",(MAX($A$7:A511)+1)))</f>
        <v/>
      </c>
      <c r="B512" s="34">
        <f>IF(ISBLANK(C512),"",SUBTOTAL(3,$C$8:C512))</f>
        <v>44</v>
      </c>
      <c r="C512" s="80" t="s">
        <v>1100</v>
      </c>
      <c r="D512" s="52" t="s">
        <v>1101</v>
      </c>
      <c r="E512" s="50" t="s">
        <v>1073</v>
      </c>
      <c r="F512" s="35" t="str">
        <f t="shared" si="32"/>
        <v/>
      </c>
      <c r="G512" s="36" t="str">
        <f t="shared" si="33"/>
        <v>C</v>
      </c>
      <c r="H512" s="51" t="str">
        <f t="shared" si="35"/>
        <v/>
      </c>
      <c r="I512" s="51">
        <f t="shared" si="35"/>
        <v>2</v>
      </c>
      <c r="J512" s="51" t="str">
        <f t="shared" si="35"/>
        <v/>
      </c>
      <c r="K512" s="37"/>
      <c r="L512" s="37" t="s">
        <v>47</v>
      </c>
      <c r="M512" s="37"/>
      <c r="N512" s="37"/>
      <c r="O512" s="37"/>
      <c r="P512" s="37"/>
      <c r="Q512" s="37"/>
      <c r="R512" s="37" t="s">
        <v>47</v>
      </c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M512" s="38"/>
      <c r="AN512" s="38"/>
      <c r="AO512" s="38"/>
      <c r="AP512" s="38"/>
      <c r="AQ512" s="38"/>
      <c r="AR512" s="38" t="s">
        <v>47</v>
      </c>
      <c r="AS512" s="38"/>
      <c r="AT512" s="38"/>
      <c r="AU512" s="38"/>
      <c r="AV512" s="38"/>
      <c r="AW512" s="38"/>
      <c r="AX512" s="38"/>
      <c r="AY512" s="38"/>
      <c r="AZ512" s="38"/>
      <c r="BA512" s="38"/>
      <c r="BB512" s="38"/>
      <c r="BC512" s="38"/>
      <c r="BD512" s="38"/>
      <c r="BE512" s="77">
        <f t="shared" si="34"/>
        <v>1</v>
      </c>
      <c r="BF512" s="38"/>
    </row>
    <row r="513" spans="1:58" ht="22.5" hidden="1" customHeight="1">
      <c r="A513" s="33" t="str">
        <f>IF(OR(ISBLANK(E513),ISBLANK(C513)),"",IF(COUNTIF($E$8:E513,E513)&gt;1,"",(MAX($A$7:A512)+1)))</f>
        <v/>
      </c>
      <c r="B513" s="34">
        <f>IF(ISBLANK(C513),"",SUBTOTAL(3,$C$8:C513))</f>
        <v>44</v>
      </c>
      <c r="C513" s="80" t="s">
        <v>1102</v>
      </c>
      <c r="D513" s="52" t="s">
        <v>1103</v>
      </c>
      <c r="E513" s="50" t="s">
        <v>1073</v>
      </c>
      <c r="F513" s="35" t="str">
        <f t="shared" si="32"/>
        <v/>
      </c>
      <c r="G513" s="36" t="str">
        <f t="shared" si="33"/>
        <v>C</v>
      </c>
      <c r="H513" s="51">
        <f t="shared" si="35"/>
        <v>1</v>
      </c>
      <c r="I513" s="51" t="str">
        <f t="shared" si="35"/>
        <v/>
      </c>
      <c r="J513" s="51">
        <f t="shared" si="35"/>
        <v>1</v>
      </c>
      <c r="K513" s="37"/>
      <c r="L513" s="37"/>
      <c r="M513" s="37" t="s">
        <v>47</v>
      </c>
      <c r="N513" s="37"/>
      <c r="O513" s="37"/>
      <c r="P513" s="37"/>
      <c r="Q513" s="37" t="s">
        <v>47</v>
      </c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7"/>
      <c r="AK513" s="37"/>
      <c r="AM513" s="38"/>
      <c r="AN513" s="38"/>
      <c r="AO513" s="38"/>
      <c r="AP513" s="38"/>
      <c r="AQ513" s="38"/>
      <c r="AR513" s="38"/>
      <c r="AS513" s="38" t="s">
        <v>47</v>
      </c>
      <c r="AT513" s="38"/>
      <c r="AU513" s="38"/>
      <c r="AV513" s="38"/>
      <c r="AW513" s="38"/>
      <c r="AX513" s="38"/>
      <c r="AY513" s="38"/>
      <c r="AZ513" s="38"/>
      <c r="BA513" s="38"/>
      <c r="BB513" s="38"/>
      <c r="BC513" s="38"/>
      <c r="BD513" s="38"/>
      <c r="BE513" s="77">
        <f t="shared" si="34"/>
        <v>1</v>
      </c>
      <c r="BF513" s="38"/>
    </row>
    <row r="514" spans="1:58" ht="22.5" hidden="1" customHeight="1">
      <c r="A514" s="33" t="str">
        <f>IF(OR(ISBLANK(E514),ISBLANK(C514)),"",IF(COUNTIF($E$8:E514,E514)&gt;1,"",(MAX($A$7:A513)+1)))</f>
        <v/>
      </c>
      <c r="B514" s="34">
        <f>IF(ISBLANK(C514),"",SUBTOTAL(3,$C$8:C514))</f>
        <v>44</v>
      </c>
      <c r="C514" s="80" t="s">
        <v>1104</v>
      </c>
      <c r="D514" s="52" t="s">
        <v>1105</v>
      </c>
      <c r="E514" s="50" t="s">
        <v>1073</v>
      </c>
      <c r="F514" s="35" t="str">
        <f t="shared" si="32"/>
        <v/>
      </c>
      <c r="G514" s="36" t="str">
        <f t="shared" si="33"/>
        <v>C</v>
      </c>
      <c r="H514" s="51">
        <f t="shared" si="35"/>
        <v>1</v>
      </c>
      <c r="I514" s="51" t="str">
        <f t="shared" si="35"/>
        <v/>
      </c>
      <c r="J514" s="51" t="str">
        <f t="shared" si="35"/>
        <v/>
      </c>
      <c r="K514" s="37" t="s">
        <v>47</v>
      </c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7"/>
      <c r="AK514" s="37"/>
      <c r="AM514" s="38"/>
      <c r="AN514" s="38"/>
      <c r="AO514" s="38"/>
      <c r="AP514" s="38"/>
      <c r="AQ514" s="38"/>
      <c r="AR514" s="38"/>
      <c r="AS514" s="38"/>
      <c r="AT514" s="38"/>
      <c r="AU514" s="38"/>
      <c r="AV514" s="38"/>
      <c r="AW514" s="38" t="s">
        <v>47</v>
      </c>
      <c r="AX514" s="38"/>
      <c r="AY514" s="38"/>
      <c r="AZ514" s="38"/>
      <c r="BA514" s="38"/>
      <c r="BB514" s="38"/>
      <c r="BC514" s="38"/>
      <c r="BD514" s="38"/>
      <c r="BE514" s="77">
        <f t="shared" si="34"/>
        <v>1</v>
      </c>
      <c r="BF514" s="38"/>
    </row>
    <row r="515" spans="1:58" ht="22.5" hidden="1" customHeight="1">
      <c r="A515" s="33" t="str">
        <f>IF(OR(ISBLANK(E515),ISBLANK(C515)),"",IF(COUNTIF($E$8:E515,E515)&gt;1,"",(MAX($A$7:A514)+1)))</f>
        <v/>
      </c>
      <c r="B515" s="34">
        <f>IF(ISBLANK(C515),"",SUBTOTAL(3,$C$8:C515))</f>
        <v>44</v>
      </c>
      <c r="C515" s="80" t="s">
        <v>1106</v>
      </c>
      <c r="D515" s="52" t="s">
        <v>1107</v>
      </c>
      <c r="E515" s="50" t="s">
        <v>1073</v>
      </c>
      <c r="F515" s="35" t="str">
        <f t="shared" si="32"/>
        <v/>
      </c>
      <c r="G515" s="36" t="str">
        <f t="shared" si="33"/>
        <v>D</v>
      </c>
      <c r="H515" s="51" t="str">
        <f t="shared" si="35"/>
        <v/>
      </c>
      <c r="I515" s="51" t="str">
        <f t="shared" si="35"/>
        <v/>
      </c>
      <c r="J515" s="51">
        <f t="shared" si="35"/>
        <v>2</v>
      </c>
      <c r="K515" s="37"/>
      <c r="L515" s="37"/>
      <c r="M515" s="37" t="s">
        <v>47</v>
      </c>
      <c r="N515" s="37"/>
      <c r="O515" s="37"/>
      <c r="P515" s="37" t="s">
        <v>47</v>
      </c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  <c r="AK515" s="37"/>
      <c r="AM515" s="38"/>
      <c r="AN515" s="38" t="s">
        <v>47</v>
      </c>
      <c r="AO515" s="38"/>
      <c r="AP515" s="38"/>
      <c r="AQ515" s="38"/>
      <c r="AR515" s="38"/>
      <c r="AS515" s="38"/>
      <c r="AT515" s="38"/>
      <c r="AU515" s="38"/>
      <c r="AV515" s="38"/>
      <c r="AW515" s="38"/>
      <c r="AX515" s="38"/>
      <c r="AY515" s="38"/>
      <c r="AZ515" s="38"/>
      <c r="BA515" s="38"/>
      <c r="BB515" s="38"/>
      <c r="BC515" s="38"/>
      <c r="BD515" s="38"/>
      <c r="BE515" s="77">
        <f t="shared" si="34"/>
        <v>1</v>
      </c>
      <c r="BF515" s="38"/>
    </row>
    <row r="516" spans="1:58" ht="22.5" hidden="1" customHeight="1">
      <c r="A516" s="33" t="str">
        <f>IF(OR(ISBLANK(E516),ISBLANK(C516)),"",IF(COUNTIF($E$8:E516,E516)&gt;1,"",(MAX($A$7:A515)+1)))</f>
        <v/>
      </c>
      <c r="B516" s="34">
        <f>IF(ISBLANK(C516),"",SUBTOTAL(3,$C$8:C516))</f>
        <v>44</v>
      </c>
      <c r="C516" s="80" t="s">
        <v>1108</v>
      </c>
      <c r="D516" s="52" t="s">
        <v>1109</v>
      </c>
      <c r="E516" s="50" t="s">
        <v>1073</v>
      </c>
      <c r="F516" s="35" t="str">
        <f t="shared" si="32"/>
        <v/>
      </c>
      <c r="G516" s="36" t="str">
        <f t="shared" si="33"/>
        <v>B</v>
      </c>
      <c r="H516" s="51">
        <f t="shared" si="35"/>
        <v>2</v>
      </c>
      <c r="I516" s="51">
        <f t="shared" si="35"/>
        <v>1</v>
      </c>
      <c r="J516" s="51" t="str">
        <f t="shared" si="35"/>
        <v/>
      </c>
      <c r="K516" s="37" t="s">
        <v>47</v>
      </c>
      <c r="L516" s="37"/>
      <c r="M516" s="37"/>
      <c r="N516" s="37" t="s">
        <v>47</v>
      </c>
      <c r="O516" s="37"/>
      <c r="P516" s="37"/>
      <c r="Q516" s="37"/>
      <c r="R516" s="37"/>
      <c r="S516" s="37"/>
      <c r="T516" s="37"/>
      <c r="U516" s="37" t="s">
        <v>47</v>
      </c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M516" s="38"/>
      <c r="AN516" s="38"/>
      <c r="AO516" s="38"/>
      <c r="AP516" s="38"/>
      <c r="AQ516" s="38"/>
      <c r="AR516" s="38"/>
      <c r="AS516" s="38" t="s">
        <v>47</v>
      </c>
      <c r="AT516" s="38"/>
      <c r="AU516" s="38"/>
      <c r="AV516" s="38"/>
      <c r="AW516" s="38"/>
      <c r="AX516" s="38"/>
      <c r="AY516" s="38"/>
      <c r="AZ516" s="38"/>
      <c r="BA516" s="38"/>
      <c r="BB516" s="38"/>
      <c r="BC516" s="38"/>
      <c r="BD516" s="38"/>
      <c r="BE516" s="77">
        <f t="shared" si="34"/>
        <v>1</v>
      </c>
      <c r="BF516" s="38"/>
    </row>
    <row r="517" spans="1:58" ht="22.5" hidden="1" customHeight="1">
      <c r="A517" s="33" t="str">
        <f>IF(OR(ISBLANK(E517),ISBLANK(C517)),"",IF(COUNTIF($E$8:E517,E517)&gt;1,"",(MAX($A$7:A516)+1)))</f>
        <v/>
      </c>
      <c r="B517" s="34">
        <f>IF(ISBLANK(C517),"",SUBTOTAL(3,$C$8:C517))</f>
        <v>44</v>
      </c>
      <c r="C517" s="80" t="s">
        <v>1110</v>
      </c>
      <c r="D517" s="52" t="s">
        <v>1111</v>
      </c>
      <c r="E517" s="50" t="s">
        <v>1073</v>
      </c>
      <c r="F517" s="35" t="str">
        <f t="shared" si="32"/>
        <v/>
      </c>
      <c r="G517" s="36" t="str">
        <f t="shared" si="33"/>
        <v>D</v>
      </c>
      <c r="H517" s="51" t="str">
        <f t="shared" si="35"/>
        <v/>
      </c>
      <c r="I517" s="51" t="str">
        <f t="shared" si="35"/>
        <v/>
      </c>
      <c r="J517" s="51">
        <f t="shared" si="35"/>
        <v>1</v>
      </c>
      <c r="K517" s="37"/>
      <c r="L517" s="37"/>
      <c r="M517" s="37" t="s">
        <v>47</v>
      </c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7"/>
      <c r="AK517" s="37"/>
      <c r="AM517" s="38"/>
      <c r="AN517" s="38" t="s">
        <v>47</v>
      </c>
      <c r="AO517" s="38"/>
      <c r="AP517" s="38"/>
      <c r="AQ517" s="38"/>
      <c r="AR517" s="38"/>
      <c r="AS517" s="38"/>
      <c r="AT517" s="38"/>
      <c r="AU517" s="38"/>
      <c r="AV517" s="38"/>
      <c r="AW517" s="38"/>
      <c r="AX517" s="38"/>
      <c r="AY517" s="38"/>
      <c r="AZ517" s="38"/>
      <c r="BA517" s="38"/>
      <c r="BB517" s="38"/>
      <c r="BC517" s="38"/>
      <c r="BD517" s="38"/>
      <c r="BE517" s="77">
        <f t="shared" si="34"/>
        <v>1</v>
      </c>
      <c r="BF517" s="38"/>
    </row>
    <row r="518" spans="1:58" ht="22.5" hidden="1" customHeight="1">
      <c r="A518" s="33" t="str">
        <f>IF(OR(ISBLANK(E518),ISBLANK(C518)),"",IF(COUNTIF($E$8:E518,E518)&gt;1,"",(MAX($A$7:A517)+1)))</f>
        <v/>
      </c>
      <c r="B518" s="34">
        <f>IF(ISBLANK(C518),"",SUBTOTAL(3,$C$8:C518))</f>
        <v>44</v>
      </c>
      <c r="C518" s="80" t="s">
        <v>1112</v>
      </c>
      <c r="D518" s="52" t="s">
        <v>1113</v>
      </c>
      <c r="E518" s="50" t="s">
        <v>1073</v>
      </c>
      <c r="F518" s="35" t="str">
        <f t="shared" si="32"/>
        <v/>
      </c>
      <c r="G518" s="36" t="str">
        <f t="shared" si="33"/>
        <v>C</v>
      </c>
      <c r="H518" s="51">
        <f t="shared" si="35"/>
        <v>1</v>
      </c>
      <c r="I518" s="51">
        <f t="shared" si="35"/>
        <v>1</v>
      </c>
      <c r="J518" s="51" t="str">
        <f t="shared" si="35"/>
        <v/>
      </c>
      <c r="K518" s="37" t="s">
        <v>47</v>
      </c>
      <c r="L518" s="37"/>
      <c r="M518" s="37"/>
      <c r="N518" s="37"/>
      <c r="O518" s="37" t="s">
        <v>47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M518" s="38"/>
      <c r="AN518" s="38"/>
      <c r="AO518" s="38"/>
      <c r="AP518" s="38"/>
      <c r="AQ518" s="38"/>
      <c r="AR518" s="38"/>
      <c r="AS518" s="38"/>
      <c r="AT518" s="38"/>
      <c r="AU518" s="38"/>
      <c r="AV518" s="38"/>
      <c r="AW518" s="38"/>
      <c r="AX518" s="38"/>
      <c r="AY518" s="38"/>
      <c r="AZ518" s="38" t="s">
        <v>47</v>
      </c>
      <c r="BA518" s="38"/>
      <c r="BB518" s="38"/>
      <c r="BC518" s="38"/>
      <c r="BD518" s="38"/>
      <c r="BE518" s="77">
        <f t="shared" si="34"/>
        <v>1</v>
      </c>
      <c r="BF518" s="38"/>
    </row>
    <row r="519" spans="1:58" ht="22.5" hidden="1" customHeight="1">
      <c r="A519" s="33" t="str">
        <f>IF(OR(ISBLANK(E519),ISBLANK(C519)),"",IF(COUNTIF($E$8:E519,E519)&gt;1,"",(MAX($A$7:A518)+1)))</f>
        <v/>
      </c>
      <c r="B519" s="34">
        <f>IF(ISBLANK(C519),"",SUBTOTAL(3,$C$8:C519))</f>
        <v>44</v>
      </c>
      <c r="C519" s="80" t="s">
        <v>1114</v>
      </c>
      <c r="D519" s="52" t="s">
        <v>1115</v>
      </c>
      <c r="E519" s="50" t="s">
        <v>1073</v>
      </c>
      <c r="F519" s="35" t="str">
        <f t="shared" si="32"/>
        <v/>
      </c>
      <c r="G519" s="36" t="str">
        <f t="shared" si="33"/>
        <v>C</v>
      </c>
      <c r="H519" s="51">
        <f t="shared" si="35"/>
        <v>1</v>
      </c>
      <c r="I519" s="51" t="str">
        <f t="shared" si="35"/>
        <v/>
      </c>
      <c r="J519" s="51" t="str">
        <f t="shared" si="35"/>
        <v/>
      </c>
      <c r="K519" s="37" t="s">
        <v>47</v>
      </c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7"/>
      <c r="AK519" s="37"/>
      <c r="AM519" s="38" t="s">
        <v>47</v>
      </c>
      <c r="AN519" s="38"/>
      <c r="AO519" s="38"/>
      <c r="AP519" s="38"/>
      <c r="AQ519" s="38"/>
      <c r="AR519" s="38"/>
      <c r="AS519" s="38"/>
      <c r="AT519" s="38"/>
      <c r="AU519" s="38"/>
      <c r="AV519" s="38"/>
      <c r="AW519" s="38"/>
      <c r="AX519" s="38"/>
      <c r="AY519" s="38"/>
      <c r="AZ519" s="38"/>
      <c r="BA519" s="38"/>
      <c r="BB519" s="38"/>
      <c r="BC519" s="38"/>
      <c r="BD519" s="38"/>
      <c r="BE519" s="77">
        <f t="shared" si="34"/>
        <v>1</v>
      </c>
      <c r="BF519" s="38"/>
    </row>
    <row r="520" spans="1:58" ht="22.5" hidden="1" customHeight="1">
      <c r="A520" s="33" t="str">
        <f>IF(OR(ISBLANK(E520),ISBLANK(C520)),"",IF(COUNTIF($E$8:E520,E520)&gt;1,"",(MAX($A$7:A519)+1)))</f>
        <v/>
      </c>
      <c r="B520" s="34">
        <f>IF(ISBLANK(C520),"",SUBTOTAL(3,$C$8:C520))</f>
        <v>44</v>
      </c>
      <c r="C520" s="80" t="s">
        <v>1116</v>
      </c>
      <c r="D520" s="52" t="s">
        <v>1117</v>
      </c>
      <c r="E520" s="50" t="s">
        <v>1073</v>
      </c>
      <c r="F520" s="35" t="str">
        <f t="shared" ref="F520:F583" si="36">IFERROR(IF(OR(ISBLANK($C520),B520=""),"",INDEX(Luonggio,MATCH($C520,MaNVLuong,0))),"")</f>
        <v/>
      </c>
      <c r="G520" s="36" t="str">
        <f t="shared" si="33"/>
        <v>D</v>
      </c>
      <c r="H520" s="51" t="str">
        <f t="shared" si="35"/>
        <v/>
      </c>
      <c r="I520" s="51">
        <f t="shared" si="35"/>
        <v>1</v>
      </c>
      <c r="J520" s="51" t="str">
        <f t="shared" si="35"/>
        <v/>
      </c>
      <c r="K520" s="37"/>
      <c r="L520" s="37" t="s">
        <v>47</v>
      </c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M520" s="38"/>
      <c r="AN520" s="38"/>
      <c r="AO520" s="38"/>
      <c r="AP520" s="38"/>
      <c r="AQ520" s="38"/>
      <c r="AR520" s="38"/>
      <c r="AS520" s="38" t="s">
        <v>47</v>
      </c>
      <c r="AT520" s="38"/>
      <c r="AU520" s="38"/>
      <c r="AV520" s="38"/>
      <c r="AW520" s="38"/>
      <c r="AX520" s="38"/>
      <c r="AY520" s="38"/>
      <c r="AZ520" s="38"/>
      <c r="BA520" s="38"/>
      <c r="BB520" s="38"/>
      <c r="BC520" s="38"/>
      <c r="BD520" s="38"/>
      <c r="BE520" s="77">
        <f t="shared" si="34"/>
        <v>1</v>
      </c>
      <c r="BF520" s="38"/>
    </row>
    <row r="521" spans="1:58" ht="22.5" hidden="1" customHeight="1">
      <c r="A521" s="33" t="str">
        <f>IF(OR(ISBLANK(E521),ISBLANK(C521)),"",IF(COUNTIF($E$8:E521,E521)&gt;1,"",(MAX($A$7:A520)+1)))</f>
        <v/>
      </c>
      <c r="B521" s="34">
        <f>IF(ISBLANK(C521),"",SUBTOTAL(3,$C$8:C521))</f>
        <v>44</v>
      </c>
      <c r="C521" s="80" t="s">
        <v>1118</v>
      </c>
      <c r="D521" s="52" t="s">
        <v>1119</v>
      </c>
      <c r="E521" s="50" t="s">
        <v>1073</v>
      </c>
      <c r="F521" s="35" t="str">
        <f t="shared" si="36"/>
        <v/>
      </c>
      <c r="G521" s="36" t="str">
        <f t="shared" ref="G521:G584" si="37">IF(COUNTIF(H521:J521,"&gt;0")=0,"",IF(AND(OR(OR(SUM(H521)&gt;=2)),SUM(H521:J521)&gt;=4,OR(OR(SUM(I521)&gt;=1))),"A",IF(OR(OR(SUM(H521)&gt;=3)),"A",IF(AND(SUM(I521)&gt;=2,SUM(H521)=1),"B",IF(AND(SUM(I521)&gt;=1,SUM(H521)=2),"B",IF(H521=2,"B",IF(SUM(I521)&gt;=2,"C",IF(H521=1,"C",IF(AND(H521=1,I521=1),"C",IF(AND(SUM(H521:I521)=0,SUM(J521)&lt;=1),"D","D"))))))))))</f>
        <v>C</v>
      </c>
      <c r="H521" s="51">
        <f t="shared" si="35"/>
        <v>1</v>
      </c>
      <c r="I521" s="51">
        <f t="shared" si="35"/>
        <v>1</v>
      </c>
      <c r="J521" s="51">
        <f t="shared" si="35"/>
        <v>1</v>
      </c>
      <c r="K521" s="37" t="s">
        <v>47</v>
      </c>
      <c r="L521" s="37"/>
      <c r="M521" s="37"/>
      <c r="N521" s="37"/>
      <c r="O521" s="37"/>
      <c r="P521" s="37" t="s">
        <v>47</v>
      </c>
      <c r="Q521" s="37"/>
      <c r="R521" s="37"/>
      <c r="S521" s="37"/>
      <c r="T521" s="37"/>
      <c r="U521" s="37" t="s">
        <v>47</v>
      </c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M521" s="38"/>
      <c r="AN521" s="38"/>
      <c r="AO521" s="38"/>
      <c r="AP521" s="38"/>
      <c r="AQ521" s="38"/>
      <c r="AR521" s="38"/>
      <c r="AS521" s="38"/>
      <c r="AT521" s="38"/>
      <c r="AU521" s="38"/>
      <c r="AV521" s="38"/>
      <c r="AW521" s="38"/>
      <c r="AX521" s="38"/>
      <c r="AY521" s="38"/>
      <c r="AZ521" s="38"/>
      <c r="BA521" s="38"/>
      <c r="BB521" s="38"/>
      <c r="BC521" s="38"/>
      <c r="BD521" s="38" t="s">
        <v>47</v>
      </c>
      <c r="BE521" s="77">
        <f t="shared" ref="BE521:BE584" si="38">COUNTIF(AM521:BD521,"X")</f>
        <v>1</v>
      </c>
      <c r="BF521" s="38"/>
    </row>
    <row r="522" spans="1:58" ht="22.5" hidden="1" customHeight="1">
      <c r="A522" s="33" t="str">
        <f>IF(OR(ISBLANK(E522),ISBLANK(C522)),"",IF(COUNTIF($E$8:E522,E522)&gt;1,"",(MAX($A$7:A521)+1)))</f>
        <v/>
      </c>
      <c r="B522" s="34">
        <f>IF(ISBLANK(C522),"",SUBTOTAL(3,$C$8:C522))</f>
        <v>44</v>
      </c>
      <c r="C522" s="80" t="s">
        <v>1120</v>
      </c>
      <c r="D522" s="52" t="s">
        <v>1121</v>
      </c>
      <c r="E522" s="50" t="s">
        <v>1073</v>
      </c>
      <c r="F522" s="35" t="str">
        <f t="shared" si="36"/>
        <v/>
      </c>
      <c r="G522" s="36" t="str">
        <f t="shared" si="37"/>
        <v>B</v>
      </c>
      <c r="H522" s="51">
        <f t="shared" si="35"/>
        <v>1</v>
      </c>
      <c r="I522" s="51">
        <f t="shared" si="35"/>
        <v>2</v>
      </c>
      <c r="J522" s="51" t="str">
        <f t="shared" si="35"/>
        <v/>
      </c>
      <c r="K522" s="37"/>
      <c r="L522" s="37" t="s">
        <v>47</v>
      </c>
      <c r="M522" s="37"/>
      <c r="N522" s="37"/>
      <c r="O522" s="37" t="s">
        <v>47</v>
      </c>
      <c r="P522" s="37"/>
      <c r="Q522" s="37" t="s">
        <v>47</v>
      </c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M522" s="38"/>
      <c r="AN522" s="38"/>
      <c r="AO522" s="38"/>
      <c r="AP522" s="38"/>
      <c r="AQ522" s="38"/>
      <c r="AR522" s="38"/>
      <c r="AS522" s="38" t="s">
        <v>47</v>
      </c>
      <c r="AT522" s="38"/>
      <c r="AU522" s="38"/>
      <c r="AV522" s="38"/>
      <c r="AW522" s="38"/>
      <c r="AX522" s="38"/>
      <c r="AY522" s="38"/>
      <c r="AZ522" s="38"/>
      <c r="BA522" s="38"/>
      <c r="BB522" s="38"/>
      <c r="BC522" s="38"/>
      <c r="BD522" s="38"/>
      <c r="BE522" s="77">
        <f t="shared" si="38"/>
        <v>1</v>
      </c>
      <c r="BF522" s="38"/>
    </row>
    <row r="523" spans="1:58" ht="22.5" hidden="1" customHeight="1">
      <c r="A523" s="33" t="str">
        <f>IF(OR(ISBLANK(E523),ISBLANK(C523)),"",IF(COUNTIF($E$8:E523,E523)&gt;1,"",(MAX($A$7:A522)+1)))</f>
        <v/>
      </c>
      <c r="B523" s="34">
        <f>IF(ISBLANK(C523),"",SUBTOTAL(3,$C$8:C523))</f>
        <v>44</v>
      </c>
      <c r="C523" s="80" t="s">
        <v>1122</v>
      </c>
      <c r="D523" s="52" t="s">
        <v>1123</v>
      </c>
      <c r="E523" s="50" t="s">
        <v>1073</v>
      </c>
      <c r="F523" s="35" t="str">
        <f t="shared" si="36"/>
        <v/>
      </c>
      <c r="G523" s="36" t="str">
        <f t="shared" si="37"/>
        <v>B</v>
      </c>
      <c r="H523" s="51">
        <f t="shared" si="35"/>
        <v>2</v>
      </c>
      <c r="I523" s="51">
        <f t="shared" si="35"/>
        <v>1</v>
      </c>
      <c r="J523" s="51" t="str">
        <f t="shared" si="35"/>
        <v/>
      </c>
      <c r="K523" s="37" t="s">
        <v>47</v>
      </c>
      <c r="L523" s="37"/>
      <c r="M523" s="37"/>
      <c r="N523" s="37" t="s">
        <v>47</v>
      </c>
      <c r="O523" s="37"/>
      <c r="P523" s="37"/>
      <c r="Q523" s="37"/>
      <c r="R523" s="37"/>
      <c r="S523" s="37"/>
      <c r="T523" s="37"/>
      <c r="U523" s="37" t="s">
        <v>47</v>
      </c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  <c r="AK523" s="37"/>
      <c r="AM523" s="38"/>
      <c r="AN523" s="38"/>
      <c r="AO523" s="38"/>
      <c r="AP523" s="38"/>
      <c r="AQ523" s="38"/>
      <c r="AR523" s="38"/>
      <c r="AS523" s="38"/>
      <c r="AT523" s="38"/>
      <c r="AU523" s="38"/>
      <c r="AV523" s="38"/>
      <c r="AW523" s="38"/>
      <c r="AX523" s="38"/>
      <c r="AY523" s="38"/>
      <c r="AZ523" s="38"/>
      <c r="BA523" s="38"/>
      <c r="BB523" s="38" t="s">
        <v>47</v>
      </c>
      <c r="BC523" s="38"/>
      <c r="BD523" s="38"/>
      <c r="BE523" s="77">
        <f t="shared" si="38"/>
        <v>1</v>
      </c>
      <c r="BF523" s="38"/>
    </row>
    <row r="524" spans="1:58" ht="22.5" hidden="1" customHeight="1">
      <c r="A524" s="33" t="str">
        <f>IF(OR(ISBLANK(E524),ISBLANK(C524)),"",IF(COUNTIF($E$8:E524,E524)&gt;1,"",(MAX($A$7:A523)+1)))</f>
        <v/>
      </c>
      <c r="B524" s="34">
        <f>IF(ISBLANK(C524),"",SUBTOTAL(3,$C$8:C524))</f>
        <v>44</v>
      </c>
      <c r="C524" s="80" t="s">
        <v>1124</v>
      </c>
      <c r="D524" s="52" t="s">
        <v>1125</v>
      </c>
      <c r="E524" s="50" t="s">
        <v>1073</v>
      </c>
      <c r="F524" s="35" t="str">
        <f t="shared" si="36"/>
        <v/>
      </c>
      <c r="G524" s="36" t="str">
        <f t="shared" si="37"/>
        <v>B</v>
      </c>
      <c r="H524" s="51">
        <f t="shared" si="35"/>
        <v>2</v>
      </c>
      <c r="I524" s="51" t="str">
        <f t="shared" si="35"/>
        <v/>
      </c>
      <c r="J524" s="51" t="str">
        <f t="shared" si="35"/>
        <v/>
      </c>
      <c r="K524" s="37" t="s">
        <v>47</v>
      </c>
      <c r="L524" s="37"/>
      <c r="M524" s="37"/>
      <c r="N524" s="37" t="s">
        <v>47</v>
      </c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M524" s="38"/>
      <c r="AN524" s="38"/>
      <c r="AO524" s="38"/>
      <c r="AP524" s="38"/>
      <c r="AQ524" s="38"/>
      <c r="AR524" s="38"/>
      <c r="AS524" s="38"/>
      <c r="AT524" s="38"/>
      <c r="AU524" s="38"/>
      <c r="AV524" s="38" t="s">
        <v>47</v>
      </c>
      <c r="AW524" s="38"/>
      <c r="AX524" s="38"/>
      <c r="AY524" s="38"/>
      <c r="AZ524" s="38"/>
      <c r="BA524" s="38"/>
      <c r="BB524" s="38"/>
      <c r="BC524" s="38"/>
      <c r="BD524" s="38"/>
      <c r="BE524" s="77">
        <f t="shared" si="38"/>
        <v>1</v>
      </c>
      <c r="BF524" s="38"/>
    </row>
    <row r="525" spans="1:58" ht="22.5" hidden="1" customHeight="1">
      <c r="A525" s="33" t="str">
        <f>IF(OR(ISBLANK(E525),ISBLANK(C525)),"",IF(COUNTIF($E$8:E525,E525)&gt;1,"",(MAX($A$7:A524)+1)))</f>
        <v/>
      </c>
      <c r="B525" s="34">
        <f>IF(ISBLANK(C525),"",SUBTOTAL(3,$C$8:C525))</f>
        <v>44</v>
      </c>
      <c r="C525" s="80" t="s">
        <v>1126</v>
      </c>
      <c r="D525" s="52" t="s">
        <v>1127</v>
      </c>
      <c r="E525" s="50" t="s">
        <v>1073</v>
      </c>
      <c r="F525" s="35" t="str">
        <f t="shared" si="36"/>
        <v/>
      </c>
      <c r="G525" s="36" t="str">
        <f t="shared" si="37"/>
        <v>C</v>
      </c>
      <c r="H525" s="51">
        <f t="shared" si="35"/>
        <v>1</v>
      </c>
      <c r="I525" s="51">
        <f t="shared" si="35"/>
        <v>1</v>
      </c>
      <c r="J525" s="51" t="str">
        <f t="shared" si="35"/>
        <v/>
      </c>
      <c r="K525" s="37" t="s">
        <v>47</v>
      </c>
      <c r="L525" s="37"/>
      <c r="M525" s="37"/>
      <c r="N525" s="37"/>
      <c r="O525" s="37"/>
      <c r="P525" s="37"/>
      <c r="Q525" s="37"/>
      <c r="R525" s="37" t="s">
        <v>47</v>
      </c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  <c r="AJ525" s="37"/>
      <c r="AK525" s="37"/>
      <c r="AM525" s="38"/>
      <c r="AN525" s="38"/>
      <c r="AO525" s="38"/>
      <c r="AP525" s="38"/>
      <c r="AQ525" s="38"/>
      <c r="AR525" s="38"/>
      <c r="AS525" s="38"/>
      <c r="AT525" s="38"/>
      <c r="AU525" s="38"/>
      <c r="AV525" s="38" t="s">
        <v>47</v>
      </c>
      <c r="AW525" s="38"/>
      <c r="AX525" s="38"/>
      <c r="AY525" s="38"/>
      <c r="AZ525" s="38"/>
      <c r="BA525" s="38"/>
      <c r="BB525" s="38"/>
      <c r="BC525" s="38"/>
      <c r="BD525" s="38"/>
      <c r="BE525" s="77">
        <f t="shared" si="38"/>
        <v>1</v>
      </c>
      <c r="BF525" s="38"/>
    </row>
    <row r="526" spans="1:58" ht="22.5" hidden="1" customHeight="1">
      <c r="A526" s="33" t="str">
        <f>IF(OR(ISBLANK(E526),ISBLANK(C526)),"",IF(COUNTIF($E$8:E526,E526)&gt;1,"",(MAX($A$7:A525)+1)))</f>
        <v/>
      </c>
      <c r="B526" s="34">
        <f>IF(ISBLANK(C526),"",SUBTOTAL(3,$C$8:C526))</f>
        <v>44</v>
      </c>
      <c r="C526" s="80" t="s">
        <v>1128</v>
      </c>
      <c r="D526" s="52" t="s">
        <v>1129</v>
      </c>
      <c r="E526" s="50" t="s">
        <v>1073</v>
      </c>
      <c r="F526" s="35" t="str">
        <f t="shared" si="36"/>
        <v/>
      </c>
      <c r="G526" s="36" t="str">
        <f t="shared" si="37"/>
        <v>C</v>
      </c>
      <c r="H526" s="51">
        <f t="shared" si="35"/>
        <v>1</v>
      </c>
      <c r="I526" s="51" t="str">
        <f t="shared" si="35"/>
        <v/>
      </c>
      <c r="J526" s="51" t="str">
        <f t="shared" si="35"/>
        <v/>
      </c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 t="s">
        <v>47</v>
      </c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  <c r="AK526" s="37"/>
      <c r="AM526" s="38"/>
      <c r="AN526" s="38"/>
      <c r="AO526" s="38" t="s">
        <v>47</v>
      </c>
      <c r="AP526" s="38"/>
      <c r="AQ526" s="38"/>
      <c r="AR526" s="38"/>
      <c r="AS526" s="38"/>
      <c r="AT526" s="38"/>
      <c r="AU526" s="38"/>
      <c r="AV526" s="38"/>
      <c r="AW526" s="38"/>
      <c r="AX526" s="38"/>
      <c r="AY526" s="38"/>
      <c r="AZ526" s="38"/>
      <c r="BA526" s="38"/>
      <c r="BB526" s="38"/>
      <c r="BC526" s="38"/>
      <c r="BD526" s="38"/>
      <c r="BE526" s="77">
        <f t="shared" si="38"/>
        <v>1</v>
      </c>
      <c r="BF526" s="38"/>
    </row>
    <row r="527" spans="1:58" ht="22.5" hidden="1" customHeight="1">
      <c r="A527" s="33" t="str">
        <f>IF(OR(ISBLANK(E527),ISBLANK(C527)),"",IF(COUNTIF($E$8:E527,E527)&gt;1,"",(MAX($A$7:A526)+1)))</f>
        <v/>
      </c>
      <c r="B527" s="34">
        <f>IF(ISBLANK(C527),"",SUBTOTAL(3,$C$8:C527))</f>
        <v>44</v>
      </c>
      <c r="C527" s="80" t="s">
        <v>1130</v>
      </c>
      <c r="D527" s="52" t="s">
        <v>1131</v>
      </c>
      <c r="E527" s="50" t="s">
        <v>1073</v>
      </c>
      <c r="F527" s="35" t="str">
        <f t="shared" si="36"/>
        <v/>
      </c>
      <c r="G527" s="36" t="str">
        <f t="shared" si="37"/>
        <v>C</v>
      </c>
      <c r="H527" s="51">
        <f t="shared" si="35"/>
        <v>1</v>
      </c>
      <c r="I527" s="51" t="str">
        <f t="shared" si="35"/>
        <v/>
      </c>
      <c r="J527" s="51" t="str">
        <f t="shared" si="35"/>
        <v/>
      </c>
      <c r="K527" s="37"/>
      <c r="L527" s="37"/>
      <c r="M527" s="37"/>
      <c r="N527" s="37"/>
      <c r="O527" s="37"/>
      <c r="P527" s="37"/>
      <c r="Q527" s="37" t="s">
        <v>47</v>
      </c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  <c r="AK527" s="37"/>
      <c r="AM527" s="38"/>
      <c r="AN527" s="38"/>
      <c r="AO527" s="38"/>
      <c r="AP527" s="38"/>
      <c r="AQ527" s="38"/>
      <c r="AR527" s="38"/>
      <c r="AS527" s="38"/>
      <c r="AT527" s="38"/>
      <c r="AU527" s="38"/>
      <c r="AV527" s="38" t="s">
        <v>47</v>
      </c>
      <c r="AW527" s="38"/>
      <c r="AX527" s="38"/>
      <c r="AY527" s="38"/>
      <c r="AZ527" s="38"/>
      <c r="BA527" s="38"/>
      <c r="BB527" s="38"/>
      <c r="BC527" s="38"/>
      <c r="BD527" s="38"/>
      <c r="BE527" s="77">
        <f t="shared" si="38"/>
        <v>1</v>
      </c>
      <c r="BF527" s="38"/>
    </row>
    <row r="528" spans="1:58" ht="22.5" hidden="1" customHeight="1">
      <c r="A528" s="33" t="str">
        <f>IF(OR(ISBLANK(E528),ISBLANK(C528)),"",IF(COUNTIF($E$8:E528,E528)&gt;1,"",(MAX($A$7:A527)+1)))</f>
        <v/>
      </c>
      <c r="B528" s="34">
        <f>IF(ISBLANK(C528),"",SUBTOTAL(3,$C$8:C528))</f>
        <v>44</v>
      </c>
      <c r="C528" s="80" t="s">
        <v>1132</v>
      </c>
      <c r="D528" s="52" t="s">
        <v>1133</v>
      </c>
      <c r="E528" s="50" t="s">
        <v>1073</v>
      </c>
      <c r="F528" s="35" t="str">
        <f t="shared" si="36"/>
        <v/>
      </c>
      <c r="G528" s="36" t="str">
        <f t="shared" si="37"/>
        <v>A</v>
      </c>
      <c r="H528" s="51">
        <f t="shared" si="35"/>
        <v>3</v>
      </c>
      <c r="I528" s="51">
        <f t="shared" si="35"/>
        <v>2</v>
      </c>
      <c r="J528" s="51" t="str">
        <f t="shared" si="35"/>
        <v/>
      </c>
      <c r="K528" s="37" t="s">
        <v>47</v>
      </c>
      <c r="L528" s="37"/>
      <c r="M528" s="37"/>
      <c r="N528" s="37" t="s">
        <v>47</v>
      </c>
      <c r="O528" s="37"/>
      <c r="P528" s="37"/>
      <c r="Q528" s="37" t="s">
        <v>47</v>
      </c>
      <c r="R528" s="37"/>
      <c r="S528" s="37"/>
      <c r="T528" s="37"/>
      <c r="U528" s="37" t="s">
        <v>47</v>
      </c>
      <c r="V528" s="37"/>
      <c r="W528" s="37"/>
      <c r="X528" s="37"/>
      <c r="Y528" s="37"/>
      <c r="Z528" s="37"/>
      <c r="AA528" s="37"/>
      <c r="AB528" s="37"/>
      <c r="AC528" s="37"/>
      <c r="AD528" s="37" t="s">
        <v>47</v>
      </c>
      <c r="AE528" s="37"/>
      <c r="AF528" s="37"/>
      <c r="AG528" s="37"/>
      <c r="AH528" s="37"/>
      <c r="AI528" s="37"/>
      <c r="AJ528" s="37"/>
      <c r="AK528" s="37"/>
      <c r="AM528" s="38"/>
      <c r="AN528" s="38"/>
      <c r="AO528" s="38"/>
      <c r="AP528" s="38"/>
      <c r="AQ528" s="38"/>
      <c r="AR528" s="38"/>
      <c r="AS528" s="38"/>
      <c r="AT528" s="38"/>
      <c r="AU528" s="38"/>
      <c r="AV528" s="38"/>
      <c r="AW528" s="38" t="s">
        <v>47</v>
      </c>
      <c r="AX528" s="38"/>
      <c r="AY528" s="38"/>
      <c r="AZ528" s="38"/>
      <c r="BA528" s="38"/>
      <c r="BB528" s="38"/>
      <c r="BC528" s="38"/>
      <c r="BD528" s="38"/>
      <c r="BE528" s="77">
        <f t="shared" si="38"/>
        <v>1</v>
      </c>
      <c r="BF528" s="38"/>
    </row>
    <row r="529" spans="1:58" ht="22.5" hidden="1" customHeight="1">
      <c r="A529" s="33" t="str">
        <f>IF(OR(ISBLANK(E529),ISBLANK(C529)),"",IF(COUNTIF($E$8:E529,E529)&gt;1,"",(MAX($A$7:A528)+1)))</f>
        <v/>
      </c>
      <c r="B529" s="34">
        <f>IF(ISBLANK(C529),"",SUBTOTAL(3,$C$8:C529))</f>
        <v>44</v>
      </c>
      <c r="C529" s="80" t="s">
        <v>1134</v>
      </c>
      <c r="D529" s="52" t="s">
        <v>1135</v>
      </c>
      <c r="E529" s="50" t="s">
        <v>1073</v>
      </c>
      <c r="F529" s="35" t="str">
        <f t="shared" si="36"/>
        <v/>
      </c>
      <c r="G529" s="36" t="str">
        <f t="shared" si="37"/>
        <v>A</v>
      </c>
      <c r="H529" s="51">
        <f t="shared" si="35"/>
        <v>5</v>
      </c>
      <c r="I529" s="51">
        <f t="shared" si="35"/>
        <v>1</v>
      </c>
      <c r="J529" s="51" t="str">
        <f t="shared" si="35"/>
        <v/>
      </c>
      <c r="K529" s="37" t="s">
        <v>47</v>
      </c>
      <c r="L529" s="37"/>
      <c r="M529" s="37"/>
      <c r="N529" s="37" t="s">
        <v>47</v>
      </c>
      <c r="O529" s="37"/>
      <c r="P529" s="37"/>
      <c r="Q529" s="37"/>
      <c r="R529" s="37" t="s">
        <v>47</v>
      </c>
      <c r="S529" s="37"/>
      <c r="T529" s="37" t="s">
        <v>47</v>
      </c>
      <c r="U529" s="37"/>
      <c r="V529" s="37"/>
      <c r="W529" s="37" t="s">
        <v>47</v>
      </c>
      <c r="X529" s="37"/>
      <c r="Y529" s="37"/>
      <c r="Z529" s="37"/>
      <c r="AA529" s="37"/>
      <c r="AB529" s="37"/>
      <c r="AC529" s="37" t="s">
        <v>47</v>
      </c>
      <c r="AD529" s="37"/>
      <c r="AE529" s="37"/>
      <c r="AF529" s="37"/>
      <c r="AG529" s="37"/>
      <c r="AH529" s="37"/>
      <c r="AI529" s="37"/>
      <c r="AJ529" s="37"/>
      <c r="AK529" s="37"/>
      <c r="AM529" s="38"/>
      <c r="AN529" s="38"/>
      <c r="AO529" s="38"/>
      <c r="AP529" s="38"/>
      <c r="AQ529" s="38"/>
      <c r="AR529" s="38"/>
      <c r="AS529" s="38"/>
      <c r="AT529" s="38"/>
      <c r="AU529" s="38"/>
      <c r="AV529" s="38"/>
      <c r="AW529" s="38"/>
      <c r="AX529" s="38"/>
      <c r="AY529" s="38" t="s">
        <v>47</v>
      </c>
      <c r="AZ529" s="38"/>
      <c r="BA529" s="38"/>
      <c r="BB529" s="38" t="s">
        <v>47</v>
      </c>
      <c r="BC529" s="38"/>
      <c r="BD529" s="38"/>
      <c r="BE529" s="77">
        <f t="shared" si="38"/>
        <v>2</v>
      </c>
      <c r="BF529" s="38"/>
    </row>
    <row r="530" spans="1:58" ht="22.5" hidden="1" customHeight="1">
      <c r="A530" s="33" t="str">
        <f>IF(OR(ISBLANK(E530),ISBLANK(C530)),"",IF(COUNTIF($E$8:E530,E530)&gt;1,"",(MAX($A$7:A529)+1)))</f>
        <v/>
      </c>
      <c r="B530" s="34">
        <f>IF(ISBLANK(C530),"",SUBTOTAL(3,$C$8:C530))</f>
        <v>44</v>
      </c>
      <c r="C530" s="80" t="s">
        <v>1136</v>
      </c>
      <c r="D530" s="52" t="s">
        <v>1137</v>
      </c>
      <c r="E530" s="50" t="s">
        <v>1073</v>
      </c>
      <c r="F530" s="35" t="str">
        <f t="shared" si="36"/>
        <v/>
      </c>
      <c r="G530" s="36" t="str">
        <f t="shared" si="37"/>
        <v>C</v>
      </c>
      <c r="H530" s="51">
        <f t="shared" si="35"/>
        <v>1</v>
      </c>
      <c r="I530" s="51" t="str">
        <f t="shared" si="35"/>
        <v/>
      </c>
      <c r="J530" s="51" t="str">
        <f t="shared" si="35"/>
        <v/>
      </c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 t="s">
        <v>47</v>
      </c>
      <c r="AG530" s="37"/>
      <c r="AH530" s="37"/>
      <c r="AI530" s="37"/>
      <c r="AJ530" s="37"/>
      <c r="AK530" s="37"/>
      <c r="AM530" s="38"/>
      <c r="AN530" s="38"/>
      <c r="AO530" s="38"/>
      <c r="AP530" s="38" t="s">
        <v>47</v>
      </c>
      <c r="AQ530" s="38"/>
      <c r="AR530" s="38"/>
      <c r="AS530" s="38"/>
      <c r="AT530" s="38"/>
      <c r="AU530" s="38"/>
      <c r="AV530" s="38"/>
      <c r="AW530" s="38"/>
      <c r="AX530" s="38"/>
      <c r="AY530" s="38"/>
      <c r="AZ530" s="38"/>
      <c r="BA530" s="38"/>
      <c r="BB530" s="38"/>
      <c r="BC530" s="38"/>
      <c r="BD530" s="38"/>
      <c r="BE530" s="77">
        <f t="shared" si="38"/>
        <v>1</v>
      </c>
      <c r="BF530" s="38"/>
    </row>
    <row r="531" spans="1:58" ht="22.5" hidden="1" customHeight="1">
      <c r="A531" s="33" t="str">
        <f>IF(OR(ISBLANK(E531),ISBLANK(C531)),"",IF(COUNTIF($E$8:E531,E531)&gt;1,"",(MAX($A$7:A530)+1)))</f>
        <v/>
      </c>
      <c r="B531" s="34">
        <f>IF(ISBLANK(C531),"",SUBTOTAL(3,$C$8:C531))</f>
        <v>44</v>
      </c>
      <c r="C531" s="78" t="s">
        <v>1138</v>
      </c>
      <c r="D531" s="50" t="s">
        <v>1139</v>
      </c>
      <c r="E531" s="50" t="s">
        <v>1073</v>
      </c>
      <c r="F531" s="35" t="str">
        <f t="shared" si="36"/>
        <v/>
      </c>
      <c r="G531" s="36" t="str">
        <f t="shared" si="37"/>
        <v>D</v>
      </c>
      <c r="H531" s="51" t="str">
        <f t="shared" si="35"/>
        <v/>
      </c>
      <c r="I531" s="51">
        <f t="shared" si="35"/>
        <v>1</v>
      </c>
      <c r="J531" s="51" t="str">
        <f t="shared" si="35"/>
        <v/>
      </c>
      <c r="K531" s="37"/>
      <c r="L531" s="37" t="s">
        <v>47</v>
      </c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  <c r="AK531" s="37"/>
      <c r="AM531" s="38"/>
      <c r="AN531" s="38"/>
      <c r="AO531" s="38"/>
      <c r="AP531" s="38"/>
      <c r="AQ531" s="38" t="s">
        <v>47</v>
      </c>
      <c r="AR531" s="38"/>
      <c r="AS531" s="38"/>
      <c r="AT531" s="38"/>
      <c r="AU531" s="38"/>
      <c r="AV531" s="38"/>
      <c r="AW531" s="38"/>
      <c r="AX531" s="38"/>
      <c r="AY531" s="38"/>
      <c r="AZ531" s="38"/>
      <c r="BA531" s="38"/>
      <c r="BB531" s="38"/>
      <c r="BC531" s="38"/>
      <c r="BD531" s="38"/>
      <c r="BE531" s="77">
        <f t="shared" si="38"/>
        <v>1</v>
      </c>
      <c r="BF531" s="38"/>
    </row>
    <row r="532" spans="1:58" ht="22.5" hidden="1" customHeight="1">
      <c r="A532" s="33" t="str">
        <f>IF(OR(ISBLANK(E532),ISBLANK(C532)),"",IF(COUNTIF($E$8:E532,E532)&gt;1,"",(MAX($A$7:A531)+1)))</f>
        <v/>
      </c>
      <c r="B532" s="34">
        <f>IF(ISBLANK(C532),"",SUBTOTAL(3,$C$8:C532))</f>
        <v>44</v>
      </c>
      <c r="C532" s="79" t="s">
        <v>1140</v>
      </c>
      <c r="D532" s="50" t="s">
        <v>1141</v>
      </c>
      <c r="E532" s="50" t="s">
        <v>1073</v>
      </c>
      <c r="F532" s="35" t="str">
        <f t="shared" si="36"/>
        <v/>
      </c>
      <c r="G532" s="36" t="str">
        <f t="shared" si="37"/>
        <v>C</v>
      </c>
      <c r="H532" s="51">
        <f t="shared" si="35"/>
        <v>1</v>
      </c>
      <c r="I532" s="51" t="str">
        <f t="shared" si="35"/>
        <v/>
      </c>
      <c r="J532" s="51" t="str">
        <f t="shared" si="35"/>
        <v/>
      </c>
      <c r="K532" s="37" t="s">
        <v>47</v>
      </c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  <c r="AK532" s="37"/>
      <c r="AM532" s="38"/>
      <c r="AN532" s="38"/>
      <c r="AO532" s="38"/>
      <c r="AP532" s="38"/>
      <c r="AQ532" s="38"/>
      <c r="AR532" s="38"/>
      <c r="AS532" s="38"/>
      <c r="AT532" s="38"/>
      <c r="AU532" s="38"/>
      <c r="AV532" s="38"/>
      <c r="AW532" s="38"/>
      <c r="AX532" s="38"/>
      <c r="AY532" s="38"/>
      <c r="AZ532" s="38"/>
      <c r="BA532" s="38"/>
      <c r="BB532" s="38"/>
      <c r="BC532" s="38"/>
      <c r="BD532" s="38"/>
      <c r="BE532" s="77">
        <f t="shared" si="38"/>
        <v>0</v>
      </c>
      <c r="BF532" s="38"/>
    </row>
    <row r="533" spans="1:58" ht="22.5" hidden="1" customHeight="1">
      <c r="A533" s="33" t="str">
        <f>IF(OR(ISBLANK(E533),ISBLANK(C533)),"",IF(COUNTIF($E$8:E533,E533)&gt;1,"",(MAX($A$7:A532)+1)))</f>
        <v/>
      </c>
      <c r="B533" s="34">
        <f>IF(ISBLANK(C533),"",SUBTOTAL(3,$C$8:C533))</f>
        <v>44</v>
      </c>
      <c r="C533" s="80" t="s">
        <v>1142</v>
      </c>
      <c r="D533" s="50" t="s">
        <v>1143</v>
      </c>
      <c r="E533" s="50" t="s">
        <v>1073</v>
      </c>
      <c r="F533" s="35" t="str">
        <f t="shared" si="36"/>
        <v/>
      </c>
      <c r="G533" s="36" t="str">
        <f t="shared" si="37"/>
        <v>D</v>
      </c>
      <c r="H533" s="51" t="str">
        <f t="shared" si="35"/>
        <v/>
      </c>
      <c r="I533" s="51">
        <f t="shared" si="35"/>
        <v>1</v>
      </c>
      <c r="J533" s="51" t="str">
        <f t="shared" si="35"/>
        <v/>
      </c>
      <c r="K533" s="37"/>
      <c r="L533" s="37" t="s">
        <v>47</v>
      </c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7"/>
      <c r="AK533" s="37"/>
      <c r="AM533" s="38"/>
      <c r="AN533" s="38"/>
      <c r="AO533" s="38"/>
      <c r="AP533" s="38"/>
      <c r="AQ533" s="38"/>
      <c r="AR533" s="38" t="s">
        <v>47</v>
      </c>
      <c r="AS533" s="38"/>
      <c r="AT533" s="38"/>
      <c r="AU533" s="38"/>
      <c r="AV533" s="38"/>
      <c r="AW533" s="38"/>
      <c r="AX533" s="38"/>
      <c r="AY533" s="38"/>
      <c r="AZ533" s="38"/>
      <c r="BA533" s="38"/>
      <c r="BB533" s="38"/>
      <c r="BC533" s="38"/>
      <c r="BD533" s="38"/>
      <c r="BE533" s="77">
        <f t="shared" si="38"/>
        <v>1</v>
      </c>
      <c r="BF533" s="38"/>
    </row>
    <row r="534" spans="1:58" ht="22.5" hidden="1" customHeight="1">
      <c r="A534" s="33" t="str">
        <f>IF(OR(ISBLANK(E534),ISBLANK(C534)),"",IF(COUNTIF($E$8:E534,E534)&gt;1,"",(MAX($A$7:A533)+1)))</f>
        <v/>
      </c>
      <c r="B534" s="34">
        <f>IF(ISBLANK(C534),"",SUBTOTAL(3,$C$8:C534))</f>
        <v>44</v>
      </c>
      <c r="C534" s="79" t="s">
        <v>1144</v>
      </c>
      <c r="D534" s="50" t="s">
        <v>1145</v>
      </c>
      <c r="E534" s="50" t="s">
        <v>1073</v>
      </c>
      <c r="F534" s="35" t="str">
        <f t="shared" si="36"/>
        <v/>
      </c>
      <c r="G534" s="36" t="str">
        <f t="shared" si="37"/>
        <v>D</v>
      </c>
      <c r="H534" s="51" t="str">
        <f t="shared" si="35"/>
        <v/>
      </c>
      <c r="I534" s="51">
        <f t="shared" si="35"/>
        <v>1</v>
      </c>
      <c r="J534" s="51" t="str">
        <f t="shared" si="35"/>
        <v/>
      </c>
      <c r="K534" s="37"/>
      <c r="L534" s="37" t="s">
        <v>47</v>
      </c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  <c r="AI534" s="37"/>
      <c r="AJ534" s="37"/>
      <c r="AK534" s="37"/>
      <c r="AM534" s="38"/>
      <c r="AN534" s="38"/>
      <c r="AO534" s="38"/>
      <c r="AP534" s="38"/>
      <c r="AQ534" s="38"/>
      <c r="AR534" s="38"/>
      <c r="AS534" s="38"/>
      <c r="AT534" s="38"/>
      <c r="AU534" s="38"/>
      <c r="AV534" s="38"/>
      <c r="AW534" s="38"/>
      <c r="AX534" s="38"/>
      <c r="AY534" s="38"/>
      <c r="AZ534" s="38"/>
      <c r="BA534" s="38"/>
      <c r="BB534" s="38"/>
      <c r="BC534" s="38"/>
      <c r="BD534" s="38"/>
      <c r="BE534" s="77">
        <f t="shared" si="38"/>
        <v>0</v>
      </c>
      <c r="BF534" s="38"/>
    </row>
    <row r="535" spans="1:58" ht="22.5" hidden="1" customHeight="1">
      <c r="A535" s="33" t="str">
        <f>IF(OR(ISBLANK(E535),ISBLANK(C535)),"",IF(COUNTIF($E$8:E535,E535)&gt;1,"",(MAX($A$7:A534)+1)))</f>
        <v/>
      </c>
      <c r="B535" s="34">
        <f>IF(ISBLANK(C535),"",SUBTOTAL(3,$C$8:C535))</f>
        <v>44</v>
      </c>
      <c r="C535" s="78" t="s">
        <v>1146</v>
      </c>
      <c r="D535" s="50" t="s">
        <v>1147</v>
      </c>
      <c r="E535" s="50" t="s">
        <v>1073</v>
      </c>
      <c r="F535" s="35" t="str">
        <f t="shared" si="36"/>
        <v/>
      </c>
      <c r="G535" s="36" t="str">
        <f t="shared" si="37"/>
        <v>D</v>
      </c>
      <c r="H535" s="51" t="str">
        <f t="shared" si="35"/>
        <v/>
      </c>
      <c r="I535" s="51" t="str">
        <f t="shared" si="35"/>
        <v/>
      </c>
      <c r="J535" s="51">
        <f t="shared" si="35"/>
        <v>1</v>
      </c>
      <c r="K535" s="37"/>
      <c r="L535" s="37"/>
      <c r="M535" s="37" t="s">
        <v>47</v>
      </c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7"/>
      <c r="AK535" s="37"/>
      <c r="AM535" s="38"/>
      <c r="AN535" s="38" t="s">
        <v>47</v>
      </c>
      <c r="AO535" s="38"/>
      <c r="AP535" s="38"/>
      <c r="AQ535" s="38"/>
      <c r="AR535" s="38"/>
      <c r="AS535" s="38"/>
      <c r="AT535" s="38"/>
      <c r="AU535" s="38"/>
      <c r="AV535" s="38"/>
      <c r="AW535" s="38"/>
      <c r="AX535" s="38"/>
      <c r="AY535" s="38"/>
      <c r="AZ535" s="38"/>
      <c r="BA535" s="38"/>
      <c r="BB535" s="38"/>
      <c r="BC535" s="38"/>
      <c r="BD535" s="38"/>
      <c r="BE535" s="77">
        <f t="shared" si="38"/>
        <v>1</v>
      </c>
      <c r="BF535" s="38"/>
    </row>
    <row r="536" spans="1:58" ht="22.5" hidden="1" customHeight="1">
      <c r="A536" s="33" t="str">
        <f>IF(OR(ISBLANK(E536),ISBLANK(C536)),"",IF(COUNTIF($E$8:E536,E536)&gt;1,"",(MAX($A$7:A535)+1)))</f>
        <v/>
      </c>
      <c r="B536" s="34">
        <f>IF(ISBLANK(C536),"",SUBTOTAL(3,$C$8:C536))</f>
        <v>44</v>
      </c>
      <c r="C536" s="80" t="s">
        <v>1148</v>
      </c>
      <c r="D536" s="52" t="s">
        <v>1149</v>
      </c>
      <c r="E536" s="50" t="s">
        <v>1073</v>
      </c>
      <c r="F536" s="35" t="str">
        <f t="shared" si="36"/>
        <v/>
      </c>
      <c r="G536" s="36" t="str">
        <f t="shared" si="37"/>
        <v>D</v>
      </c>
      <c r="H536" s="51" t="str">
        <f t="shared" ref="H536:J599" si="39">IF(OR(ISBLANK($C536),COUNTIFS($K536:$AH536,"X",$K$7:$AH$7,H$7)=0,),"",COUNTIFS($K536:$AH536,"X",$K$7:$AH$7,H$7))</f>
        <v/>
      </c>
      <c r="I536" s="51">
        <f t="shared" si="39"/>
        <v>1</v>
      </c>
      <c r="J536" s="51" t="str">
        <f t="shared" si="39"/>
        <v/>
      </c>
      <c r="K536" s="37"/>
      <c r="L536" s="37" t="s">
        <v>47</v>
      </c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  <c r="AK536" s="37"/>
      <c r="AM536" s="38"/>
      <c r="AN536" s="38"/>
      <c r="AO536" s="38"/>
      <c r="AP536" s="38"/>
      <c r="AQ536" s="38"/>
      <c r="AR536" s="38"/>
      <c r="AS536" s="38"/>
      <c r="AT536" s="38"/>
      <c r="AU536" s="38"/>
      <c r="AV536" s="38"/>
      <c r="AW536" s="38"/>
      <c r="AX536" s="38"/>
      <c r="AY536" s="38"/>
      <c r="AZ536" s="38"/>
      <c r="BA536" s="38"/>
      <c r="BB536" s="38"/>
      <c r="BC536" s="38"/>
      <c r="BD536" s="38"/>
      <c r="BE536" s="77">
        <f t="shared" si="38"/>
        <v>0</v>
      </c>
      <c r="BF536" s="38"/>
    </row>
    <row r="537" spans="1:58" ht="22.5" hidden="1" customHeight="1">
      <c r="A537" s="33" t="str">
        <f>IF(OR(ISBLANK(E537),ISBLANK(C537)),"",IF(COUNTIF($E$8:E537,E537)&gt;1,"",(MAX($A$7:A536)+1)))</f>
        <v/>
      </c>
      <c r="B537" s="34">
        <f>IF(ISBLANK(C537),"",SUBTOTAL(3,$C$8:C537))</f>
        <v>44</v>
      </c>
      <c r="C537" s="80" t="s">
        <v>1150</v>
      </c>
      <c r="D537" s="52" t="s">
        <v>1151</v>
      </c>
      <c r="E537" s="50" t="s">
        <v>1073</v>
      </c>
      <c r="F537" s="35" t="str">
        <f t="shared" si="36"/>
        <v/>
      </c>
      <c r="G537" s="36" t="str">
        <f t="shared" si="37"/>
        <v>C</v>
      </c>
      <c r="H537" s="51">
        <f t="shared" si="39"/>
        <v>1</v>
      </c>
      <c r="I537" s="51">
        <f t="shared" si="39"/>
        <v>1</v>
      </c>
      <c r="J537" s="51" t="str">
        <f t="shared" si="39"/>
        <v/>
      </c>
      <c r="K537" s="37"/>
      <c r="L537" s="37" t="s">
        <v>47</v>
      </c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 t="s">
        <v>47</v>
      </c>
      <c r="AA537" s="37"/>
      <c r="AB537" s="37"/>
      <c r="AC537" s="37"/>
      <c r="AD537" s="37"/>
      <c r="AE537" s="37"/>
      <c r="AF537" s="37"/>
      <c r="AG537" s="37"/>
      <c r="AH537" s="37"/>
      <c r="AI537" s="37"/>
      <c r="AJ537" s="37"/>
      <c r="AK537" s="37"/>
      <c r="AM537" s="38"/>
      <c r="AN537" s="38"/>
      <c r="AO537" s="38" t="s">
        <v>47</v>
      </c>
      <c r="AP537" s="38"/>
      <c r="AQ537" s="38" t="s">
        <v>47</v>
      </c>
      <c r="AR537" s="38"/>
      <c r="AS537" s="38"/>
      <c r="AT537" s="38"/>
      <c r="AU537" s="38"/>
      <c r="AV537" s="38"/>
      <c r="AW537" s="38"/>
      <c r="AX537" s="38"/>
      <c r="AY537" s="38"/>
      <c r="AZ537" s="38"/>
      <c r="BA537" s="38"/>
      <c r="BB537" s="38"/>
      <c r="BC537" s="38"/>
      <c r="BD537" s="38"/>
      <c r="BE537" s="77">
        <f t="shared" si="38"/>
        <v>2</v>
      </c>
      <c r="BF537" s="38"/>
    </row>
    <row r="538" spans="1:58" ht="22.5" hidden="1" customHeight="1">
      <c r="A538" s="33" t="str">
        <f>IF(OR(ISBLANK(E538),ISBLANK(C538)),"",IF(COUNTIF($E$8:E538,E538)&gt;1,"",(MAX($A$7:A537)+1)))</f>
        <v/>
      </c>
      <c r="B538" s="34">
        <f>IF(ISBLANK(C538),"",SUBTOTAL(3,$C$8:C538))</f>
        <v>44</v>
      </c>
      <c r="C538" s="80" t="s">
        <v>1152</v>
      </c>
      <c r="D538" s="52" t="s">
        <v>1153</v>
      </c>
      <c r="E538" s="50" t="s">
        <v>1073</v>
      </c>
      <c r="F538" s="35" t="str">
        <f t="shared" si="36"/>
        <v/>
      </c>
      <c r="G538" s="36" t="str">
        <f t="shared" si="37"/>
        <v>B</v>
      </c>
      <c r="H538" s="51">
        <f t="shared" si="39"/>
        <v>2</v>
      </c>
      <c r="I538" s="51" t="str">
        <f t="shared" si="39"/>
        <v/>
      </c>
      <c r="J538" s="51" t="str">
        <f t="shared" si="39"/>
        <v/>
      </c>
      <c r="K538" s="37" t="s">
        <v>47</v>
      </c>
      <c r="L538" s="37"/>
      <c r="M538" s="37"/>
      <c r="N538" s="37"/>
      <c r="O538" s="37"/>
      <c r="P538" s="37"/>
      <c r="Q538" s="37" t="s">
        <v>47</v>
      </c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  <c r="AJ538" s="37"/>
      <c r="AK538" s="37"/>
      <c r="AM538" s="38"/>
      <c r="AN538" s="38"/>
      <c r="AO538" s="38"/>
      <c r="AP538" s="38"/>
      <c r="AQ538" s="38"/>
      <c r="AR538" s="38"/>
      <c r="AS538" s="38"/>
      <c r="AT538" s="38"/>
      <c r="AU538" s="38"/>
      <c r="AV538" s="38"/>
      <c r="AW538" s="38" t="s">
        <v>47</v>
      </c>
      <c r="AX538" s="38"/>
      <c r="AY538" s="38"/>
      <c r="AZ538" s="38"/>
      <c r="BA538" s="38"/>
      <c r="BB538" s="38"/>
      <c r="BC538" s="38"/>
      <c r="BD538" s="38"/>
      <c r="BE538" s="77">
        <f t="shared" si="38"/>
        <v>1</v>
      </c>
      <c r="BF538" s="38"/>
    </row>
    <row r="539" spans="1:58" ht="22.5" hidden="1" customHeight="1">
      <c r="A539" s="33" t="str">
        <f>IF(OR(ISBLANK(E539),ISBLANK(C539)),"",IF(COUNTIF($E$8:E539,E539)&gt;1,"",(MAX($A$7:A538)+1)))</f>
        <v/>
      </c>
      <c r="B539" s="34">
        <f>IF(ISBLANK(C539),"",SUBTOTAL(3,$C$8:C539))</f>
        <v>44</v>
      </c>
      <c r="C539" s="80" t="s">
        <v>1154</v>
      </c>
      <c r="D539" s="52" t="s">
        <v>1155</v>
      </c>
      <c r="E539" s="50" t="s">
        <v>1073</v>
      </c>
      <c r="F539" s="35" t="str">
        <f t="shared" si="36"/>
        <v/>
      </c>
      <c r="G539" s="36" t="str">
        <f t="shared" si="37"/>
        <v>C</v>
      </c>
      <c r="H539" s="51">
        <f t="shared" si="39"/>
        <v>1</v>
      </c>
      <c r="I539" s="51" t="str">
        <f t="shared" si="39"/>
        <v/>
      </c>
      <c r="J539" s="51" t="str">
        <f t="shared" si="39"/>
        <v/>
      </c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 t="s">
        <v>47</v>
      </c>
      <c r="AG539" s="37"/>
      <c r="AH539" s="37"/>
      <c r="AI539" s="37"/>
      <c r="AJ539" s="37"/>
      <c r="AK539" s="37"/>
      <c r="AM539" s="38"/>
      <c r="AN539" s="38"/>
      <c r="AO539" s="38"/>
      <c r="AP539" s="38" t="s">
        <v>47</v>
      </c>
      <c r="AQ539" s="38"/>
      <c r="AR539" s="38"/>
      <c r="AS539" s="38"/>
      <c r="AT539" s="38"/>
      <c r="AU539" s="38"/>
      <c r="AV539" s="38"/>
      <c r="AW539" s="38"/>
      <c r="AX539" s="38"/>
      <c r="AY539" s="38"/>
      <c r="AZ539" s="38"/>
      <c r="BA539" s="38"/>
      <c r="BB539" s="38"/>
      <c r="BC539" s="38"/>
      <c r="BD539" s="38"/>
      <c r="BE539" s="77">
        <f t="shared" si="38"/>
        <v>1</v>
      </c>
      <c r="BF539" s="38"/>
    </row>
    <row r="540" spans="1:58" ht="22.5" hidden="1" customHeight="1">
      <c r="A540" s="33" t="str">
        <f>IF(OR(ISBLANK(E540),ISBLANK(C540)),"",IF(COUNTIF($E$8:E540,E540)&gt;1,"",(MAX($A$7:A539)+1)))</f>
        <v/>
      </c>
      <c r="B540" s="34">
        <f>IF(ISBLANK(C540),"",SUBTOTAL(3,$C$8:C540))</f>
        <v>44</v>
      </c>
      <c r="C540" s="80" t="s">
        <v>1156</v>
      </c>
      <c r="D540" s="52" t="s">
        <v>1157</v>
      </c>
      <c r="E540" s="50" t="s">
        <v>1073</v>
      </c>
      <c r="F540" s="35" t="str">
        <f t="shared" si="36"/>
        <v/>
      </c>
      <c r="G540" s="36" t="str">
        <f t="shared" si="37"/>
        <v>B</v>
      </c>
      <c r="H540" s="51">
        <f t="shared" si="39"/>
        <v>2</v>
      </c>
      <c r="I540" s="51" t="str">
        <f t="shared" si="39"/>
        <v/>
      </c>
      <c r="J540" s="51" t="str">
        <f t="shared" si="39"/>
        <v/>
      </c>
      <c r="K540" s="37" t="s">
        <v>47</v>
      </c>
      <c r="L540" s="37"/>
      <c r="M540" s="37"/>
      <c r="N540" s="37"/>
      <c r="O540" s="37"/>
      <c r="P540" s="37"/>
      <c r="Q540" s="37" t="s">
        <v>47</v>
      </c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7"/>
      <c r="AK540" s="37"/>
      <c r="AM540" s="38"/>
      <c r="AN540" s="38"/>
      <c r="AO540" s="38"/>
      <c r="AP540" s="38"/>
      <c r="AQ540" s="38"/>
      <c r="AR540" s="38"/>
      <c r="AS540" s="38"/>
      <c r="AT540" s="38"/>
      <c r="AU540" s="38"/>
      <c r="AV540" s="38"/>
      <c r="AW540" s="38"/>
      <c r="AX540" s="38"/>
      <c r="AY540" s="38"/>
      <c r="AZ540" s="38"/>
      <c r="BA540" s="38"/>
      <c r="BB540" s="38"/>
      <c r="BC540" s="38"/>
      <c r="BD540" s="38" t="s">
        <v>47</v>
      </c>
      <c r="BE540" s="77">
        <f t="shared" si="38"/>
        <v>1</v>
      </c>
      <c r="BF540" s="38"/>
    </row>
    <row r="541" spans="1:58" ht="22.5" hidden="1" customHeight="1">
      <c r="A541" s="33" t="str">
        <f>IF(OR(ISBLANK(E541),ISBLANK(C541)),"",IF(COUNTIF($E$8:E541,E541)&gt;1,"",(MAX($A$7:A540)+1)))</f>
        <v/>
      </c>
      <c r="B541" s="34">
        <f>IF(ISBLANK(C541),"",SUBTOTAL(3,$C$8:C541))</f>
        <v>44</v>
      </c>
      <c r="C541" s="80" t="s">
        <v>1158</v>
      </c>
      <c r="D541" s="53" t="s">
        <v>1159</v>
      </c>
      <c r="E541" s="50" t="s">
        <v>1073</v>
      </c>
      <c r="F541" s="35" t="str">
        <f t="shared" si="36"/>
        <v/>
      </c>
      <c r="G541" s="36" t="str">
        <f t="shared" si="37"/>
        <v>C</v>
      </c>
      <c r="H541" s="51">
        <f t="shared" si="39"/>
        <v>1</v>
      </c>
      <c r="I541" s="51">
        <f t="shared" si="39"/>
        <v>1</v>
      </c>
      <c r="J541" s="51" t="str">
        <f t="shared" si="39"/>
        <v/>
      </c>
      <c r="K541" s="37"/>
      <c r="L541" s="37" t="s">
        <v>47</v>
      </c>
      <c r="M541" s="37"/>
      <c r="N541" s="37"/>
      <c r="O541" s="37"/>
      <c r="P541" s="37"/>
      <c r="Q541" s="37" t="s">
        <v>47</v>
      </c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7"/>
      <c r="AK541" s="37"/>
      <c r="AM541" s="38"/>
      <c r="AN541" s="38"/>
      <c r="AO541" s="38"/>
      <c r="AP541" s="38"/>
      <c r="AQ541" s="38"/>
      <c r="AR541" s="38"/>
      <c r="AS541" s="38"/>
      <c r="AT541" s="38"/>
      <c r="AU541" s="38"/>
      <c r="AV541" s="38" t="s">
        <v>47</v>
      </c>
      <c r="AW541" s="38"/>
      <c r="AX541" s="38"/>
      <c r="AY541" s="38"/>
      <c r="AZ541" s="38"/>
      <c r="BA541" s="38"/>
      <c r="BB541" s="38"/>
      <c r="BC541" s="38"/>
      <c r="BD541" s="38"/>
      <c r="BE541" s="77">
        <f t="shared" si="38"/>
        <v>1</v>
      </c>
      <c r="BF541" s="38"/>
    </row>
    <row r="542" spans="1:58" ht="22.5" hidden="1" customHeight="1">
      <c r="A542" s="33">
        <f>IF(OR(ISBLANK(E542),ISBLANK(C542)),"",IF(COUNTIF($E$8:E542,E542)&gt;1,"",(MAX($A$7:A541)+1)))</f>
        <v>14</v>
      </c>
      <c r="B542" s="34">
        <f>IF(ISBLANK(C542),"",SUBTOTAL(3,$C$8:C542))</f>
        <v>44</v>
      </c>
      <c r="C542" s="80" t="s">
        <v>1160</v>
      </c>
      <c r="D542" s="53" t="s">
        <v>1161</v>
      </c>
      <c r="E542" s="50" t="s">
        <v>1162</v>
      </c>
      <c r="F542" s="35" t="str">
        <f t="shared" si="36"/>
        <v/>
      </c>
      <c r="G542" s="36" t="str">
        <f t="shared" si="37"/>
        <v/>
      </c>
      <c r="H542" s="51" t="str">
        <f t="shared" si="39"/>
        <v/>
      </c>
      <c r="I542" s="51" t="str">
        <f t="shared" si="39"/>
        <v/>
      </c>
      <c r="J542" s="51" t="str">
        <f t="shared" si="39"/>
        <v/>
      </c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  <c r="AK542" s="37"/>
      <c r="AM542" s="38"/>
      <c r="AN542" s="38"/>
      <c r="AO542" s="38"/>
      <c r="AP542" s="38"/>
      <c r="AQ542" s="38"/>
      <c r="AR542" s="38"/>
      <c r="AS542" s="38"/>
      <c r="AT542" s="38"/>
      <c r="AU542" s="38"/>
      <c r="AV542" s="38"/>
      <c r="AW542" s="38"/>
      <c r="AX542" s="38"/>
      <c r="AY542" s="38"/>
      <c r="AZ542" s="38"/>
      <c r="BA542" s="38"/>
      <c r="BB542" s="38"/>
      <c r="BC542" s="38"/>
      <c r="BD542" s="38"/>
      <c r="BE542" s="77">
        <f t="shared" si="38"/>
        <v>0</v>
      </c>
      <c r="BF542" s="38"/>
    </row>
    <row r="543" spans="1:58" ht="22.5" hidden="1" customHeight="1">
      <c r="A543" s="33" t="str">
        <f>IF(OR(ISBLANK(E543),ISBLANK(C543)),"",IF(COUNTIF($E$8:E543,E543)&gt;1,"",(MAX($A$7:A542)+1)))</f>
        <v/>
      </c>
      <c r="B543" s="34">
        <f>IF(ISBLANK(C543),"",SUBTOTAL(3,$C$8:C543))</f>
        <v>44</v>
      </c>
      <c r="C543" s="80" t="s">
        <v>1163</v>
      </c>
      <c r="D543" s="53" t="s">
        <v>1164</v>
      </c>
      <c r="E543" s="50" t="s">
        <v>1162</v>
      </c>
      <c r="F543" s="35" t="str">
        <f t="shared" si="36"/>
        <v/>
      </c>
      <c r="G543" s="36" t="str">
        <f t="shared" si="37"/>
        <v/>
      </c>
      <c r="H543" s="51" t="str">
        <f t="shared" si="39"/>
        <v/>
      </c>
      <c r="I543" s="51" t="str">
        <f t="shared" si="39"/>
        <v/>
      </c>
      <c r="J543" s="51" t="str">
        <f t="shared" si="39"/>
        <v/>
      </c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  <c r="AJ543" s="37"/>
      <c r="AK543" s="37"/>
      <c r="AM543" s="38"/>
      <c r="AN543" s="38"/>
      <c r="AO543" s="38"/>
      <c r="AP543" s="38"/>
      <c r="AQ543" s="38"/>
      <c r="AR543" s="38"/>
      <c r="AS543" s="38"/>
      <c r="AT543" s="38"/>
      <c r="AU543" s="38"/>
      <c r="AV543" s="38"/>
      <c r="AW543" s="38"/>
      <c r="AX543" s="38"/>
      <c r="AY543" s="38"/>
      <c r="AZ543" s="38"/>
      <c r="BA543" s="38"/>
      <c r="BB543" s="38"/>
      <c r="BC543" s="38"/>
      <c r="BD543" s="38"/>
      <c r="BE543" s="77">
        <f t="shared" si="38"/>
        <v>0</v>
      </c>
      <c r="BF543" s="38"/>
    </row>
    <row r="544" spans="1:58" ht="22.5" hidden="1" customHeight="1">
      <c r="A544" s="33" t="str">
        <f>IF(OR(ISBLANK(E544),ISBLANK(C544)),"",IF(COUNTIF($E$8:E544,E544)&gt;1,"",(MAX($A$7:A543)+1)))</f>
        <v/>
      </c>
      <c r="B544" s="34">
        <f>IF(ISBLANK(C544),"",SUBTOTAL(3,$C$8:C544))</f>
        <v>44</v>
      </c>
      <c r="C544" s="80" t="s">
        <v>1165</v>
      </c>
      <c r="D544" s="53" t="s">
        <v>1166</v>
      </c>
      <c r="E544" s="50" t="s">
        <v>1162</v>
      </c>
      <c r="F544" s="35" t="str">
        <f t="shared" si="36"/>
        <v/>
      </c>
      <c r="G544" s="36" t="str">
        <f t="shared" si="37"/>
        <v>C</v>
      </c>
      <c r="H544" s="51" t="str">
        <f t="shared" si="39"/>
        <v/>
      </c>
      <c r="I544" s="51">
        <f t="shared" si="39"/>
        <v>4</v>
      </c>
      <c r="J544" s="51" t="str">
        <f t="shared" si="39"/>
        <v/>
      </c>
      <c r="K544" s="37"/>
      <c r="L544" s="37" t="s">
        <v>47</v>
      </c>
      <c r="M544" s="37"/>
      <c r="N544" s="37"/>
      <c r="O544" s="37" t="s">
        <v>47</v>
      </c>
      <c r="P544" s="37"/>
      <c r="Q544" s="37"/>
      <c r="R544" s="37" t="s">
        <v>47</v>
      </c>
      <c r="S544" s="37"/>
      <c r="T544" s="37"/>
      <c r="U544" s="37"/>
      <c r="V544" s="37"/>
      <c r="W544" s="37"/>
      <c r="X544" s="37"/>
      <c r="Y544" s="37"/>
      <c r="Z544" s="37"/>
      <c r="AA544" s="37" t="s">
        <v>47</v>
      </c>
      <c r="AB544" s="37"/>
      <c r="AC544" s="37"/>
      <c r="AD544" s="37"/>
      <c r="AE544" s="37"/>
      <c r="AF544" s="37"/>
      <c r="AG544" s="37"/>
      <c r="AH544" s="37"/>
      <c r="AI544" s="37"/>
      <c r="AJ544" s="37"/>
      <c r="AK544" s="37"/>
      <c r="AM544" s="38"/>
      <c r="AN544" s="38"/>
      <c r="AO544" s="38" t="s">
        <v>47</v>
      </c>
      <c r="AP544" s="38"/>
      <c r="AQ544" s="38"/>
      <c r="AR544" s="38"/>
      <c r="AS544" s="38" t="s">
        <v>47</v>
      </c>
      <c r="AT544" s="38"/>
      <c r="AU544" s="38"/>
      <c r="AV544" s="38"/>
      <c r="AW544" s="38"/>
      <c r="AX544" s="38"/>
      <c r="AY544" s="38" t="s">
        <v>47</v>
      </c>
      <c r="AZ544" s="38"/>
      <c r="BA544" s="38"/>
      <c r="BB544" s="38"/>
      <c r="BC544" s="38"/>
      <c r="BD544" s="38"/>
      <c r="BE544" s="77">
        <f t="shared" si="38"/>
        <v>3</v>
      </c>
      <c r="BF544" s="38"/>
    </row>
    <row r="545" spans="1:58" ht="22.5" hidden="1" customHeight="1">
      <c r="A545" s="33" t="str">
        <f>IF(OR(ISBLANK(E545),ISBLANK(C545)),"",IF(COUNTIF($E$8:E545,E545)&gt;1,"",(MAX($A$7:A544)+1)))</f>
        <v/>
      </c>
      <c r="B545" s="34">
        <f>IF(ISBLANK(C545),"",SUBTOTAL(3,$C$8:C545))</f>
        <v>44</v>
      </c>
      <c r="C545" s="80" t="s">
        <v>1167</v>
      </c>
      <c r="D545" s="53" t="s">
        <v>1168</v>
      </c>
      <c r="E545" s="50" t="s">
        <v>1162</v>
      </c>
      <c r="F545" s="35" t="str">
        <f t="shared" si="36"/>
        <v/>
      </c>
      <c r="G545" s="36" t="str">
        <f t="shared" si="37"/>
        <v>D</v>
      </c>
      <c r="H545" s="51" t="str">
        <f t="shared" si="39"/>
        <v/>
      </c>
      <c r="I545" s="51">
        <f t="shared" si="39"/>
        <v>1</v>
      </c>
      <c r="J545" s="51">
        <f t="shared" si="39"/>
        <v>2</v>
      </c>
      <c r="K545" s="37"/>
      <c r="L545" s="37"/>
      <c r="M545" s="37" t="s">
        <v>47</v>
      </c>
      <c r="N545" s="37"/>
      <c r="O545" s="37"/>
      <c r="P545" s="37" t="s">
        <v>47</v>
      </c>
      <c r="Q545" s="37"/>
      <c r="R545" s="37" t="s">
        <v>47</v>
      </c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  <c r="AI545" s="37"/>
      <c r="AJ545" s="37"/>
      <c r="AK545" s="37"/>
      <c r="AM545" s="38"/>
      <c r="AN545" s="38"/>
      <c r="AO545" s="38"/>
      <c r="AP545" s="38"/>
      <c r="AQ545" s="38"/>
      <c r="AR545" s="38"/>
      <c r="AS545" s="38" t="s">
        <v>47</v>
      </c>
      <c r="AT545" s="38"/>
      <c r="AU545" s="38"/>
      <c r="AV545" s="38" t="s">
        <v>47</v>
      </c>
      <c r="AW545" s="38"/>
      <c r="AX545" s="38"/>
      <c r="AY545" s="38" t="s">
        <v>47</v>
      </c>
      <c r="AZ545" s="38"/>
      <c r="BA545" s="38"/>
      <c r="BB545" s="38"/>
      <c r="BC545" s="38"/>
      <c r="BD545" s="38"/>
      <c r="BE545" s="77">
        <f t="shared" si="38"/>
        <v>3</v>
      </c>
      <c r="BF545" s="38"/>
    </row>
    <row r="546" spans="1:58" ht="22.5" hidden="1" customHeight="1">
      <c r="A546" s="33" t="str">
        <f>IF(OR(ISBLANK(E546),ISBLANK(C546)),"",IF(COUNTIF($E$8:E546,E546)&gt;1,"",(MAX($A$7:A545)+1)))</f>
        <v/>
      </c>
      <c r="B546" s="34">
        <f>IF(ISBLANK(C546),"",SUBTOTAL(3,$C$8:C546))</f>
        <v>44</v>
      </c>
      <c r="C546" s="79" t="s">
        <v>1169</v>
      </c>
      <c r="D546" s="50" t="s">
        <v>1170</v>
      </c>
      <c r="E546" s="50" t="s">
        <v>1162</v>
      </c>
      <c r="F546" s="35" t="str">
        <f t="shared" si="36"/>
        <v/>
      </c>
      <c r="G546" s="36" t="str">
        <f t="shared" si="37"/>
        <v>C</v>
      </c>
      <c r="H546" s="51" t="str">
        <f t="shared" si="39"/>
        <v/>
      </c>
      <c r="I546" s="51">
        <f t="shared" si="39"/>
        <v>3</v>
      </c>
      <c r="J546" s="51">
        <f t="shared" si="39"/>
        <v>1</v>
      </c>
      <c r="K546" s="37"/>
      <c r="L546" s="37" t="s">
        <v>47</v>
      </c>
      <c r="M546" s="37"/>
      <c r="N546" s="37"/>
      <c r="O546" s="37" t="s">
        <v>47</v>
      </c>
      <c r="P546" s="37"/>
      <c r="Q546" s="37"/>
      <c r="R546" s="37"/>
      <c r="S546" s="37" t="s">
        <v>47</v>
      </c>
      <c r="T546" s="37"/>
      <c r="U546" s="37"/>
      <c r="V546" s="37"/>
      <c r="W546" s="37"/>
      <c r="X546" s="37"/>
      <c r="Y546" s="37"/>
      <c r="Z546" s="37"/>
      <c r="AA546" s="37" t="s">
        <v>47</v>
      </c>
      <c r="AB546" s="37"/>
      <c r="AC546" s="37"/>
      <c r="AD546" s="37"/>
      <c r="AE546" s="37"/>
      <c r="AF546" s="37"/>
      <c r="AG546" s="37"/>
      <c r="AH546" s="37"/>
      <c r="AI546" s="37"/>
      <c r="AJ546" s="37"/>
      <c r="AK546" s="37"/>
      <c r="AM546" s="38"/>
      <c r="AN546" s="38"/>
      <c r="AO546" s="38" t="s">
        <v>47</v>
      </c>
      <c r="AP546" s="38"/>
      <c r="AQ546" s="38"/>
      <c r="AR546" s="38" t="s">
        <v>47</v>
      </c>
      <c r="AS546" s="38" t="s">
        <v>47</v>
      </c>
      <c r="AT546" s="38"/>
      <c r="AU546" s="38"/>
      <c r="AV546" s="38"/>
      <c r="AW546" s="38"/>
      <c r="AX546" s="38"/>
      <c r="AY546" s="38" t="s">
        <v>47</v>
      </c>
      <c r="AZ546" s="38"/>
      <c r="BA546" s="38"/>
      <c r="BB546" s="38" t="s">
        <v>47</v>
      </c>
      <c r="BC546" s="38"/>
      <c r="BD546" s="38"/>
      <c r="BE546" s="77">
        <f t="shared" si="38"/>
        <v>5</v>
      </c>
      <c r="BF546" s="38"/>
    </row>
    <row r="547" spans="1:58" ht="22.5" hidden="1" customHeight="1">
      <c r="A547" s="33" t="str">
        <f>IF(OR(ISBLANK(E547),ISBLANK(C547)),"",IF(COUNTIF($E$8:E547,E547)&gt;1,"",(MAX($A$7:A546)+1)))</f>
        <v/>
      </c>
      <c r="B547" s="34">
        <f>IF(ISBLANK(C547),"",SUBTOTAL(3,$C$8:C547))</f>
        <v>44</v>
      </c>
      <c r="C547" s="80" t="s">
        <v>1171</v>
      </c>
      <c r="D547" s="53" t="s">
        <v>1172</v>
      </c>
      <c r="E547" s="50" t="s">
        <v>1162</v>
      </c>
      <c r="F547" s="35" t="str">
        <f t="shared" si="36"/>
        <v/>
      </c>
      <c r="G547" s="36" t="str">
        <f t="shared" si="37"/>
        <v>D</v>
      </c>
      <c r="H547" s="51" t="str">
        <f t="shared" si="39"/>
        <v/>
      </c>
      <c r="I547" s="51">
        <f t="shared" si="39"/>
        <v>1</v>
      </c>
      <c r="J547" s="51" t="str">
        <f t="shared" si="39"/>
        <v/>
      </c>
      <c r="K547" s="37"/>
      <c r="L547" s="37" t="s">
        <v>47</v>
      </c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37"/>
      <c r="AJ547" s="37"/>
      <c r="AK547" s="37"/>
      <c r="AM547" s="38"/>
      <c r="AN547" s="38"/>
      <c r="AO547" s="38"/>
      <c r="AP547" s="38"/>
      <c r="AQ547" s="38"/>
      <c r="AR547" s="38" t="s">
        <v>47</v>
      </c>
      <c r="AS547" s="38" t="s">
        <v>47</v>
      </c>
      <c r="AT547" s="38"/>
      <c r="AU547" s="38"/>
      <c r="AV547" s="38"/>
      <c r="AW547" s="38"/>
      <c r="AX547" s="38"/>
      <c r="AY547" s="38"/>
      <c r="AZ547" s="38"/>
      <c r="BA547" s="38"/>
      <c r="BB547" s="38"/>
      <c r="BC547" s="38"/>
      <c r="BD547" s="38"/>
      <c r="BE547" s="77">
        <f t="shared" si="38"/>
        <v>2</v>
      </c>
      <c r="BF547" s="38"/>
    </row>
    <row r="548" spans="1:58" ht="22.5" hidden="1" customHeight="1">
      <c r="A548" s="33" t="str">
        <f>IF(OR(ISBLANK(E548),ISBLANK(C548)),"",IF(COUNTIF($E$8:E548,E548)&gt;1,"",(MAX($A$7:A547)+1)))</f>
        <v/>
      </c>
      <c r="B548" s="34">
        <f>IF(ISBLANK(C548),"",SUBTOTAL(3,$C$8:C548))</f>
        <v>44</v>
      </c>
      <c r="C548" s="80" t="s">
        <v>1173</v>
      </c>
      <c r="D548" s="53" t="s">
        <v>1174</v>
      </c>
      <c r="E548" s="50" t="s">
        <v>1162</v>
      </c>
      <c r="F548" s="35" t="str">
        <f t="shared" si="36"/>
        <v/>
      </c>
      <c r="G548" s="36" t="str">
        <f t="shared" si="37"/>
        <v>D</v>
      </c>
      <c r="H548" s="51" t="str">
        <f t="shared" si="39"/>
        <v/>
      </c>
      <c r="I548" s="51" t="str">
        <f t="shared" si="39"/>
        <v/>
      </c>
      <c r="J548" s="51">
        <f t="shared" si="39"/>
        <v>1</v>
      </c>
      <c r="K548" s="37"/>
      <c r="L548" s="37"/>
      <c r="M548" s="37" t="s">
        <v>47</v>
      </c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  <c r="AJ548" s="37"/>
      <c r="AK548" s="37"/>
      <c r="AM548" s="38" t="s">
        <v>47</v>
      </c>
      <c r="AN548" s="38" t="s">
        <v>47</v>
      </c>
      <c r="AO548" s="38"/>
      <c r="AP548" s="38"/>
      <c r="AQ548" s="38"/>
      <c r="AR548" s="38" t="s">
        <v>47</v>
      </c>
      <c r="AS548" s="38" t="s">
        <v>47</v>
      </c>
      <c r="AT548" s="38"/>
      <c r="AU548" s="38"/>
      <c r="AV548" s="38"/>
      <c r="AW548" s="38"/>
      <c r="AX548" s="38"/>
      <c r="AY548" s="38"/>
      <c r="AZ548" s="38"/>
      <c r="BA548" s="38"/>
      <c r="BB548" s="38"/>
      <c r="BC548" s="38"/>
      <c r="BD548" s="38"/>
      <c r="BE548" s="77">
        <f t="shared" si="38"/>
        <v>4</v>
      </c>
      <c r="BF548" s="38"/>
    </row>
    <row r="549" spans="1:58" ht="22.5" hidden="1" customHeight="1">
      <c r="A549" s="33" t="str">
        <f>IF(OR(ISBLANK(E549),ISBLANK(C549)),"",IF(COUNTIF($E$8:E549,E549)&gt;1,"",(MAX($A$7:A548)+1)))</f>
        <v/>
      </c>
      <c r="B549" s="34">
        <f>IF(ISBLANK(C549),"",SUBTOTAL(3,$C$8:C549))</f>
        <v>44</v>
      </c>
      <c r="C549" s="80" t="s">
        <v>1175</v>
      </c>
      <c r="D549" s="53" t="s">
        <v>1176</v>
      </c>
      <c r="E549" s="50" t="s">
        <v>1162</v>
      </c>
      <c r="F549" s="35" t="str">
        <f t="shared" si="36"/>
        <v/>
      </c>
      <c r="G549" s="36" t="str">
        <f t="shared" si="37"/>
        <v>C</v>
      </c>
      <c r="H549" s="51" t="str">
        <f t="shared" si="39"/>
        <v/>
      </c>
      <c r="I549" s="51">
        <f t="shared" si="39"/>
        <v>3</v>
      </c>
      <c r="J549" s="51">
        <f t="shared" si="39"/>
        <v>2</v>
      </c>
      <c r="K549" s="37"/>
      <c r="L549" s="37" t="s">
        <v>47</v>
      </c>
      <c r="M549" s="37"/>
      <c r="N549" s="37"/>
      <c r="O549" s="37" t="s">
        <v>47</v>
      </c>
      <c r="P549" s="37"/>
      <c r="Q549" s="37"/>
      <c r="R549" s="37"/>
      <c r="S549" s="37"/>
      <c r="T549" s="37"/>
      <c r="U549" s="37" t="s">
        <v>47</v>
      </c>
      <c r="V549" s="37"/>
      <c r="W549" s="37"/>
      <c r="X549" s="37"/>
      <c r="Y549" s="37" t="s">
        <v>47</v>
      </c>
      <c r="Z549" s="37"/>
      <c r="AA549" s="37"/>
      <c r="AB549" s="37" t="s">
        <v>47</v>
      </c>
      <c r="AC549" s="37"/>
      <c r="AD549" s="37"/>
      <c r="AE549" s="37"/>
      <c r="AF549" s="37"/>
      <c r="AG549" s="37"/>
      <c r="AH549" s="37"/>
      <c r="AI549" s="37"/>
      <c r="AJ549" s="37"/>
      <c r="AK549" s="37"/>
      <c r="AM549" s="38"/>
      <c r="AN549" s="38"/>
      <c r="AO549" s="38" t="s">
        <v>47</v>
      </c>
      <c r="AP549" s="38"/>
      <c r="AQ549" s="38"/>
      <c r="AR549" s="38"/>
      <c r="AS549" s="38" t="s">
        <v>47</v>
      </c>
      <c r="AT549" s="38"/>
      <c r="AU549" s="38"/>
      <c r="AV549" s="38"/>
      <c r="AW549" s="38" t="s">
        <v>47</v>
      </c>
      <c r="AX549" s="38"/>
      <c r="AY549" s="38" t="s">
        <v>47</v>
      </c>
      <c r="AZ549" s="38"/>
      <c r="BA549" s="38" t="s">
        <v>47</v>
      </c>
      <c r="BB549" s="38" t="s">
        <v>47</v>
      </c>
      <c r="BC549" s="38" t="s">
        <v>47</v>
      </c>
      <c r="BD549" s="38"/>
      <c r="BE549" s="77">
        <f t="shared" si="38"/>
        <v>7</v>
      </c>
      <c r="BF549" s="38"/>
    </row>
    <row r="550" spans="1:58" ht="22.5" hidden="1" customHeight="1">
      <c r="A550" s="33" t="str">
        <f>IF(OR(ISBLANK(E550),ISBLANK(C550)),"",IF(COUNTIF($E$8:E550,E550)&gt;1,"",(MAX($A$7:A549)+1)))</f>
        <v/>
      </c>
      <c r="B550" s="34">
        <f>IF(ISBLANK(C550),"",SUBTOTAL(3,$C$8:C550))</f>
        <v>44</v>
      </c>
      <c r="C550" s="80" t="s">
        <v>1177</v>
      </c>
      <c r="D550" s="53" t="s">
        <v>1178</v>
      </c>
      <c r="E550" s="50" t="s">
        <v>1162</v>
      </c>
      <c r="F550" s="35" t="str">
        <f t="shared" si="36"/>
        <v/>
      </c>
      <c r="G550" s="36" t="str">
        <f t="shared" si="37"/>
        <v>D</v>
      </c>
      <c r="H550" s="51" t="str">
        <f t="shared" si="39"/>
        <v/>
      </c>
      <c r="I550" s="51">
        <f t="shared" si="39"/>
        <v>1</v>
      </c>
      <c r="J550" s="51">
        <f t="shared" si="39"/>
        <v>1</v>
      </c>
      <c r="K550" s="37"/>
      <c r="L550" s="37" t="s">
        <v>47</v>
      </c>
      <c r="M550" s="37"/>
      <c r="N550" s="37"/>
      <c r="O550" s="37"/>
      <c r="P550" s="37"/>
      <c r="Q550" s="37"/>
      <c r="R550" s="37"/>
      <c r="S550" s="37" t="s">
        <v>47</v>
      </c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  <c r="AJ550" s="37"/>
      <c r="AK550" s="37"/>
      <c r="AM550" s="38"/>
      <c r="AN550" s="38"/>
      <c r="AO550" s="38"/>
      <c r="AP550" s="38"/>
      <c r="AQ550" s="38"/>
      <c r="AR550" s="38"/>
      <c r="AS550" s="38" t="s">
        <v>47</v>
      </c>
      <c r="AT550" s="38"/>
      <c r="AU550" s="38" t="s">
        <v>47</v>
      </c>
      <c r="AV550" s="38"/>
      <c r="AW550" s="38" t="s">
        <v>47</v>
      </c>
      <c r="AX550" s="38"/>
      <c r="AY550" s="38"/>
      <c r="AZ550" s="38" t="s">
        <v>47</v>
      </c>
      <c r="BA550" s="38"/>
      <c r="BB550" s="38" t="s">
        <v>47</v>
      </c>
      <c r="BC550" s="38"/>
      <c r="BD550" s="38"/>
      <c r="BE550" s="77">
        <f t="shared" si="38"/>
        <v>5</v>
      </c>
      <c r="BF550" s="38"/>
    </row>
    <row r="551" spans="1:58" ht="22.5" hidden="1" customHeight="1">
      <c r="A551" s="33" t="str">
        <f>IF(OR(ISBLANK(E551),ISBLANK(C551)),"",IF(COUNTIF($E$8:E551,E551)&gt;1,"",(MAX($A$7:A550)+1)))</f>
        <v/>
      </c>
      <c r="B551" s="34">
        <f>IF(ISBLANK(C551),"",SUBTOTAL(3,$C$8:C551))</f>
        <v>44</v>
      </c>
      <c r="C551" s="81" t="s">
        <v>1179</v>
      </c>
      <c r="D551" s="54" t="s">
        <v>1180</v>
      </c>
      <c r="E551" s="50" t="s">
        <v>1162</v>
      </c>
      <c r="F551" s="35" t="str">
        <f t="shared" si="36"/>
        <v/>
      </c>
      <c r="G551" s="36" t="str">
        <f t="shared" si="37"/>
        <v>C</v>
      </c>
      <c r="H551" s="51" t="str">
        <f t="shared" si="39"/>
        <v/>
      </c>
      <c r="I551" s="51">
        <f t="shared" si="39"/>
        <v>2</v>
      </c>
      <c r="J551" s="51">
        <f t="shared" si="39"/>
        <v>2</v>
      </c>
      <c r="K551" s="37"/>
      <c r="L551" s="37" t="s">
        <v>47</v>
      </c>
      <c r="M551" s="37"/>
      <c r="N551" s="37"/>
      <c r="O551" s="37"/>
      <c r="P551" s="37" t="s">
        <v>47</v>
      </c>
      <c r="Q551" s="37"/>
      <c r="R551" s="37"/>
      <c r="S551" s="37" t="s">
        <v>47</v>
      </c>
      <c r="T551" s="37"/>
      <c r="U551" s="37"/>
      <c r="V551" s="37"/>
      <c r="W551" s="37"/>
      <c r="X551" s="37"/>
      <c r="Y551" s="37"/>
      <c r="Z551" s="37"/>
      <c r="AA551" s="37" t="s">
        <v>47</v>
      </c>
      <c r="AB551" s="37"/>
      <c r="AC551" s="37"/>
      <c r="AD551" s="37"/>
      <c r="AE551" s="37"/>
      <c r="AF551" s="37"/>
      <c r="AG551" s="37"/>
      <c r="AH551" s="37"/>
      <c r="AI551" s="37"/>
      <c r="AJ551" s="37"/>
      <c r="AK551" s="37"/>
      <c r="AM551" s="38"/>
      <c r="AN551" s="38"/>
      <c r="AO551" s="38" t="s">
        <v>47</v>
      </c>
      <c r="AP551" s="38"/>
      <c r="AQ551" s="38"/>
      <c r="AR551" s="38"/>
      <c r="AS551" s="38" t="s">
        <v>47</v>
      </c>
      <c r="AT551" s="38"/>
      <c r="AU551" s="38"/>
      <c r="AV551" s="38"/>
      <c r="AW551" s="38"/>
      <c r="AX551" s="38"/>
      <c r="AY551" s="38" t="s">
        <v>47</v>
      </c>
      <c r="AZ551" s="38"/>
      <c r="BA551" s="38"/>
      <c r="BB551" s="38"/>
      <c r="BC551" s="38"/>
      <c r="BD551" s="38"/>
      <c r="BE551" s="77">
        <f t="shared" si="38"/>
        <v>3</v>
      </c>
      <c r="BF551" s="38"/>
    </row>
    <row r="552" spans="1:58" ht="22.5" hidden="1" customHeight="1">
      <c r="A552" s="33" t="str">
        <f>IF(OR(ISBLANK(E552),ISBLANK(C552)),"",IF(COUNTIF($E$8:E552,E552)&gt;1,"",(MAX($A$7:A551)+1)))</f>
        <v/>
      </c>
      <c r="B552" s="34">
        <f>IF(ISBLANK(C552),"",SUBTOTAL(3,$C$8:C552))</f>
        <v>44</v>
      </c>
      <c r="C552" s="81" t="s">
        <v>1181</v>
      </c>
      <c r="D552" s="54" t="s">
        <v>1182</v>
      </c>
      <c r="E552" s="50" t="s">
        <v>1162</v>
      </c>
      <c r="F552" s="35" t="str">
        <f t="shared" si="36"/>
        <v/>
      </c>
      <c r="G552" s="36" t="str">
        <f t="shared" si="37"/>
        <v>C</v>
      </c>
      <c r="H552" s="51" t="str">
        <f t="shared" si="39"/>
        <v/>
      </c>
      <c r="I552" s="51">
        <f t="shared" si="39"/>
        <v>2</v>
      </c>
      <c r="J552" s="51" t="str">
        <f t="shared" si="39"/>
        <v/>
      </c>
      <c r="K552" s="37"/>
      <c r="L552" s="37" t="s">
        <v>47</v>
      </c>
      <c r="M552" s="37"/>
      <c r="N552" s="37"/>
      <c r="O552" s="37"/>
      <c r="P552" s="37"/>
      <c r="Q552" s="37"/>
      <c r="R552" s="37" t="s">
        <v>47</v>
      </c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  <c r="AJ552" s="37"/>
      <c r="AK552" s="37"/>
      <c r="AM552" s="38"/>
      <c r="AN552" s="38"/>
      <c r="AO552" s="38"/>
      <c r="AP552" s="38"/>
      <c r="AQ552" s="38"/>
      <c r="AR552" s="38" t="s">
        <v>47</v>
      </c>
      <c r="AS552" s="38" t="s">
        <v>47</v>
      </c>
      <c r="AT552" s="38"/>
      <c r="AU552" s="38" t="s">
        <v>47</v>
      </c>
      <c r="AV552" s="38" t="s">
        <v>47</v>
      </c>
      <c r="AW552" s="38" t="s">
        <v>47</v>
      </c>
      <c r="AX552" s="38"/>
      <c r="AY552" s="38" t="s">
        <v>47</v>
      </c>
      <c r="AZ552" s="38"/>
      <c r="BA552" s="38"/>
      <c r="BB552" s="38"/>
      <c r="BC552" s="38"/>
      <c r="BD552" s="38"/>
      <c r="BE552" s="77">
        <f t="shared" si="38"/>
        <v>6</v>
      </c>
      <c r="BF552" s="38"/>
    </row>
    <row r="553" spans="1:58" ht="22.5" hidden="1" customHeight="1">
      <c r="A553" s="33" t="str">
        <f>IF(OR(ISBLANK(E553),ISBLANK(C553)),"",IF(COUNTIF($E$8:E553,E553)&gt;1,"",(MAX($A$7:A552)+1)))</f>
        <v/>
      </c>
      <c r="B553" s="34">
        <f>IF(ISBLANK(C553),"",SUBTOTAL(3,$C$8:C553))</f>
        <v>44</v>
      </c>
      <c r="C553" s="83" t="s">
        <v>1183</v>
      </c>
      <c r="D553" s="55" t="s">
        <v>1184</v>
      </c>
      <c r="E553" s="50" t="s">
        <v>1162</v>
      </c>
      <c r="F553" s="35" t="str">
        <f t="shared" si="36"/>
        <v/>
      </c>
      <c r="G553" s="36" t="str">
        <f t="shared" si="37"/>
        <v>D</v>
      </c>
      <c r="H553" s="51" t="str">
        <f t="shared" si="39"/>
        <v/>
      </c>
      <c r="I553" s="51">
        <f t="shared" si="39"/>
        <v>1</v>
      </c>
      <c r="J553" s="51">
        <f t="shared" si="39"/>
        <v>2</v>
      </c>
      <c r="K553" s="37"/>
      <c r="L553" s="37" t="s">
        <v>47</v>
      </c>
      <c r="M553" s="37"/>
      <c r="N553" s="37"/>
      <c r="O553" s="37"/>
      <c r="P553" s="37" t="s">
        <v>47</v>
      </c>
      <c r="Q553" s="37"/>
      <c r="R553" s="37"/>
      <c r="S553" s="37" t="s">
        <v>47</v>
      </c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  <c r="AJ553" s="37"/>
      <c r="AK553" s="37"/>
      <c r="AM553" s="38" t="s">
        <v>47</v>
      </c>
      <c r="AN553" s="38" t="s">
        <v>47</v>
      </c>
      <c r="AO553" s="38"/>
      <c r="AP553" s="38"/>
      <c r="AQ553" s="38"/>
      <c r="AR553" s="38" t="s">
        <v>47</v>
      </c>
      <c r="AS553" s="38" t="s">
        <v>47</v>
      </c>
      <c r="AT553" s="38"/>
      <c r="AU553" s="38"/>
      <c r="AV553" s="38"/>
      <c r="AW553" s="38"/>
      <c r="AX553" s="38"/>
      <c r="AY553" s="38" t="s">
        <v>47</v>
      </c>
      <c r="AZ553" s="38"/>
      <c r="BA553" s="38"/>
      <c r="BB553" s="38"/>
      <c r="BC553" s="38"/>
      <c r="BD553" s="38"/>
      <c r="BE553" s="77">
        <f t="shared" si="38"/>
        <v>5</v>
      </c>
      <c r="BF553" s="38"/>
    </row>
    <row r="554" spans="1:58" ht="22.5" hidden="1" customHeight="1">
      <c r="A554" s="33" t="str">
        <f>IF(OR(ISBLANK(E554),ISBLANK(C554)),"",IF(COUNTIF($E$8:E554,E554)&gt;1,"",(MAX($A$7:A553)+1)))</f>
        <v/>
      </c>
      <c r="B554" s="34">
        <f>IF(ISBLANK(C554),"",SUBTOTAL(3,$C$8:C554))</f>
        <v>44</v>
      </c>
      <c r="C554" s="80" t="s">
        <v>1185</v>
      </c>
      <c r="D554" s="52" t="s">
        <v>1186</v>
      </c>
      <c r="E554" s="50" t="s">
        <v>1162</v>
      </c>
      <c r="F554" s="35" t="str">
        <f t="shared" si="36"/>
        <v/>
      </c>
      <c r="G554" s="36" t="str">
        <f t="shared" si="37"/>
        <v>C</v>
      </c>
      <c r="H554" s="51">
        <f t="shared" si="39"/>
        <v>1</v>
      </c>
      <c r="I554" s="51" t="str">
        <f t="shared" si="39"/>
        <v/>
      </c>
      <c r="J554" s="51">
        <f t="shared" si="39"/>
        <v>1</v>
      </c>
      <c r="K554" s="37"/>
      <c r="L554" s="37"/>
      <c r="M554" s="37" t="s">
        <v>47</v>
      </c>
      <c r="N554" s="37"/>
      <c r="O554" s="37"/>
      <c r="P554" s="37"/>
      <c r="Q554" s="37" t="s">
        <v>47</v>
      </c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  <c r="AI554" s="37"/>
      <c r="AJ554" s="37"/>
      <c r="AK554" s="37"/>
      <c r="AM554" s="38"/>
      <c r="AN554" s="38"/>
      <c r="AO554" s="38"/>
      <c r="AP554" s="38"/>
      <c r="AQ554" s="38"/>
      <c r="AR554" s="38"/>
      <c r="AS554" s="38" t="s">
        <v>47</v>
      </c>
      <c r="AT554" s="38"/>
      <c r="AU554" s="38"/>
      <c r="AV554" s="38" t="s">
        <v>47</v>
      </c>
      <c r="AW554" s="38" t="s">
        <v>47</v>
      </c>
      <c r="AX554" s="38"/>
      <c r="AY554" s="38"/>
      <c r="AZ554" s="38"/>
      <c r="BA554" s="38"/>
      <c r="BB554" s="38"/>
      <c r="BC554" s="38"/>
      <c r="BD554" s="38"/>
      <c r="BE554" s="77">
        <f t="shared" si="38"/>
        <v>3</v>
      </c>
      <c r="BF554" s="38"/>
    </row>
    <row r="555" spans="1:58" ht="22.5" hidden="1" customHeight="1">
      <c r="A555" s="33" t="str">
        <f>IF(OR(ISBLANK(E555),ISBLANK(C555)),"",IF(COUNTIF($E$8:E555,E555)&gt;1,"",(MAX($A$7:A554)+1)))</f>
        <v/>
      </c>
      <c r="B555" s="34">
        <f>IF(ISBLANK(C555),"",SUBTOTAL(3,$C$8:C555))</f>
        <v>44</v>
      </c>
      <c r="C555" s="80" t="s">
        <v>1187</v>
      </c>
      <c r="D555" s="52" t="s">
        <v>1188</v>
      </c>
      <c r="E555" s="50" t="s">
        <v>1162</v>
      </c>
      <c r="F555" s="35" t="str">
        <f t="shared" si="36"/>
        <v/>
      </c>
      <c r="G555" s="36" t="str">
        <f t="shared" si="37"/>
        <v>C</v>
      </c>
      <c r="H555" s="51" t="str">
        <f t="shared" si="39"/>
        <v/>
      </c>
      <c r="I555" s="51">
        <f t="shared" si="39"/>
        <v>2</v>
      </c>
      <c r="J555" s="51">
        <f t="shared" si="39"/>
        <v>1</v>
      </c>
      <c r="K555" s="37"/>
      <c r="L555" s="37" t="s">
        <v>47</v>
      </c>
      <c r="M555" s="37"/>
      <c r="N555" s="37"/>
      <c r="O555" s="37" t="s">
        <v>47</v>
      </c>
      <c r="P555" s="37"/>
      <c r="Q555" s="37"/>
      <c r="R555" s="37"/>
      <c r="S555" s="37" t="s">
        <v>47</v>
      </c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  <c r="AJ555" s="37"/>
      <c r="AK555" s="37"/>
      <c r="AM555" s="38"/>
      <c r="AN555" s="38"/>
      <c r="AO555" s="38"/>
      <c r="AP555" s="38"/>
      <c r="AQ555" s="38"/>
      <c r="AR555" s="38"/>
      <c r="AS555" s="38" t="s">
        <v>47</v>
      </c>
      <c r="AT555" s="38"/>
      <c r="AU555" s="38"/>
      <c r="AV555" s="38"/>
      <c r="AW555" s="38" t="s">
        <v>47</v>
      </c>
      <c r="AX555" s="38"/>
      <c r="AY555" s="38" t="s">
        <v>47</v>
      </c>
      <c r="AZ555" s="38"/>
      <c r="BA555" s="38"/>
      <c r="BB555" s="38"/>
      <c r="BC555" s="38"/>
      <c r="BD555" s="38"/>
      <c r="BE555" s="77">
        <f t="shared" si="38"/>
        <v>3</v>
      </c>
      <c r="BF555" s="38"/>
    </row>
    <row r="556" spans="1:58" ht="22.5" hidden="1" customHeight="1">
      <c r="A556" s="33" t="str">
        <f>IF(OR(ISBLANK(E556),ISBLANK(C556)),"",IF(COUNTIF($E$8:E556,E556)&gt;1,"",(MAX($A$7:A555)+1)))</f>
        <v/>
      </c>
      <c r="B556" s="34">
        <f>IF(ISBLANK(C556),"",SUBTOTAL(3,$C$8:C556))</f>
        <v>44</v>
      </c>
      <c r="C556" s="80" t="s">
        <v>1189</v>
      </c>
      <c r="D556" s="52" t="s">
        <v>1190</v>
      </c>
      <c r="E556" s="50" t="s">
        <v>1162</v>
      </c>
      <c r="F556" s="35" t="str">
        <f t="shared" si="36"/>
        <v/>
      </c>
      <c r="G556" s="36" t="str">
        <f t="shared" si="37"/>
        <v>D</v>
      </c>
      <c r="H556" s="51" t="str">
        <f t="shared" si="39"/>
        <v/>
      </c>
      <c r="I556" s="51">
        <f t="shared" si="39"/>
        <v>1</v>
      </c>
      <c r="J556" s="51" t="str">
        <f t="shared" si="39"/>
        <v/>
      </c>
      <c r="K556" s="37"/>
      <c r="L556" s="37" t="s">
        <v>47</v>
      </c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M556" s="38"/>
      <c r="AN556" s="38"/>
      <c r="AO556" s="38"/>
      <c r="AP556" s="38"/>
      <c r="AQ556" s="38"/>
      <c r="AR556" s="38" t="s">
        <v>47</v>
      </c>
      <c r="AS556" s="38" t="s">
        <v>47</v>
      </c>
      <c r="AT556" s="38"/>
      <c r="AU556" s="38"/>
      <c r="AV556" s="38"/>
      <c r="AW556" s="38"/>
      <c r="AX556" s="38"/>
      <c r="AY556" s="38"/>
      <c r="AZ556" s="38"/>
      <c r="BA556" s="38"/>
      <c r="BB556" s="38"/>
      <c r="BC556" s="38"/>
      <c r="BD556" s="38"/>
      <c r="BE556" s="77">
        <f t="shared" si="38"/>
        <v>2</v>
      </c>
      <c r="BF556" s="38"/>
    </row>
    <row r="557" spans="1:58" ht="22.5" hidden="1" customHeight="1">
      <c r="A557" s="33" t="str">
        <f>IF(OR(ISBLANK(E557),ISBLANK(C557)),"",IF(COUNTIF($E$8:E557,E557)&gt;1,"",(MAX($A$7:A556)+1)))</f>
        <v/>
      </c>
      <c r="B557" s="34">
        <f>IF(ISBLANK(C557),"",SUBTOTAL(3,$C$8:C557))</f>
        <v>44</v>
      </c>
      <c r="C557" s="80" t="s">
        <v>1191</v>
      </c>
      <c r="D557" s="50" t="s">
        <v>549</v>
      </c>
      <c r="E557" s="50" t="s">
        <v>1162</v>
      </c>
      <c r="F557" s="35" t="str">
        <f t="shared" si="36"/>
        <v/>
      </c>
      <c r="G557" s="36" t="str">
        <f t="shared" si="37"/>
        <v>C</v>
      </c>
      <c r="H557" s="51" t="str">
        <f t="shared" si="39"/>
        <v/>
      </c>
      <c r="I557" s="51">
        <f t="shared" si="39"/>
        <v>2</v>
      </c>
      <c r="J557" s="51">
        <f t="shared" si="39"/>
        <v>1</v>
      </c>
      <c r="K557" s="37"/>
      <c r="L557" s="37" t="s">
        <v>47</v>
      </c>
      <c r="M557" s="37"/>
      <c r="N557" s="37"/>
      <c r="O557" s="37" t="s">
        <v>47</v>
      </c>
      <c r="P557" s="37"/>
      <c r="Q557" s="37"/>
      <c r="R557" s="37"/>
      <c r="S557" s="37" t="s">
        <v>47</v>
      </c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  <c r="AJ557" s="37"/>
      <c r="AK557" s="37"/>
      <c r="AM557" s="38"/>
      <c r="AN557" s="38"/>
      <c r="AO557" s="38" t="s">
        <v>47</v>
      </c>
      <c r="AP557" s="38"/>
      <c r="AQ557" s="38"/>
      <c r="AR557" s="38" t="s">
        <v>47</v>
      </c>
      <c r="AS557" s="38" t="s">
        <v>47</v>
      </c>
      <c r="AT557" s="38"/>
      <c r="AU557" s="38" t="s">
        <v>47</v>
      </c>
      <c r="AV557" s="38"/>
      <c r="AW557" s="38" t="s">
        <v>47</v>
      </c>
      <c r="AX557" s="38"/>
      <c r="AY557" s="38" t="s">
        <v>47</v>
      </c>
      <c r="AZ557" s="38"/>
      <c r="BA557" s="38"/>
      <c r="BB557" s="38"/>
      <c r="BC557" s="38"/>
      <c r="BD557" s="38"/>
      <c r="BE557" s="77">
        <f t="shared" si="38"/>
        <v>6</v>
      </c>
      <c r="BF557" s="38"/>
    </row>
    <row r="558" spans="1:58" ht="22.5" hidden="1" customHeight="1">
      <c r="A558" s="33" t="str">
        <f>IF(OR(ISBLANK(E558),ISBLANK(C558)),"",IF(COUNTIF($E$8:E558,E558)&gt;1,"",(MAX($A$7:A557)+1)))</f>
        <v/>
      </c>
      <c r="B558" s="34">
        <f>IF(ISBLANK(C558),"",SUBTOTAL(3,$C$8:C558))</f>
        <v>44</v>
      </c>
      <c r="C558" s="80" t="s">
        <v>1192</v>
      </c>
      <c r="D558" s="50" t="s">
        <v>1193</v>
      </c>
      <c r="E558" s="50" t="s">
        <v>1162</v>
      </c>
      <c r="F558" s="35" t="str">
        <f t="shared" si="36"/>
        <v/>
      </c>
      <c r="G558" s="36" t="str">
        <f t="shared" si="37"/>
        <v>D</v>
      </c>
      <c r="H558" s="51" t="str">
        <f t="shared" si="39"/>
        <v/>
      </c>
      <c r="I558" s="51">
        <f t="shared" si="39"/>
        <v>1</v>
      </c>
      <c r="J558" s="51" t="str">
        <f t="shared" si="39"/>
        <v/>
      </c>
      <c r="K558" s="37"/>
      <c r="L558" s="37" t="s">
        <v>47</v>
      </c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M558" s="38"/>
      <c r="AN558" s="38"/>
      <c r="AO558" s="38"/>
      <c r="AP558" s="38"/>
      <c r="AQ558" s="38"/>
      <c r="AR558" s="38"/>
      <c r="AS558" s="38" t="s">
        <v>47</v>
      </c>
      <c r="AT558" s="38"/>
      <c r="AU558" s="38"/>
      <c r="AV558" s="38"/>
      <c r="AW558" s="38" t="s">
        <v>47</v>
      </c>
      <c r="AX558" s="38"/>
      <c r="AY558" s="38" t="s">
        <v>47</v>
      </c>
      <c r="AZ558" s="38"/>
      <c r="BA558" s="38"/>
      <c r="BB558" s="38"/>
      <c r="BC558" s="38"/>
      <c r="BD558" s="38"/>
      <c r="BE558" s="77">
        <f t="shared" si="38"/>
        <v>3</v>
      </c>
      <c r="BF558" s="38"/>
    </row>
    <row r="559" spans="1:58" ht="22.5" hidden="1" customHeight="1">
      <c r="A559" s="33" t="str">
        <f>IF(OR(ISBLANK(E559),ISBLANK(C559)),"",IF(COUNTIF($E$8:E559,E559)&gt;1,"",(MAX($A$7:A558)+1)))</f>
        <v/>
      </c>
      <c r="B559" s="34">
        <f>IF(ISBLANK(C559),"",SUBTOTAL(3,$C$8:C559))</f>
        <v>44</v>
      </c>
      <c r="C559" s="80" t="s">
        <v>1194</v>
      </c>
      <c r="D559" s="50" t="s">
        <v>1195</v>
      </c>
      <c r="E559" s="50" t="s">
        <v>1162</v>
      </c>
      <c r="F559" s="35" t="str">
        <f t="shared" si="36"/>
        <v/>
      </c>
      <c r="G559" s="36" t="str">
        <f t="shared" si="37"/>
        <v>C</v>
      </c>
      <c r="H559" s="51" t="str">
        <f t="shared" si="39"/>
        <v/>
      </c>
      <c r="I559" s="51">
        <f t="shared" si="39"/>
        <v>4</v>
      </c>
      <c r="J559" s="51">
        <f t="shared" si="39"/>
        <v>1</v>
      </c>
      <c r="K559" s="37"/>
      <c r="L559" s="37" t="s">
        <v>47</v>
      </c>
      <c r="M559" s="37"/>
      <c r="N559" s="37"/>
      <c r="O559" s="37" t="s">
        <v>47</v>
      </c>
      <c r="P559" s="37"/>
      <c r="Q559" s="37"/>
      <c r="R559" s="37" t="s">
        <v>47</v>
      </c>
      <c r="S559" s="37"/>
      <c r="T559" s="37"/>
      <c r="U559" s="37"/>
      <c r="V559" s="37" t="s">
        <v>47</v>
      </c>
      <c r="W559" s="37"/>
      <c r="X559" s="37"/>
      <c r="Y559" s="37"/>
      <c r="Z559" s="37"/>
      <c r="AA559" s="37" t="s">
        <v>47</v>
      </c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M559" s="38"/>
      <c r="AN559" s="38"/>
      <c r="AO559" s="38" t="s">
        <v>47</v>
      </c>
      <c r="AP559" s="38"/>
      <c r="AQ559" s="38"/>
      <c r="AR559" s="38"/>
      <c r="AS559" s="38" t="s">
        <v>47</v>
      </c>
      <c r="AT559" s="38" t="s">
        <v>47</v>
      </c>
      <c r="AU559" s="38"/>
      <c r="AV559" s="38"/>
      <c r="AW559" s="38" t="s">
        <v>47</v>
      </c>
      <c r="AX559" s="38"/>
      <c r="AY559" s="38" t="s">
        <v>47</v>
      </c>
      <c r="AZ559" s="38"/>
      <c r="BA559" s="38" t="s">
        <v>47</v>
      </c>
      <c r="BB559" s="38" t="s">
        <v>47</v>
      </c>
      <c r="BC559" s="38" t="s">
        <v>47</v>
      </c>
      <c r="BD559" s="38"/>
      <c r="BE559" s="77">
        <f t="shared" si="38"/>
        <v>8</v>
      </c>
      <c r="BF559" s="38"/>
    </row>
    <row r="560" spans="1:58" ht="22.5" hidden="1" customHeight="1">
      <c r="A560" s="33" t="str">
        <f>IF(OR(ISBLANK(E560),ISBLANK(C560)),"",IF(COUNTIF($E$8:E560,E560)&gt;1,"",(MAX($A$7:A559)+1)))</f>
        <v/>
      </c>
      <c r="B560" s="34">
        <f>IF(ISBLANK(C560),"",SUBTOTAL(3,$C$8:C560))</f>
        <v>44</v>
      </c>
      <c r="C560" s="81" t="s">
        <v>1196</v>
      </c>
      <c r="D560" s="55" t="s">
        <v>1197</v>
      </c>
      <c r="E560" s="50" t="s">
        <v>1162</v>
      </c>
      <c r="F560" s="35" t="str">
        <f t="shared" si="36"/>
        <v/>
      </c>
      <c r="G560" s="36" t="str">
        <f t="shared" si="37"/>
        <v>D</v>
      </c>
      <c r="H560" s="51" t="str">
        <f t="shared" si="39"/>
        <v/>
      </c>
      <c r="I560" s="51">
        <f t="shared" si="39"/>
        <v>1</v>
      </c>
      <c r="J560" s="51">
        <f t="shared" si="39"/>
        <v>2</v>
      </c>
      <c r="K560" s="37"/>
      <c r="L560" s="37" t="s">
        <v>47</v>
      </c>
      <c r="M560" s="37"/>
      <c r="N560" s="37"/>
      <c r="O560" s="37"/>
      <c r="P560" s="37" t="s">
        <v>47</v>
      </c>
      <c r="Q560" s="37"/>
      <c r="R560" s="37"/>
      <c r="S560" s="37" t="s">
        <v>47</v>
      </c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  <c r="AJ560" s="37"/>
      <c r="AK560" s="37"/>
      <c r="AM560" s="38"/>
      <c r="AN560" s="38"/>
      <c r="AO560" s="38"/>
      <c r="AP560" s="38"/>
      <c r="AQ560" s="38"/>
      <c r="AR560" s="38"/>
      <c r="AS560" s="38" t="s">
        <v>47</v>
      </c>
      <c r="AT560" s="38" t="s">
        <v>47</v>
      </c>
      <c r="AU560" s="38"/>
      <c r="AV560" s="38"/>
      <c r="AW560" s="38" t="s">
        <v>47</v>
      </c>
      <c r="AX560" s="38"/>
      <c r="AY560" s="38"/>
      <c r="AZ560" s="38"/>
      <c r="BA560" s="38"/>
      <c r="BB560" s="38" t="s">
        <v>47</v>
      </c>
      <c r="BC560" s="38"/>
      <c r="BD560" s="38"/>
      <c r="BE560" s="77">
        <f t="shared" si="38"/>
        <v>4</v>
      </c>
      <c r="BF560" s="38"/>
    </row>
    <row r="561" spans="1:58" ht="22.5" hidden="1" customHeight="1">
      <c r="A561" s="33" t="str">
        <f>IF(OR(ISBLANK(E561),ISBLANK(C561)),"",IF(COUNTIF($E$8:E561,E561)&gt;1,"",(MAX($A$7:A560)+1)))</f>
        <v/>
      </c>
      <c r="B561" s="34">
        <f>IF(ISBLANK(C561),"",SUBTOTAL(3,$C$8:C561))</f>
        <v>44</v>
      </c>
      <c r="C561" s="81" t="s">
        <v>1198</v>
      </c>
      <c r="D561" s="55" t="s">
        <v>1199</v>
      </c>
      <c r="E561" s="50" t="s">
        <v>1162</v>
      </c>
      <c r="F561" s="35" t="str">
        <f t="shared" si="36"/>
        <v/>
      </c>
      <c r="G561" s="36" t="str">
        <f t="shared" si="37"/>
        <v>C</v>
      </c>
      <c r="H561" s="51" t="str">
        <f t="shared" si="39"/>
        <v/>
      </c>
      <c r="I561" s="51">
        <f t="shared" si="39"/>
        <v>2</v>
      </c>
      <c r="J561" s="51">
        <f t="shared" si="39"/>
        <v>1</v>
      </c>
      <c r="K561" s="37"/>
      <c r="L561" s="37" t="s">
        <v>47</v>
      </c>
      <c r="M561" s="37"/>
      <c r="N561" s="37"/>
      <c r="O561" s="37" t="s">
        <v>47</v>
      </c>
      <c r="P561" s="37"/>
      <c r="Q561" s="37"/>
      <c r="R561" s="37"/>
      <c r="S561" s="37" t="s">
        <v>47</v>
      </c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7"/>
      <c r="AK561" s="37"/>
      <c r="AM561" s="38"/>
      <c r="AN561" s="38"/>
      <c r="AO561" s="38"/>
      <c r="AP561" s="38"/>
      <c r="AQ561" s="38"/>
      <c r="AR561" s="38"/>
      <c r="AS561" s="38" t="s">
        <v>47</v>
      </c>
      <c r="AT561" s="38" t="s">
        <v>47</v>
      </c>
      <c r="AU561" s="38"/>
      <c r="AV561" s="38"/>
      <c r="AW561" s="38" t="s">
        <v>47</v>
      </c>
      <c r="AX561" s="38"/>
      <c r="AY561" s="38"/>
      <c r="AZ561" s="38" t="s">
        <v>47</v>
      </c>
      <c r="BA561" s="38" t="s">
        <v>47</v>
      </c>
      <c r="BB561" s="38" t="s">
        <v>47</v>
      </c>
      <c r="BC561" s="38"/>
      <c r="BD561" s="38"/>
      <c r="BE561" s="77">
        <f t="shared" si="38"/>
        <v>6</v>
      </c>
      <c r="BF561" s="38"/>
    </row>
    <row r="562" spans="1:58" ht="22.5" hidden="1" customHeight="1">
      <c r="A562" s="33" t="str">
        <f>IF(OR(ISBLANK(E562),ISBLANK(C562)),"",IF(COUNTIF($E$8:E562,E562)&gt;1,"",(MAX($A$7:A561)+1)))</f>
        <v/>
      </c>
      <c r="B562" s="34">
        <f>IF(ISBLANK(C562),"",SUBTOTAL(3,$C$8:C562))</f>
        <v>44</v>
      </c>
      <c r="C562" s="81" t="s">
        <v>1200</v>
      </c>
      <c r="D562" s="55" t="s">
        <v>1201</v>
      </c>
      <c r="E562" s="50" t="s">
        <v>1162</v>
      </c>
      <c r="F562" s="35" t="str">
        <f t="shared" si="36"/>
        <v/>
      </c>
      <c r="G562" s="36" t="str">
        <f t="shared" si="37"/>
        <v>C</v>
      </c>
      <c r="H562" s="51" t="str">
        <f t="shared" si="39"/>
        <v/>
      </c>
      <c r="I562" s="51">
        <f t="shared" si="39"/>
        <v>2</v>
      </c>
      <c r="J562" s="51">
        <f t="shared" si="39"/>
        <v>1</v>
      </c>
      <c r="K562" s="37"/>
      <c r="L562" s="37" t="s">
        <v>47</v>
      </c>
      <c r="M562" s="37"/>
      <c r="N562" s="37"/>
      <c r="O562" s="37" t="s">
        <v>47</v>
      </c>
      <c r="P562" s="37"/>
      <c r="Q562" s="37"/>
      <c r="R562" s="37"/>
      <c r="S562" s="37" t="s">
        <v>47</v>
      </c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M562" s="38"/>
      <c r="AN562" s="38"/>
      <c r="AO562" s="38"/>
      <c r="AP562" s="38"/>
      <c r="AQ562" s="38"/>
      <c r="AR562" s="38"/>
      <c r="AS562" s="38" t="s">
        <v>47</v>
      </c>
      <c r="AT562" s="38"/>
      <c r="AU562" s="38" t="s">
        <v>47</v>
      </c>
      <c r="AV562" s="38"/>
      <c r="AW562" s="38" t="s">
        <v>47</v>
      </c>
      <c r="AX562" s="38"/>
      <c r="AY562" s="38" t="s">
        <v>47</v>
      </c>
      <c r="AZ562" s="38"/>
      <c r="BA562" s="38"/>
      <c r="BB562" s="38"/>
      <c r="BC562" s="38"/>
      <c r="BD562" s="38"/>
      <c r="BE562" s="77">
        <f t="shared" si="38"/>
        <v>4</v>
      </c>
      <c r="BF562" s="38"/>
    </row>
    <row r="563" spans="1:58" ht="22.5" hidden="1" customHeight="1">
      <c r="A563" s="33" t="str">
        <f>IF(OR(ISBLANK(E563),ISBLANK(C563)),"",IF(COUNTIF($E$8:E563,E563)&gt;1,"",(MAX($A$7:A562)+1)))</f>
        <v/>
      </c>
      <c r="B563" s="34">
        <f>IF(ISBLANK(C563),"",SUBTOTAL(3,$C$8:C563))</f>
        <v>44</v>
      </c>
      <c r="C563" s="81" t="s">
        <v>1202</v>
      </c>
      <c r="D563" s="55" t="s">
        <v>1203</v>
      </c>
      <c r="E563" s="50" t="s">
        <v>1162</v>
      </c>
      <c r="F563" s="35" t="str">
        <f t="shared" si="36"/>
        <v/>
      </c>
      <c r="G563" s="36" t="str">
        <f t="shared" si="37"/>
        <v>D</v>
      </c>
      <c r="H563" s="51" t="str">
        <f t="shared" si="39"/>
        <v/>
      </c>
      <c r="I563" s="51">
        <f t="shared" si="39"/>
        <v>1</v>
      </c>
      <c r="J563" s="51" t="str">
        <f t="shared" si="39"/>
        <v/>
      </c>
      <c r="K563" s="37"/>
      <c r="L563" s="37" t="s">
        <v>47</v>
      </c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  <c r="AJ563" s="37"/>
      <c r="AK563" s="37"/>
      <c r="AM563" s="38"/>
      <c r="AN563" s="38" t="s">
        <v>47</v>
      </c>
      <c r="AO563" s="38"/>
      <c r="AP563" s="38"/>
      <c r="AQ563" s="38"/>
      <c r="AR563" s="38"/>
      <c r="AS563" s="38" t="s">
        <v>47</v>
      </c>
      <c r="AT563" s="38"/>
      <c r="AU563" s="38"/>
      <c r="AV563" s="38"/>
      <c r="AW563" s="38" t="s">
        <v>47</v>
      </c>
      <c r="AX563" s="38"/>
      <c r="AY563" s="38" t="s">
        <v>47</v>
      </c>
      <c r="AZ563" s="38"/>
      <c r="BA563" s="38"/>
      <c r="BB563" s="38"/>
      <c r="BC563" s="38"/>
      <c r="BD563" s="38"/>
      <c r="BE563" s="77">
        <f t="shared" si="38"/>
        <v>4</v>
      </c>
      <c r="BF563" s="38"/>
    </row>
    <row r="564" spans="1:58" ht="22.5" hidden="1" customHeight="1">
      <c r="A564" s="33" t="str">
        <f>IF(OR(ISBLANK(E564),ISBLANK(C564)),"",IF(COUNTIF($E$8:E564,E564)&gt;1,"",(MAX($A$7:A563)+1)))</f>
        <v/>
      </c>
      <c r="B564" s="34">
        <f>IF(ISBLANK(C564),"",SUBTOTAL(3,$C$8:C564))</f>
        <v>44</v>
      </c>
      <c r="C564" s="80" t="s">
        <v>1204</v>
      </c>
      <c r="D564" s="50" t="s">
        <v>1205</v>
      </c>
      <c r="E564" s="50" t="s">
        <v>1162</v>
      </c>
      <c r="F564" s="35" t="str">
        <f t="shared" si="36"/>
        <v/>
      </c>
      <c r="G564" s="36" t="str">
        <f t="shared" si="37"/>
        <v>D</v>
      </c>
      <c r="H564" s="51" t="str">
        <f t="shared" si="39"/>
        <v/>
      </c>
      <c r="I564" s="51">
        <f t="shared" si="39"/>
        <v>1</v>
      </c>
      <c r="J564" s="51">
        <f t="shared" si="39"/>
        <v>2</v>
      </c>
      <c r="K564" s="37"/>
      <c r="L564" s="37" t="s">
        <v>47</v>
      </c>
      <c r="M564" s="37"/>
      <c r="N564" s="37"/>
      <c r="O564" s="37"/>
      <c r="P564" s="37" t="s">
        <v>47</v>
      </c>
      <c r="Q564" s="37"/>
      <c r="R564" s="37"/>
      <c r="S564" s="37" t="s">
        <v>47</v>
      </c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  <c r="AJ564" s="37"/>
      <c r="AK564" s="37"/>
      <c r="AM564" s="38"/>
      <c r="AN564" s="38"/>
      <c r="AO564" s="38"/>
      <c r="AP564" s="38"/>
      <c r="AQ564" s="38"/>
      <c r="AR564" s="38" t="s">
        <v>47</v>
      </c>
      <c r="AS564" s="38" t="s">
        <v>47</v>
      </c>
      <c r="AT564" s="38"/>
      <c r="AU564" s="38" t="s">
        <v>47</v>
      </c>
      <c r="AV564" s="38"/>
      <c r="AW564" s="38" t="s">
        <v>47</v>
      </c>
      <c r="AX564" s="38"/>
      <c r="AY564" s="38"/>
      <c r="AZ564" s="38"/>
      <c r="BA564" s="38"/>
      <c r="BB564" s="38"/>
      <c r="BC564" s="38"/>
      <c r="BD564" s="38"/>
      <c r="BE564" s="77">
        <f t="shared" si="38"/>
        <v>4</v>
      </c>
      <c r="BF564" s="38"/>
    </row>
    <row r="565" spans="1:58" ht="22.5" hidden="1" customHeight="1">
      <c r="A565" s="33" t="str">
        <f>IF(OR(ISBLANK(E565),ISBLANK(C565)),"",IF(COUNTIF($E$8:E565,E565)&gt;1,"",(MAX($A$7:A564)+1)))</f>
        <v/>
      </c>
      <c r="B565" s="34">
        <f>IF(ISBLANK(C565),"",SUBTOTAL(3,$C$8:C565))</f>
        <v>44</v>
      </c>
      <c r="C565" s="79" t="s">
        <v>1206</v>
      </c>
      <c r="D565" s="50" t="s">
        <v>1207</v>
      </c>
      <c r="E565" s="50" t="s">
        <v>1162</v>
      </c>
      <c r="F565" s="35" t="str">
        <f t="shared" si="36"/>
        <v/>
      </c>
      <c r="G565" s="36" t="str">
        <f t="shared" si="37"/>
        <v>C</v>
      </c>
      <c r="H565" s="51" t="str">
        <f t="shared" si="39"/>
        <v/>
      </c>
      <c r="I565" s="51">
        <f t="shared" si="39"/>
        <v>3</v>
      </c>
      <c r="J565" s="51" t="str">
        <f t="shared" si="39"/>
        <v/>
      </c>
      <c r="K565" s="37"/>
      <c r="L565" s="37" t="s">
        <v>47</v>
      </c>
      <c r="M565" s="37"/>
      <c r="N565" s="37"/>
      <c r="O565" s="37" t="s">
        <v>47</v>
      </c>
      <c r="P565" s="37"/>
      <c r="Q565" s="37"/>
      <c r="R565" s="37" t="s">
        <v>47</v>
      </c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  <c r="AI565" s="37"/>
      <c r="AJ565" s="37"/>
      <c r="AK565" s="37"/>
      <c r="AM565" s="38"/>
      <c r="AN565" s="38"/>
      <c r="AO565" s="38"/>
      <c r="AP565" s="38"/>
      <c r="AQ565" s="38"/>
      <c r="AR565" s="38"/>
      <c r="AS565" s="38" t="s">
        <v>47</v>
      </c>
      <c r="AT565" s="38" t="s">
        <v>47</v>
      </c>
      <c r="AU565" s="38"/>
      <c r="AV565" s="38" t="s">
        <v>47</v>
      </c>
      <c r="AW565" s="38" t="s">
        <v>47</v>
      </c>
      <c r="AX565" s="38"/>
      <c r="AY565" s="38" t="s">
        <v>47</v>
      </c>
      <c r="AZ565" s="38" t="s">
        <v>47</v>
      </c>
      <c r="BA565" s="38" t="s">
        <v>47</v>
      </c>
      <c r="BB565" s="38"/>
      <c r="BC565" s="38"/>
      <c r="BD565" s="38"/>
      <c r="BE565" s="77">
        <f t="shared" si="38"/>
        <v>7</v>
      </c>
      <c r="BF565" s="38"/>
    </row>
    <row r="566" spans="1:58" ht="22.5" hidden="1" customHeight="1">
      <c r="A566" s="33" t="str">
        <f>IF(OR(ISBLANK(E566),ISBLANK(C566)),"",IF(COUNTIF($E$8:E566,E566)&gt;1,"",(MAX($A$7:A565)+1)))</f>
        <v/>
      </c>
      <c r="B566" s="34">
        <f>IF(ISBLANK(C566),"",SUBTOTAL(3,$C$8:C566))</f>
        <v>44</v>
      </c>
      <c r="C566" s="83" t="s">
        <v>1208</v>
      </c>
      <c r="D566" s="55" t="s">
        <v>1209</v>
      </c>
      <c r="E566" s="50" t="s">
        <v>1162</v>
      </c>
      <c r="F566" s="35" t="str">
        <f t="shared" si="36"/>
        <v/>
      </c>
      <c r="G566" s="36" t="str">
        <f t="shared" si="37"/>
        <v>C</v>
      </c>
      <c r="H566" s="51" t="str">
        <f t="shared" si="39"/>
        <v/>
      </c>
      <c r="I566" s="51">
        <f t="shared" si="39"/>
        <v>2</v>
      </c>
      <c r="J566" s="51" t="str">
        <f t="shared" si="39"/>
        <v/>
      </c>
      <c r="K566" s="37"/>
      <c r="L566" s="37" t="s">
        <v>47</v>
      </c>
      <c r="M566" s="37"/>
      <c r="N566" s="37"/>
      <c r="O566" s="37" t="s">
        <v>47</v>
      </c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  <c r="AI566" s="37"/>
      <c r="AJ566" s="37"/>
      <c r="AK566" s="37"/>
      <c r="AM566" s="38"/>
      <c r="AN566" s="38"/>
      <c r="AO566" s="38"/>
      <c r="AP566" s="38"/>
      <c r="AQ566" s="38"/>
      <c r="AR566" s="38"/>
      <c r="AS566" s="38" t="s">
        <v>47</v>
      </c>
      <c r="AT566" s="38" t="s">
        <v>47</v>
      </c>
      <c r="AU566" s="38"/>
      <c r="AV566" s="38"/>
      <c r="AW566" s="38" t="s">
        <v>47</v>
      </c>
      <c r="AX566" s="38"/>
      <c r="AY566" s="38" t="s">
        <v>47</v>
      </c>
      <c r="AZ566" s="38"/>
      <c r="BA566" s="38" t="s">
        <v>47</v>
      </c>
      <c r="BB566" s="38" t="s">
        <v>47</v>
      </c>
      <c r="BC566" s="38"/>
      <c r="BD566" s="38"/>
      <c r="BE566" s="77">
        <f t="shared" si="38"/>
        <v>6</v>
      </c>
      <c r="BF566" s="38"/>
    </row>
    <row r="567" spans="1:58" ht="22.5" hidden="1" customHeight="1">
      <c r="A567" s="33" t="str">
        <f>IF(OR(ISBLANK(E567),ISBLANK(C567)),"",IF(COUNTIF($E$8:E567,E567)&gt;1,"",(MAX($A$7:A566)+1)))</f>
        <v/>
      </c>
      <c r="B567" s="34">
        <f>IF(ISBLANK(C567),"",SUBTOTAL(3,$C$8:C567))</f>
        <v>44</v>
      </c>
      <c r="C567" s="83" t="s">
        <v>1210</v>
      </c>
      <c r="D567" s="55" t="s">
        <v>1211</v>
      </c>
      <c r="E567" s="50" t="s">
        <v>1162</v>
      </c>
      <c r="F567" s="35" t="str">
        <f t="shared" si="36"/>
        <v/>
      </c>
      <c r="G567" s="36" t="str">
        <f t="shared" si="37"/>
        <v>C</v>
      </c>
      <c r="H567" s="51">
        <f t="shared" si="39"/>
        <v>1</v>
      </c>
      <c r="I567" s="51">
        <f t="shared" si="39"/>
        <v>1</v>
      </c>
      <c r="J567" s="51">
        <f t="shared" si="39"/>
        <v>1</v>
      </c>
      <c r="K567" s="37"/>
      <c r="L567" s="37" t="s">
        <v>47</v>
      </c>
      <c r="M567" s="37"/>
      <c r="N567" s="37"/>
      <c r="O567" s="37"/>
      <c r="P567" s="37" t="s">
        <v>47</v>
      </c>
      <c r="Q567" s="37" t="s">
        <v>47</v>
      </c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  <c r="AJ567" s="37"/>
      <c r="AK567" s="37"/>
      <c r="AM567" s="38"/>
      <c r="AN567" s="38"/>
      <c r="AO567" s="38"/>
      <c r="AP567" s="38"/>
      <c r="AQ567" s="38"/>
      <c r="AR567" s="38"/>
      <c r="AS567" s="38" t="s">
        <v>47</v>
      </c>
      <c r="AT567" s="38" t="s">
        <v>47</v>
      </c>
      <c r="AU567" s="38" t="s">
        <v>47</v>
      </c>
      <c r="AV567" s="38" t="s">
        <v>47</v>
      </c>
      <c r="AW567" s="38" t="s">
        <v>47</v>
      </c>
      <c r="AX567" s="38" t="s">
        <v>47</v>
      </c>
      <c r="AY567" s="38" t="s">
        <v>47</v>
      </c>
      <c r="AZ567" s="38"/>
      <c r="BA567" s="38" t="s">
        <v>47</v>
      </c>
      <c r="BB567" s="38"/>
      <c r="BC567" s="38"/>
      <c r="BD567" s="38"/>
      <c r="BE567" s="77">
        <f t="shared" si="38"/>
        <v>8</v>
      </c>
      <c r="BF567" s="38"/>
    </row>
    <row r="568" spans="1:58" ht="22.5" hidden="1" customHeight="1">
      <c r="A568" s="33" t="str">
        <f>IF(OR(ISBLANK(E568),ISBLANK(C568)),"",IF(COUNTIF($E$8:E568,E568)&gt;1,"",(MAX($A$7:A567)+1)))</f>
        <v/>
      </c>
      <c r="B568" s="34">
        <f>IF(ISBLANK(C568),"",SUBTOTAL(3,$C$8:C568))</f>
        <v>44</v>
      </c>
      <c r="C568" s="82" t="s">
        <v>1212</v>
      </c>
      <c r="D568" s="56" t="s">
        <v>1213</v>
      </c>
      <c r="E568" s="50" t="s">
        <v>1162</v>
      </c>
      <c r="F568" s="35" t="str">
        <f t="shared" si="36"/>
        <v/>
      </c>
      <c r="G568" s="36" t="str">
        <f t="shared" si="37"/>
        <v>A</v>
      </c>
      <c r="H568" s="51">
        <f t="shared" si="39"/>
        <v>4</v>
      </c>
      <c r="I568" s="51">
        <f t="shared" si="39"/>
        <v>1</v>
      </c>
      <c r="J568" s="51" t="str">
        <f t="shared" si="39"/>
        <v/>
      </c>
      <c r="K568" s="37" t="s">
        <v>47</v>
      </c>
      <c r="L568" s="37"/>
      <c r="M568" s="37"/>
      <c r="N568" s="37" t="s">
        <v>47</v>
      </c>
      <c r="O568" s="37"/>
      <c r="P568" s="37"/>
      <c r="Q568" s="37" t="s">
        <v>47</v>
      </c>
      <c r="R568" s="37"/>
      <c r="S568" s="37"/>
      <c r="T568" s="37" t="s">
        <v>47</v>
      </c>
      <c r="U568" s="37"/>
      <c r="V568" s="37"/>
      <c r="W568" s="37"/>
      <c r="X568" s="37" t="s">
        <v>47</v>
      </c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7"/>
      <c r="AK568" s="37"/>
      <c r="AM568" s="38"/>
      <c r="AN568" s="38"/>
      <c r="AO568" s="38"/>
      <c r="AP568" s="38"/>
      <c r="AQ568" s="38"/>
      <c r="AR568" s="38"/>
      <c r="AS568" s="38" t="s">
        <v>47</v>
      </c>
      <c r="AT568" s="38" t="s">
        <v>47</v>
      </c>
      <c r="AU568" s="38" t="s">
        <v>47</v>
      </c>
      <c r="AV568" s="38" t="s">
        <v>47</v>
      </c>
      <c r="AW568" s="38" t="s">
        <v>47</v>
      </c>
      <c r="AX568" s="38" t="s">
        <v>47</v>
      </c>
      <c r="AY568" s="38" t="s">
        <v>47</v>
      </c>
      <c r="AZ568" s="38" t="s">
        <v>47</v>
      </c>
      <c r="BA568" s="38" t="s">
        <v>47</v>
      </c>
      <c r="BB568" s="38" t="s">
        <v>47</v>
      </c>
      <c r="BC568" s="38" t="s">
        <v>47</v>
      </c>
      <c r="BD568" s="38" t="s">
        <v>47</v>
      </c>
      <c r="BE568" s="77">
        <f t="shared" si="38"/>
        <v>12</v>
      </c>
      <c r="BF568" s="38"/>
    </row>
    <row r="569" spans="1:58" ht="22.5" hidden="1" customHeight="1">
      <c r="A569" s="33" t="str">
        <f>IF(OR(ISBLANK(E569),ISBLANK(C569)),"",IF(COUNTIF($E$8:E569,E569)&gt;1,"",(MAX($A$7:A568)+1)))</f>
        <v/>
      </c>
      <c r="B569" s="34">
        <f>IF(ISBLANK(C569),"",SUBTOTAL(3,$C$8:C569))</f>
        <v>44</v>
      </c>
      <c r="C569" s="80" t="s">
        <v>1214</v>
      </c>
      <c r="D569" s="52" t="s">
        <v>1215</v>
      </c>
      <c r="E569" s="50" t="s">
        <v>1162</v>
      </c>
      <c r="F569" s="35" t="str">
        <f t="shared" si="36"/>
        <v/>
      </c>
      <c r="G569" s="36" t="str">
        <f t="shared" si="37"/>
        <v>D</v>
      </c>
      <c r="H569" s="51" t="str">
        <f t="shared" si="39"/>
        <v/>
      </c>
      <c r="I569" s="51">
        <f t="shared" si="39"/>
        <v>1</v>
      </c>
      <c r="J569" s="51">
        <f t="shared" si="39"/>
        <v>1</v>
      </c>
      <c r="K569" s="37"/>
      <c r="L569" s="37" t="s">
        <v>47</v>
      </c>
      <c r="M569" s="37"/>
      <c r="N569" s="37"/>
      <c r="O569" s="37"/>
      <c r="P569" s="37" t="s">
        <v>47</v>
      </c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  <c r="AJ569" s="37"/>
      <c r="AK569" s="37"/>
      <c r="AM569" s="38"/>
      <c r="AN569" s="38"/>
      <c r="AO569" s="38"/>
      <c r="AP569" s="38"/>
      <c r="AQ569" s="38"/>
      <c r="AR569" s="38"/>
      <c r="AS569" s="38" t="s">
        <v>47</v>
      </c>
      <c r="AT569" s="38" t="s">
        <v>47</v>
      </c>
      <c r="AU569" s="38" t="s">
        <v>47</v>
      </c>
      <c r="AV569" s="38"/>
      <c r="AW569" s="38"/>
      <c r="AX569" s="38"/>
      <c r="AY569" s="38" t="s">
        <v>47</v>
      </c>
      <c r="AZ569" s="38"/>
      <c r="BA569" s="38"/>
      <c r="BB569" s="38"/>
      <c r="BC569" s="38"/>
      <c r="BD569" s="38"/>
      <c r="BE569" s="77">
        <f t="shared" si="38"/>
        <v>4</v>
      </c>
      <c r="BF569" s="38"/>
    </row>
    <row r="570" spans="1:58" ht="22.5" hidden="1" customHeight="1">
      <c r="A570" s="33" t="str">
        <f>IF(OR(ISBLANK(E570),ISBLANK(C570)),"",IF(COUNTIF($E$8:E570,E570)&gt;1,"",(MAX($A$7:A569)+1)))</f>
        <v/>
      </c>
      <c r="B570" s="34">
        <f>IF(ISBLANK(C570),"",SUBTOTAL(3,$C$8:C570))</f>
        <v>44</v>
      </c>
      <c r="C570" s="81" t="s">
        <v>1216</v>
      </c>
      <c r="D570" s="55" t="s">
        <v>1217</v>
      </c>
      <c r="E570" s="50" t="s">
        <v>1162</v>
      </c>
      <c r="F570" s="35" t="str">
        <f t="shared" si="36"/>
        <v/>
      </c>
      <c r="G570" s="36" t="str">
        <f t="shared" si="37"/>
        <v>C</v>
      </c>
      <c r="H570" s="51">
        <f t="shared" si="39"/>
        <v>1</v>
      </c>
      <c r="I570" s="51" t="str">
        <f t="shared" si="39"/>
        <v/>
      </c>
      <c r="J570" s="51" t="str">
        <f t="shared" si="39"/>
        <v/>
      </c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 t="s">
        <v>47</v>
      </c>
      <c r="AG570" s="37"/>
      <c r="AH570" s="37"/>
      <c r="AI570" s="37"/>
      <c r="AJ570" s="37"/>
      <c r="AK570" s="37"/>
      <c r="AM570" s="38"/>
      <c r="AN570" s="38"/>
      <c r="AO570" s="38"/>
      <c r="AP570" s="38" t="s">
        <v>47</v>
      </c>
      <c r="AQ570" s="38"/>
      <c r="AR570" s="38"/>
      <c r="AS570" s="38" t="s">
        <v>47</v>
      </c>
      <c r="AT570" s="38"/>
      <c r="AU570" s="38"/>
      <c r="AV570" s="38"/>
      <c r="AW570" s="38"/>
      <c r="AX570" s="38"/>
      <c r="AY570" s="38"/>
      <c r="AZ570" s="38"/>
      <c r="BA570" s="38"/>
      <c r="BB570" s="38"/>
      <c r="BC570" s="38"/>
      <c r="BD570" s="38"/>
      <c r="BE570" s="77">
        <f t="shared" si="38"/>
        <v>2</v>
      </c>
      <c r="BF570" s="38"/>
    </row>
    <row r="571" spans="1:58" ht="22.5" hidden="1" customHeight="1">
      <c r="A571" s="33" t="str">
        <f>IF(OR(ISBLANK(E571),ISBLANK(C571)),"",IF(COUNTIF($E$8:E571,E571)&gt;1,"",(MAX($A$7:A570)+1)))</f>
        <v/>
      </c>
      <c r="B571" s="34">
        <f>IF(ISBLANK(C571),"",SUBTOTAL(3,$C$8:C571))</f>
        <v>44</v>
      </c>
      <c r="C571" s="81" t="s">
        <v>1218</v>
      </c>
      <c r="D571" s="54" t="s">
        <v>1219</v>
      </c>
      <c r="E571" s="50" t="s">
        <v>1162</v>
      </c>
      <c r="F571" s="35" t="str">
        <f t="shared" si="36"/>
        <v/>
      </c>
      <c r="G571" s="36" t="str">
        <f t="shared" si="37"/>
        <v>B</v>
      </c>
      <c r="H571" s="51">
        <f t="shared" si="39"/>
        <v>1</v>
      </c>
      <c r="I571" s="51">
        <f t="shared" si="39"/>
        <v>2</v>
      </c>
      <c r="J571" s="51">
        <f t="shared" si="39"/>
        <v>1</v>
      </c>
      <c r="K571" s="37"/>
      <c r="L571" s="37" t="s">
        <v>47</v>
      </c>
      <c r="M571" s="37"/>
      <c r="N571" s="37"/>
      <c r="O571" s="37" t="s">
        <v>47</v>
      </c>
      <c r="P571" s="37"/>
      <c r="Q571" s="37"/>
      <c r="R571" s="37"/>
      <c r="S571" s="37" t="s">
        <v>47</v>
      </c>
      <c r="T571" s="37"/>
      <c r="U571" s="37"/>
      <c r="V571" s="37"/>
      <c r="W571" s="37"/>
      <c r="X571" s="37"/>
      <c r="Y571" s="37"/>
      <c r="Z571" s="37" t="s">
        <v>47</v>
      </c>
      <c r="AA571" s="37"/>
      <c r="AB571" s="37"/>
      <c r="AC571" s="37"/>
      <c r="AD571" s="37"/>
      <c r="AE571" s="37"/>
      <c r="AF571" s="37"/>
      <c r="AG571" s="37"/>
      <c r="AH571" s="37"/>
      <c r="AI571" s="37"/>
      <c r="AJ571" s="37"/>
      <c r="AK571" s="37"/>
      <c r="AM571" s="38"/>
      <c r="AN571" s="38"/>
      <c r="AO571" s="38" t="s">
        <v>47</v>
      </c>
      <c r="AP571" s="38" t="s">
        <v>47</v>
      </c>
      <c r="AQ571" s="38"/>
      <c r="AR571" s="38"/>
      <c r="AS571" s="38" t="s">
        <v>47</v>
      </c>
      <c r="AT571" s="38"/>
      <c r="AU571" s="38"/>
      <c r="AV571" s="38"/>
      <c r="AW571" s="38" t="s">
        <v>47</v>
      </c>
      <c r="AX571" s="38"/>
      <c r="AY571" s="38"/>
      <c r="AZ571" s="38" t="s">
        <v>47</v>
      </c>
      <c r="BA571" s="38" t="s">
        <v>47</v>
      </c>
      <c r="BB571" s="38" t="s">
        <v>47</v>
      </c>
      <c r="BC571" s="38" t="s">
        <v>47</v>
      </c>
      <c r="BD571" s="38"/>
      <c r="BE571" s="77">
        <f t="shared" si="38"/>
        <v>8</v>
      </c>
      <c r="BF571" s="38"/>
    </row>
    <row r="572" spans="1:58" ht="22.5" hidden="1" customHeight="1">
      <c r="A572" s="33" t="str">
        <f>IF(OR(ISBLANK(E572),ISBLANK(C572)),"",IF(COUNTIF($E$8:E572,E572)&gt;1,"",(MAX($A$7:A571)+1)))</f>
        <v/>
      </c>
      <c r="B572" s="34">
        <f>IF(ISBLANK(C572),"",SUBTOTAL(3,$C$8:C572))</f>
        <v>44</v>
      </c>
      <c r="C572" s="81" t="s">
        <v>1220</v>
      </c>
      <c r="D572" s="54" t="s">
        <v>1221</v>
      </c>
      <c r="E572" s="50" t="s">
        <v>1162</v>
      </c>
      <c r="F572" s="35" t="str">
        <f t="shared" si="36"/>
        <v/>
      </c>
      <c r="G572" s="36" t="str">
        <f t="shared" si="37"/>
        <v>D</v>
      </c>
      <c r="H572" s="51" t="str">
        <f t="shared" si="39"/>
        <v/>
      </c>
      <c r="I572" s="51">
        <f t="shared" si="39"/>
        <v>1</v>
      </c>
      <c r="J572" s="51" t="str">
        <f t="shared" si="39"/>
        <v/>
      </c>
      <c r="K572" s="37"/>
      <c r="L572" s="37" t="s">
        <v>47</v>
      </c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  <c r="AJ572" s="37"/>
      <c r="AK572" s="37"/>
      <c r="AM572" s="38" t="s">
        <v>47</v>
      </c>
      <c r="AN572" s="38" t="s">
        <v>47</v>
      </c>
      <c r="AO572" s="38"/>
      <c r="AP572" s="38"/>
      <c r="AQ572" s="38"/>
      <c r="AR572" s="38" t="s">
        <v>47</v>
      </c>
      <c r="AS572" s="38" t="s">
        <v>47</v>
      </c>
      <c r="AT572" s="38"/>
      <c r="AU572" s="38"/>
      <c r="AV572" s="38"/>
      <c r="AW572" s="38"/>
      <c r="AX572" s="38"/>
      <c r="AY572" s="38"/>
      <c r="AZ572" s="38"/>
      <c r="BA572" s="38"/>
      <c r="BB572" s="38"/>
      <c r="BC572" s="38"/>
      <c r="BD572" s="38"/>
      <c r="BE572" s="77">
        <f t="shared" si="38"/>
        <v>4</v>
      </c>
      <c r="BF572" s="38"/>
    </row>
    <row r="573" spans="1:58" ht="22.5" hidden="1" customHeight="1">
      <c r="A573" s="33" t="str">
        <f>IF(OR(ISBLANK(E573),ISBLANK(C573)),"",IF(COUNTIF($E$8:E573,E573)&gt;1,"",(MAX($A$7:A572)+1)))</f>
        <v/>
      </c>
      <c r="B573" s="34">
        <f>IF(ISBLANK(C573),"",SUBTOTAL(3,$C$8:C573))</f>
        <v>44</v>
      </c>
      <c r="C573" s="81" t="s">
        <v>1222</v>
      </c>
      <c r="D573" s="54" t="s">
        <v>1223</v>
      </c>
      <c r="E573" s="50" t="s">
        <v>1162</v>
      </c>
      <c r="F573" s="35" t="str">
        <f t="shared" si="36"/>
        <v/>
      </c>
      <c r="G573" s="36" t="str">
        <f t="shared" si="37"/>
        <v>D</v>
      </c>
      <c r="H573" s="51" t="str">
        <f t="shared" si="39"/>
        <v/>
      </c>
      <c r="I573" s="51">
        <f t="shared" si="39"/>
        <v>1</v>
      </c>
      <c r="J573" s="51" t="str">
        <f t="shared" si="39"/>
        <v/>
      </c>
      <c r="K573" s="37"/>
      <c r="L573" s="37" t="s">
        <v>47</v>
      </c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  <c r="AI573" s="37"/>
      <c r="AJ573" s="37"/>
      <c r="AK573" s="37"/>
      <c r="AM573" s="38" t="s">
        <v>47</v>
      </c>
      <c r="AN573" s="38" t="s">
        <v>47</v>
      </c>
      <c r="AO573" s="38"/>
      <c r="AP573" s="38"/>
      <c r="AQ573" s="38"/>
      <c r="AR573" s="38" t="s">
        <v>47</v>
      </c>
      <c r="AS573" s="38" t="s">
        <v>47</v>
      </c>
      <c r="AT573" s="38"/>
      <c r="AU573" s="38"/>
      <c r="AV573" s="38"/>
      <c r="AW573" s="38"/>
      <c r="AX573" s="38"/>
      <c r="AY573" s="38"/>
      <c r="AZ573" s="38"/>
      <c r="BA573" s="38"/>
      <c r="BB573" s="38"/>
      <c r="BC573" s="38"/>
      <c r="BD573" s="38"/>
      <c r="BE573" s="77">
        <f t="shared" si="38"/>
        <v>4</v>
      </c>
      <c r="BF573" s="38"/>
    </row>
    <row r="574" spans="1:58" ht="22.5" hidden="1" customHeight="1">
      <c r="A574" s="33" t="str">
        <f>IF(OR(ISBLANK(E574),ISBLANK(C574)),"",IF(COUNTIF($E$8:E574,E574)&gt;1,"",(MAX($A$7:A573)+1)))</f>
        <v/>
      </c>
      <c r="B574" s="34">
        <f>IF(ISBLANK(C574),"",SUBTOTAL(3,$C$8:C574))</f>
        <v>44</v>
      </c>
      <c r="C574" s="81" t="s">
        <v>1224</v>
      </c>
      <c r="D574" s="54" t="s">
        <v>1225</v>
      </c>
      <c r="E574" s="50" t="s">
        <v>1162</v>
      </c>
      <c r="F574" s="35" t="str">
        <f t="shared" si="36"/>
        <v/>
      </c>
      <c r="G574" s="36" t="str">
        <f t="shared" si="37"/>
        <v>D</v>
      </c>
      <c r="H574" s="51" t="str">
        <f t="shared" si="39"/>
        <v/>
      </c>
      <c r="I574" s="51">
        <f t="shared" si="39"/>
        <v>1</v>
      </c>
      <c r="J574" s="51" t="str">
        <f t="shared" si="39"/>
        <v/>
      </c>
      <c r="K574" s="37"/>
      <c r="L574" s="37" t="s">
        <v>47</v>
      </c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  <c r="AJ574" s="37"/>
      <c r="AK574" s="37"/>
      <c r="AM574" s="38" t="s">
        <v>47</v>
      </c>
      <c r="AN574" s="38" t="s">
        <v>47</v>
      </c>
      <c r="AO574" s="38"/>
      <c r="AP574" s="38"/>
      <c r="AQ574" s="38"/>
      <c r="AR574" s="38" t="s">
        <v>47</v>
      </c>
      <c r="AS574" s="38" t="s">
        <v>47</v>
      </c>
      <c r="AT574" s="38"/>
      <c r="AU574" s="38"/>
      <c r="AV574" s="38"/>
      <c r="AW574" s="38"/>
      <c r="AX574" s="38"/>
      <c r="AY574" s="38"/>
      <c r="AZ574" s="38"/>
      <c r="BA574" s="38"/>
      <c r="BB574" s="38"/>
      <c r="BC574" s="38"/>
      <c r="BD574" s="38"/>
      <c r="BE574" s="77">
        <f t="shared" si="38"/>
        <v>4</v>
      </c>
      <c r="BF574" s="38"/>
    </row>
    <row r="575" spans="1:58" ht="22.5" hidden="1" customHeight="1">
      <c r="A575" s="33" t="str">
        <f>IF(OR(ISBLANK(E575),ISBLANK(C575)),"",IF(COUNTIF($E$8:E575,E575)&gt;1,"",(MAX($A$7:A574)+1)))</f>
        <v/>
      </c>
      <c r="B575" s="34">
        <f>IF(ISBLANK(C575),"",SUBTOTAL(3,$C$8:C575))</f>
        <v>44</v>
      </c>
      <c r="C575" s="81" t="s">
        <v>1226</v>
      </c>
      <c r="D575" s="54" t="s">
        <v>1227</v>
      </c>
      <c r="E575" s="50" t="s">
        <v>1162</v>
      </c>
      <c r="F575" s="35" t="str">
        <f t="shared" si="36"/>
        <v/>
      </c>
      <c r="G575" s="36" t="str">
        <f t="shared" si="37"/>
        <v>C</v>
      </c>
      <c r="H575" s="51" t="str">
        <f t="shared" si="39"/>
        <v/>
      </c>
      <c r="I575" s="51">
        <f t="shared" si="39"/>
        <v>2</v>
      </c>
      <c r="J575" s="51">
        <f t="shared" si="39"/>
        <v>1</v>
      </c>
      <c r="K575" s="37"/>
      <c r="L575" s="37" t="s">
        <v>47</v>
      </c>
      <c r="M575" s="37"/>
      <c r="N575" s="37"/>
      <c r="O575" s="37" t="s">
        <v>47</v>
      </c>
      <c r="P575" s="37"/>
      <c r="Q575" s="37"/>
      <c r="R575" s="37"/>
      <c r="S575" s="37" t="s">
        <v>47</v>
      </c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  <c r="AJ575" s="37"/>
      <c r="AK575" s="37"/>
      <c r="AM575" s="38" t="s">
        <v>47</v>
      </c>
      <c r="AN575" s="38" t="s">
        <v>47</v>
      </c>
      <c r="AO575" s="38"/>
      <c r="AP575" s="38"/>
      <c r="AQ575" s="38"/>
      <c r="AR575" s="38" t="s">
        <v>47</v>
      </c>
      <c r="AS575" s="38" t="s">
        <v>47</v>
      </c>
      <c r="AT575" s="38"/>
      <c r="AU575" s="38"/>
      <c r="AV575" s="38"/>
      <c r="AW575" s="38"/>
      <c r="AX575" s="38"/>
      <c r="AY575" s="38" t="s">
        <v>47</v>
      </c>
      <c r="AZ575" s="38"/>
      <c r="BA575" s="38"/>
      <c r="BB575" s="38"/>
      <c r="BC575" s="38"/>
      <c r="BD575" s="38"/>
      <c r="BE575" s="77">
        <f t="shared" si="38"/>
        <v>5</v>
      </c>
      <c r="BF575" s="38"/>
    </row>
    <row r="576" spans="1:58" ht="22.5" hidden="1" customHeight="1">
      <c r="A576" s="33" t="str">
        <f>IF(OR(ISBLANK(E576),ISBLANK(C576)),"",IF(COUNTIF($E$8:E576,E576)&gt;1,"",(MAX($A$7:A575)+1)))</f>
        <v/>
      </c>
      <c r="B576" s="34">
        <f>IF(ISBLANK(C576),"",SUBTOTAL(3,$C$8:C576))</f>
        <v>44</v>
      </c>
      <c r="C576" s="81" t="s">
        <v>1228</v>
      </c>
      <c r="D576" s="54" t="s">
        <v>1229</v>
      </c>
      <c r="E576" s="50" t="s">
        <v>1162</v>
      </c>
      <c r="F576" s="35" t="str">
        <f t="shared" si="36"/>
        <v/>
      </c>
      <c r="G576" s="36" t="str">
        <f t="shared" si="37"/>
        <v>C</v>
      </c>
      <c r="H576" s="51" t="str">
        <f t="shared" si="39"/>
        <v/>
      </c>
      <c r="I576" s="51">
        <f t="shared" si="39"/>
        <v>2</v>
      </c>
      <c r="J576" s="51">
        <f t="shared" si="39"/>
        <v>1</v>
      </c>
      <c r="K576" s="37"/>
      <c r="L576" s="37" t="s">
        <v>47</v>
      </c>
      <c r="M576" s="37"/>
      <c r="N576" s="37"/>
      <c r="O576" s="37" t="s">
        <v>47</v>
      </c>
      <c r="P576" s="37"/>
      <c r="Q576" s="37"/>
      <c r="R576" s="37"/>
      <c r="S576" s="37" t="s">
        <v>47</v>
      </c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7"/>
      <c r="AK576" s="37"/>
      <c r="AM576" s="38"/>
      <c r="AN576" s="38"/>
      <c r="AO576" s="38"/>
      <c r="AP576" s="38"/>
      <c r="AQ576" s="38"/>
      <c r="AR576" s="38" t="s">
        <v>47</v>
      </c>
      <c r="AS576" s="38" t="s">
        <v>47</v>
      </c>
      <c r="AT576" s="38" t="s">
        <v>47</v>
      </c>
      <c r="AU576" s="38" t="s">
        <v>47</v>
      </c>
      <c r="AV576" s="38"/>
      <c r="AW576" s="38" t="s">
        <v>47</v>
      </c>
      <c r="AX576" s="38"/>
      <c r="AY576" s="38" t="s">
        <v>47</v>
      </c>
      <c r="AZ576" s="38"/>
      <c r="BA576" s="38"/>
      <c r="BB576" s="38"/>
      <c r="BC576" s="38"/>
      <c r="BD576" s="38"/>
      <c r="BE576" s="77">
        <f t="shared" si="38"/>
        <v>6</v>
      </c>
      <c r="BF576" s="38"/>
    </row>
    <row r="577" spans="1:58" ht="22.5" hidden="1" customHeight="1">
      <c r="A577" s="33" t="str">
        <f>IF(OR(ISBLANK(E577),ISBLANK(C577)),"",IF(COUNTIF($E$8:E577,E577)&gt;1,"",(MAX($A$7:A576)+1)))</f>
        <v/>
      </c>
      <c r="B577" s="34">
        <f>IF(ISBLANK(C577),"",SUBTOTAL(3,$C$8:C577))</f>
        <v>44</v>
      </c>
      <c r="C577" s="81" t="s">
        <v>1230</v>
      </c>
      <c r="D577" s="54" t="s">
        <v>1231</v>
      </c>
      <c r="E577" s="50" t="s">
        <v>1162</v>
      </c>
      <c r="F577" s="35" t="str">
        <f t="shared" si="36"/>
        <v/>
      </c>
      <c r="G577" s="36" t="str">
        <f t="shared" si="37"/>
        <v>A</v>
      </c>
      <c r="H577" s="51">
        <f t="shared" si="39"/>
        <v>5</v>
      </c>
      <c r="I577" s="51">
        <f t="shared" si="39"/>
        <v>1</v>
      </c>
      <c r="J577" s="51" t="str">
        <f t="shared" si="39"/>
        <v/>
      </c>
      <c r="K577" s="37" t="s">
        <v>47</v>
      </c>
      <c r="L577" s="37"/>
      <c r="M577" s="37"/>
      <c r="N577" s="37" t="s">
        <v>47</v>
      </c>
      <c r="O577" s="37"/>
      <c r="P577" s="37"/>
      <c r="Q577" s="37" t="s">
        <v>47</v>
      </c>
      <c r="R577" s="37"/>
      <c r="S577" s="37"/>
      <c r="T577" s="37" t="s">
        <v>47</v>
      </c>
      <c r="U577" s="37"/>
      <c r="V577" s="37"/>
      <c r="W577" s="37" t="s">
        <v>47</v>
      </c>
      <c r="X577" s="37"/>
      <c r="Y577" s="37"/>
      <c r="Z577" s="37"/>
      <c r="AA577" s="37" t="s">
        <v>47</v>
      </c>
      <c r="AB577" s="37"/>
      <c r="AC577" s="37"/>
      <c r="AD577" s="37"/>
      <c r="AE577" s="37"/>
      <c r="AF577" s="37"/>
      <c r="AG577" s="37"/>
      <c r="AH577" s="37"/>
      <c r="AI577" s="37"/>
      <c r="AJ577" s="37"/>
      <c r="AK577" s="37"/>
      <c r="AM577" s="38"/>
      <c r="AN577" s="38"/>
      <c r="AO577" s="38"/>
      <c r="AP577" s="38"/>
      <c r="AQ577" s="38"/>
      <c r="AR577" s="38"/>
      <c r="AS577" s="38" t="s">
        <v>47</v>
      </c>
      <c r="AT577" s="38" t="s">
        <v>47</v>
      </c>
      <c r="AU577" s="38" t="s">
        <v>47</v>
      </c>
      <c r="AV577" s="38" t="s">
        <v>47</v>
      </c>
      <c r="AW577" s="38" t="s">
        <v>47</v>
      </c>
      <c r="AX577" s="38" t="s">
        <v>47</v>
      </c>
      <c r="AY577" s="38" t="s">
        <v>47</v>
      </c>
      <c r="AZ577" s="38" t="s">
        <v>47</v>
      </c>
      <c r="BA577" s="38" t="s">
        <v>47</v>
      </c>
      <c r="BB577" s="38" t="s">
        <v>47</v>
      </c>
      <c r="BC577" s="38" t="s">
        <v>47</v>
      </c>
      <c r="BD577" s="38" t="s">
        <v>47</v>
      </c>
      <c r="BE577" s="77">
        <f t="shared" si="38"/>
        <v>12</v>
      </c>
      <c r="BF577" s="38"/>
    </row>
    <row r="578" spans="1:58" ht="22.5" hidden="1" customHeight="1">
      <c r="A578" s="33" t="str">
        <f>IF(OR(ISBLANK(E578),ISBLANK(C578)),"",IF(COUNTIF($E$8:E578,E578)&gt;1,"",(MAX($A$7:A577)+1)))</f>
        <v/>
      </c>
      <c r="B578" s="34">
        <f>IF(ISBLANK(C578),"",SUBTOTAL(3,$C$8:C578))</f>
        <v>44</v>
      </c>
      <c r="C578" s="81" t="s">
        <v>1232</v>
      </c>
      <c r="D578" s="54" t="s">
        <v>1233</v>
      </c>
      <c r="E578" s="50" t="s">
        <v>1162</v>
      </c>
      <c r="F578" s="35" t="str">
        <f t="shared" si="36"/>
        <v/>
      </c>
      <c r="G578" s="36" t="str">
        <f t="shared" si="37"/>
        <v>C</v>
      </c>
      <c r="H578" s="51">
        <f t="shared" si="39"/>
        <v>1</v>
      </c>
      <c r="I578" s="51">
        <f t="shared" si="39"/>
        <v>1</v>
      </c>
      <c r="J578" s="51" t="str">
        <f t="shared" si="39"/>
        <v/>
      </c>
      <c r="K578" s="37" t="s">
        <v>47</v>
      </c>
      <c r="L578" s="37"/>
      <c r="M578" s="37"/>
      <c r="N578" s="37"/>
      <c r="O578" s="37" t="s">
        <v>47</v>
      </c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  <c r="AJ578" s="37"/>
      <c r="AK578" s="37"/>
      <c r="AM578" s="38"/>
      <c r="AN578" s="38"/>
      <c r="AO578" s="38"/>
      <c r="AP578" s="38"/>
      <c r="AQ578" s="38"/>
      <c r="AR578" s="38"/>
      <c r="AS578" s="38" t="s">
        <v>47</v>
      </c>
      <c r="AT578" s="38" t="s">
        <v>47</v>
      </c>
      <c r="AU578" s="38" t="s">
        <v>47</v>
      </c>
      <c r="AV578" s="38"/>
      <c r="AW578" s="38" t="s">
        <v>47</v>
      </c>
      <c r="AX578" s="38" t="s">
        <v>47</v>
      </c>
      <c r="AY578" s="38" t="s">
        <v>47</v>
      </c>
      <c r="AZ578" s="38" t="s">
        <v>47</v>
      </c>
      <c r="BA578" s="38"/>
      <c r="BB578" s="38"/>
      <c r="BC578" s="38"/>
      <c r="BD578" s="38"/>
      <c r="BE578" s="77">
        <f t="shared" si="38"/>
        <v>7</v>
      </c>
      <c r="BF578" s="38"/>
    </row>
    <row r="579" spans="1:58" ht="22.5" hidden="1" customHeight="1">
      <c r="A579" s="33" t="str">
        <f>IF(OR(ISBLANK(E579),ISBLANK(C579)),"",IF(COUNTIF($E$8:E579,E579)&gt;1,"",(MAX($A$7:A578)+1)))</f>
        <v/>
      </c>
      <c r="B579" s="34">
        <f>IF(ISBLANK(C579),"",SUBTOTAL(3,$C$8:C579))</f>
        <v>44</v>
      </c>
      <c r="C579" s="81" t="s">
        <v>1234</v>
      </c>
      <c r="D579" s="54" t="s">
        <v>1235</v>
      </c>
      <c r="E579" s="50" t="s">
        <v>1162</v>
      </c>
      <c r="F579" s="35" t="str">
        <f t="shared" si="36"/>
        <v/>
      </c>
      <c r="G579" s="36" t="str">
        <f t="shared" si="37"/>
        <v>D</v>
      </c>
      <c r="H579" s="51" t="str">
        <f t="shared" si="39"/>
        <v/>
      </c>
      <c r="I579" s="51">
        <f t="shared" si="39"/>
        <v>1</v>
      </c>
      <c r="J579" s="51">
        <f t="shared" si="39"/>
        <v>2</v>
      </c>
      <c r="K579" s="37"/>
      <c r="L579" s="37" t="s">
        <v>47</v>
      </c>
      <c r="M579" s="37"/>
      <c r="N579" s="37"/>
      <c r="O579" s="37"/>
      <c r="P579" s="37" t="s">
        <v>47</v>
      </c>
      <c r="Q579" s="37"/>
      <c r="R579" s="37"/>
      <c r="S579" s="37" t="s">
        <v>47</v>
      </c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  <c r="AJ579" s="37"/>
      <c r="AK579" s="37"/>
      <c r="AM579" s="38"/>
      <c r="AN579" s="38"/>
      <c r="AO579" s="38"/>
      <c r="AP579" s="38"/>
      <c r="AQ579" s="38"/>
      <c r="AR579" s="38"/>
      <c r="AS579" s="38" t="s">
        <v>47</v>
      </c>
      <c r="AT579" s="38" t="s">
        <v>47</v>
      </c>
      <c r="AU579" s="38"/>
      <c r="AV579" s="38"/>
      <c r="AW579" s="38" t="s">
        <v>47</v>
      </c>
      <c r="AX579" s="38"/>
      <c r="AY579" s="38" t="s">
        <v>47</v>
      </c>
      <c r="AZ579" s="38"/>
      <c r="BA579" s="38" t="s">
        <v>47</v>
      </c>
      <c r="BB579" s="38"/>
      <c r="BC579" s="38"/>
      <c r="BD579" s="38"/>
      <c r="BE579" s="77">
        <f t="shared" si="38"/>
        <v>5</v>
      </c>
      <c r="BF579" s="38"/>
    </row>
    <row r="580" spans="1:58" ht="22.5" hidden="1" customHeight="1">
      <c r="A580" s="33">
        <f>IF(OR(ISBLANK(E580),ISBLANK(C580)),"",IF(COUNTIF($E$8:E580,E580)&gt;1,"",(MAX($A$7:A579)+1)))</f>
        <v>15</v>
      </c>
      <c r="B580" s="34">
        <f>IF(ISBLANK(C580),"",SUBTOTAL(3,$C$8:C580))</f>
        <v>44</v>
      </c>
      <c r="C580" s="81" t="s">
        <v>1236</v>
      </c>
      <c r="D580" s="54" t="s">
        <v>791</v>
      </c>
      <c r="E580" s="50" t="s">
        <v>1237</v>
      </c>
      <c r="F580" s="35" t="str">
        <f t="shared" si="36"/>
        <v/>
      </c>
      <c r="G580" s="36" t="str">
        <f t="shared" si="37"/>
        <v/>
      </c>
      <c r="H580" s="51" t="str">
        <f t="shared" si="39"/>
        <v/>
      </c>
      <c r="I580" s="51" t="str">
        <f t="shared" si="39"/>
        <v/>
      </c>
      <c r="J580" s="51" t="str">
        <f t="shared" si="39"/>
        <v/>
      </c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  <c r="AJ580" s="37"/>
      <c r="AK580" s="37"/>
      <c r="AM580" s="38"/>
      <c r="AN580" s="38"/>
      <c r="AO580" s="38"/>
      <c r="AP580" s="38"/>
      <c r="AQ580" s="38"/>
      <c r="AR580" s="38"/>
      <c r="AS580" s="38"/>
      <c r="AT580" s="38"/>
      <c r="AU580" s="38"/>
      <c r="AV580" s="38"/>
      <c r="AW580" s="38"/>
      <c r="AX580" s="38"/>
      <c r="AY580" s="38"/>
      <c r="AZ580" s="38"/>
      <c r="BA580" s="38"/>
      <c r="BB580" s="38"/>
      <c r="BC580" s="38"/>
      <c r="BD580" s="38"/>
      <c r="BE580" s="77">
        <f t="shared" si="38"/>
        <v>0</v>
      </c>
      <c r="BF580" s="38"/>
    </row>
    <row r="581" spans="1:58" ht="22.5" hidden="1" customHeight="1">
      <c r="A581" s="33" t="str">
        <f>IF(OR(ISBLANK(E581),ISBLANK(C581)),"",IF(COUNTIF($E$8:E581,E581)&gt;1,"",(MAX($A$7:A580)+1)))</f>
        <v/>
      </c>
      <c r="B581" s="34">
        <f>IF(ISBLANK(C581),"",SUBTOTAL(3,$C$8:C581))</f>
        <v>44</v>
      </c>
      <c r="C581" s="81" t="s">
        <v>1238</v>
      </c>
      <c r="D581" s="54" t="s">
        <v>1239</v>
      </c>
      <c r="E581" s="50" t="s">
        <v>1237</v>
      </c>
      <c r="F581" s="35" t="str">
        <f t="shared" si="36"/>
        <v/>
      </c>
      <c r="G581" s="36" t="str">
        <f t="shared" si="37"/>
        <v/>
      </c>
      <c r="H581" s="51" t="str">
        <f t="shared" si="39"/>
        <v/>
      </c>
      <c r="I581" s="51" t="str">
        <f t="shared" si="39"/>
        <v/>
      </c>
      <c r="J581" s="51" t="str">
        <f t="shared" si="39"/>
        <v/>
      </c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  <c r="AJ581" s="37"/>
      <c r="AK581" s="37"/>
      <c r="AM581" s="38"/>
      <c r="AN581" s="38"/>
      <c r="AO581" s="38"/>
      <c r="AP581" s="38"/>
      <c r="AQ581" s="38"/>
      <c r="AR581" s="38"/>
      <c r="AS581" s="38"/>
      <c r="AT581" s="38"/>
      <c r="AU581" s="38"/>
      <c r="AV581" s="38"/>
      <c r="AW581" s="38"/>
      <c r="AX581" s="38"/>
      <c r="AY581" s="38"/>
      <c r="AZ581" s="38"/>
      <c r="BA581" s="38"/>
      <c r="BB581" s="38"/>
      <c r="BC581" s="38"/>
      <c r="BD581" s="38"/>
      <c r="BE581" s="77">
        <f t="shared" si="38"/>
        <v>0</v>
      </c>
      <c r="BF581" s="38"/>
    </row>
    <row r="582" spans="1:58" ht="22.5" hidden="1" customHeight="1">
      <c r="A582" s="33" t="str">
        <f>IF(OR(ISBLANK(E582),ISBLANK(C582)),"",IF(COUNTIF($E$8:E582,E582)&gt;1,"",(MAX($A$7:A581)+1)))</f>
        <v/>
      </c>
      <c r="B582" s="34">
        <f>IF(ISBLANK(C582),"",SUBTOTAL(3,$C$8:C582))</f>
        <v>44</v>
      </c>
      <c r="C582" s="81" t="s">
        <v>1240</v>
      </c>
      <c r="D582" s="54" t="s">
        <v>1241</v>
      </c>
      <c r="E582" s="50" t="s">
        <v>1237</v>
      </c>
      <c r="F582" s="35" t="str">
        <f t="shared" si="36"/>
        <v/>
      </c>
      <c r="G582" s="36" t="str">
        <f t="shared" si="37"/>
        <v>D</v>
      </c>
      <c r="H582" s="51" t="str">
        <f t="shared" si="39"/>
        <v/>
      </c>
      <c r="I582" s="51">
        <f t="shared" si="39"/>
        <v>1</v>
      </c>
      <c r="J582" s="51" t="str">
        <f t="shared" si="39"/>
        <v/>
      </c>
      <c r="K582" s="37"/>
      <c r="L582" s="37" t="s">
        <v>47</v>
      </c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  <c r="AJ582" s="37"/>
      <c r="AK582" s="37"/>
      <c r="AM582" s="38"/>
      <c r="AN582" s="38" t="s">
        <v>47</v>
      </c>
      <c r="AO582" s="38"/>
      <c r="AP582" s="38"/>
      <c r="AQ582" s="38"/>
      <c r="AR582" s="38"/>
      <c r="AS582" s="38" t="s">
        <v>47</v>
      </c>
      <c r="AT582" s="38"/>
      <c r="AU582" s="38" t="s">
        <v>47</v>
      </c>
      <c r="AV582" s="38"/>
      <c r="AW582" s="38"/>
      <c r="AX582" s="38"/>
      <c r="AY582" s="38"/>
      <c r="AZ582" s="38"/>
      <c r="BA582" s="38"/>
      <c r="BB582" s="38"/>
      <c r="BC582" s="38"/>
      <c r="BD582" s="38"/>
      <c r="BE582" s="77">
        <f t="shared" si="38"/>
        <v>3</v>
      </c>
      <c r="BF582" s="38"/>
    </row>
    <row r="583" spans="1:58" ht="22.5" hidden="1" customHeight="1">
      <c r="A583" s="33" t="str">
        <f>IF(OR(ISBLANK(E583),ISBLANK(C583)),"",IF(COUNTIF($E$8:E583,E583)&gt;1,"",(MAX($A$7:A582)+1)))</f>
        <v/>
      </c>
      <c r="B583" s="34">
        <f>IF(ISBLANK(C583),"",SUBTOTAL(3,$C$8:C583))</f>
        <v>44</v>
      </c>
      <c r="C583" s="81" t="s">
        <v>1242</v>
      </c>
      <c r="D583" s="54" t="s">
        <v>1243</v>
      </c>
      <c r="E583" s="50" t="s">
        <v>1237</v>
      </c>
      <c r="F583" s="35" t="str">
        <f t="shared" si="36"/>
        <v/>
      </c>
      <c r="G583" s="36" t="str">
        <f t="shared" si="37"/>
        <v/>
      </c>
      <c r="H583" s="51" t="str">
        <f t="shared" si="39"/>
        <v/>
      </c>
      <c r="I583" s="51" t="str">
        <f t="shared" si="39"/>
        <v/>
      </c>
      <c r="J583" s="51" t="str">
        <f t="shared" si="39"/>
        <v/>
      </c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  <c r="AI583" s="37"/>
      <c r="AJ583" s="37"/>
      <c r="AK583" s="37"/>
      <c r="AM583" s="38"/>
      <c r="AN583" s="38"/>
      <c r="AO583" s="38"/>
      <c r="AP583" s="38"/>
      <c r="AQ583" s="38"/>
      <c r="AR583" s="38"/>
      <c r="AS583" s="38"/>
      <c r="AT583" s="38"/>
      <c r="AU583" s="38"/>
      <c r="AV583" s="38"/>
      <c r="AW583" s="38"/>
      <c r="AX583" s="38"/>
      <c r="AY583" s="38"/>
      <c r="AZ583" s="38"/>
      <c r="BA583" s="38"/>
      <c r="BB583" s="38"/>
      <c r="BC583" s="38"/>
      <c r="BD583" s="38"/>
      <c r="BE583" s="77">
        <f t="shared" si="38"/>
        <v>0</v>
      </c>
      <c r="BF583" s="38"/>
    </row>
    <row r="584" spans="1:58" ht="22.5" hidden="1" customHeight="1">
      <c r="A584" s="33" t="str">
        <f>IF(OR(ISBLANK(E584),ISBLANK(C584)),"",IF(COUNTIF($E$8:E584,E584)&gt;1,"",(MAX($A$7:A583)+1)))</f>
        <v/>
      </c>
      <c r="B584" s="34">
        <f>IF(ISBLANK(C584),"",SUBTOTAL(3,$C$8:C584))</f>
        <v>44</v>
      </c>
      <c r="C584" s="81" t="s">
        <v>1244</v>
      </c>
      <c r="D584" s="54" t="s">
        <v>1245</v>
      </c>
      <c r="E584" s="50" t="s">
        <v>1237</v>
      </c>
      <c r="F584" s="35" t="str">
        <f t="shared" ref="F584:F647" si="40">IFERROR(IF(OR(ISBLANK($C584),B584=""),"",INDEX(Luonggio,MATCH($C584,MaNVLuong,0))),"")</f>
        <v/>
      </c>
      <c r="G584" s="36" t="str">
        <f t="shared" si="37"/>
        <v>D</v>
      </c>
      <c r="H584" s="51" t="str">
        <f t="shared" si="39"/>
        <v/>
      </c>
      <c r="I584" s="51">
        <f t="shared" si="39"/>
        <v>1</v>
      </c>
      <c r="J584" s="51" t="str">
        <f t="shared" si="39"/>
        <v/>
      </c>
      <c r="K584" s="37"/>
      <c r="L584" s="37" t="s">
        <v>47</v>
      </c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  <c r="AJ584" s="37"/>
      <c r="AK584" s="37"/>
      <c r="AM584" s="38"/>
      <c r="AN584" s="38"/>
      <c r="AO584" s="38"/>
      <c r="AP584" s="38"/>
      <c r="AQ584" s="38"/>
      <c r="AR584" s="38"/>
      <c r="AS584" s="38"/>
      <c r="AT584" s="38"/>
      <c r="AU584" s="38"/>
      <c r="AV584" s="38"/>
      <c r="AW584" s="38"/>
      <c r="AX584" s="38"/>
      <c r="AY584" s="38"/>
      <c r="AZ584" s="38"/>
      <c r="BA584" s="38"/>
      <c r="BB584" s="38"/>
      <c r="BC584" s="38"/>
      <c r="BD584" s="38"/>
      <c r="BE584" s="77">
        <f t="shared" si="38"/>
        <v>0</v>
      </c>
      <c r="BF584" s="38"/>
    </row>
    <row r="585" spans="1:58" ht="22.5" hidden="1" customHeight="1">
      <c r="A585" s="33" t="str">
        <f>IF(OR(ISBLANK(E585),ISBLANK(C585)),"",IF(COUNTIF($E$8:E585,E585)&gt;1,"",(MAX($A$7:A584)+1)))</f>
        <v/>
      </c>
      <c r="B585" s="34">
        <f>IF(ISBLANK(C585),"",SUBTOTAL(3,$C$8:C585))</f>
        <v>44</v>
      </c>
      <c r="C585" s="80" t="s">
        <v>1246</v>
      </c>
      <c r="D585" s="52" t="s">
        <v>1247</v>
      </c>
      <c r="E585" s="50" t="s">
        <v>1237</v>
      </c>
      <c r="F585" s="35" t="str">
        <f t="shared" si="40"/>
        <v/>
      </c>
      <c r="G585" s="36" t="str">
        <f t="shared" ref="G585:G648" si="41">IF(COUNTIF(H585:J585,"&gt;0")=0,"",IF(AND(OR(OR(SUM(H585)&gt;=2)),SUM(H585:J585)&gt;=4,OR(OR(SUM(I585)&gt;=1))),"A",IF(OR(OR(SUM(H585)&gt;=3)),"A",IF(AND(SUM(I585)&gt;=2,SUM(H585)=1),"B",IF(AND(SUM(I585)&gt;=1,SUM(H585)=2),"B",IF(H585=2,"B",IF(SUM(I585)&gt;=2,"C",IF(H585=1,"C",IF(AND(H585=1,I585=1),"C",IF(AND(SUM(H585:I585)=0,SUM(J585)&lt;=1),"D","D"))))))))))</f>
        <v>D</v>
      </c>
      <c r="H585" s="51" t="str">
        <f t="shared" si="39"/>
        <v/>
      </c>
      <c r="I585" s="51">
        <f t="shared" si="39"/>
        <v>1</v>
      </c>
      <c r="J585" s="51" t="str">
        <f t="shared" si="39"/>
        <v/>
      </c>
      <c r="K585" s="37"/>
      <c r="L585" s="37" t="s">
        <v>47</v>
      </c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37"/>
      <c r="AJ585" s="37"/>
      <c r="AK585" s="37"/>
      <c r="AM585" s="38"/>
      <c r="AN585" s="38"/>
      <c r="AO585" s="38"/>
      <c r="AP585" s="38"/>
      <c r="AQ585" s="38"/>
      <c r="AR585" s="38"/>
      <c r="AS585" s="38"/>
      <c r="AT585" s="38"/>
      <c r="AU585" s="38" t="s">
        <v>47</v>
      </c>
      <c r="AV585" s="38"/>
      <c r="AW585" s="38"/>
      <c r="AX585" s="38"/>
      <c r="AY585" s="38"/>
      <c r="AZ585" s="38"/>
      <c r="BA585" s="38"/>
      <c r="BB585" s="38"/>
      <c r="BC585" s="38"/>
      <c r="BD585" s="38"/>
      <c r="BE585" s="77">
        <f t="shared" ref="BE585:BE648" si="42">COUNTIF(AM585:BD585,"X")</f>
        <v>1</v>
      </c>
      <c r="BF585" s="38"/>
    </row>
    <row r="586" spans="1:58" ht="22.5" hidden="1" customHeight="1">
      <c r="A586" s="33" t="str">
        <f>IF(OR(ISBLANK(E586),ISBLANK(C586)),"",IF(COUNTIF($E$8:E586,E586)&gt;1,"",(MAX($A$7:A585)+1)))</f>
        <v/>
      </c>
      <c r="B586" s="34">
        <f>IF(ISBLANK(C586),"",SUBTOTAL(3,$C$8:C586))</f>
        <v>44</v>
      </c>
      <c r="C586" s="80" t="s">
        <v>1248</v>
      </c>
      <c r="D586" s="52" t="s">
        <v>1249</v>
      </c>
      <c r="E586" s="50" t="s">
        <v>1237</v>
      </c>
      <c r="F586" s="35" t="str">
        <f t="shared" si="40"/>
        <v/>
      </c>
      <c r="G586" s="36" t="str">
        <f t="shared" si="41"/>
        <v>D</v>
      </c>
      <c r="H586" s="51" t="str">
        <f t="shared" si="39"/>
        <v/>
      </c>
      <c r="I586" s="51">
        <f t="shared" si="39"/>
        <v>1</v>
      </c>
      <c r="J586" s="51" t="str">
        <f t="shared" si="39"/>
        <v/>
      </c>
      <c r="K586" s="37"/>
      <c r="L586" s="37" t="s">
        <v>47</v>
      </c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  <c r="AJ586" s="37"/>
      <c r="AK586" s="37"/>
      <c r="AM586" s="38"/>
      <c r="AN586" s="38"/>
      <c r="AO586" s="38"/>
      <c r="AP586" s="38"/>
      <c r="AQ586" s="38"/>
      <c r="AR586" s="38"/>
      <c r="AS586" s="38"/>
      <c r="AT586" s="38"/>
      <c r="AU586" s="38" t="s">
        <v>47</v>
      </c>
      <c r="AV586" s="38"/>
      <c r="AW586" s="38"/>
      <c r="AX586" s="38"/>
      <c r="AY586" s="38"/>
      <c r="AZ586" s="38"/>
      <c r="BA586" s="38"/>
      <c r="BB586" s="38"/>
      <c r="BC586" s="38"/>
      <c r="BD586" s="38"/>
      <c r="BE586" s="77">
        <f t="shared" si="42"/>
        <v>1</v>
      </c>
      <c r="BF586" s="38"/>
    </row>
    <row r="587" spans="1:58" ht="22.5" hidden="1" customHeight="1">
      <c r="A587" s="33" t="str">
        <f>IF(OR(ISBLANK(E587),ISBLANK(C587)),"",IF(COUNTIF($E$8:E587,E587)&gt;1,"",(MAX($A$7:A586)+1)))</f>
        <v/>
      </c>
      <c r="B587" s="34">
        <f>IF(ISBLANK(C587),"",SUBTOTAL(3,$C$8:C587))</f>
        <v>44</v>
      </c>
      <c r="C587" s="80" t="s">
        <v>1250</v>
      </c>
      <c r="D587" s="52" t="s">
        <v>1251</v>
      </c>
      <c r="E587" s="50" t="s">
        <v>1237</v>
      </c>
      <c r="F587" s="35" t="str">
        <f t="shared" si="40"/>
        <v/>
      </c>
      <c r="G587" s="36" t="str">
        <f t="shared" si="41"/>
        <v>D</v>
      </c>
      <c r="H587" s="51" t="str">
        <f t="shared" si="39"/>
        <v/>
      </c>
      <c r="I587" s="51">
        <f t="shared" si="39"/>
        <v>1</v>
      </c>
      <c r="J587" s="51" t="str">
        <f t="shared" si="39"/>
        <v/>
      </c>
      <c r="K587" s="37"/>
      <c r="L587" s="37" t="s">
        <v>47</v>
      </c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  <c r="AJ587" s="37"/>
      <c r="AK587" s="37"/>
      <c r="AM587" s="38"/>
      <c r="AN587" s="38"/>
      <c r="AO587" s="38"/>
      <c r="AP587" s="38"/>
      <c r="AQ587" s="38"/>
      <c r="AR587" s="38"/>
      <c r="AS587" s="38"/>
      <c r="AT587" s="38"/>
      <c r="AU587" s="38"/>
      <c r="AV587" s="38"/>
      <c r="AW587" s="38"/>
      <c r="AX587" s="38"/>
      <c r="AY587" s="38"/>
      <c r="AZ587" s="38"/>
      <c r="BA587" s="38"/>
      <c r="BB587" s="38"/>
      <c r="BC587" s="38"/>
      <c r="BD587" s="38"/>
      <c r="BE587" s="77">
        <f t="shared" si="42"/>
        <v>0</v>
      </c>
      <c r="BF587" s="38"/>
    </row>
    <row r="588" spans="1:58" ht="22.5" hidden="1" customHeight="1">
      <c r="A588" s="33" t="str">
        <f>IF(OR(ISBLANK(E588),ISBLANK(C588)),"",IF(COUNTIF($E$8:E588,E588)&gt;1,"",(MAX($A$7:A587)+1)))</f>
        <v/>
      </c>
      <c r="B588" s="34">
        <f>IF(ISBLANK(C588),"",SUBTOTAL(3,$C$8:C588))</f>
        <v>44</v>
      </c>
      <c r="C588" s="80" t="s">
        <v>1252</v>
      </c>
      <c r="D588" s="52" t="s">
        <v>1253</v>
      </c>
      <c r="E588" s="50" t="s">
        <v>1237</v>
      </c>
      <c r="F588" s="35" t="str">
        <f t="shared" si="40"/>
        <v/>
      </c>
      <c r="G588" s="36" t="str">
        <f t="shared" si="41"/>
        <v>D</v>
      </c>
      <c r="H588" s="51" t="str">
        <f t="shared" si="39"/>
        <v/>
      </c>
      <c r="I588" s="51">
        <f t="shared" si="39"/>
        <v>1</v>
      </c>
      <c r="J588" s="51" t="str">
        <f t="shared" si="39"/>
        <v/>
      </c>
      <c r="K588" s="37"/>
      <c r="L588" s="37" t="s">
        <v>47</v>
      </c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  <c r="AJ588" s="37"/>
      <c r="AK588" s="37"/>
      <c r="AM588" s="38"/>
      <c r="AN588" s="38"/>
      <c r="AO588" s="38"/>
      <c r="AP588" s="38"/>
      <c r="AQ588" s="38"/>
      <c r="AR588" s="38"/>
      <c r="AS588" s="38" t="s">
        <v>47</v>
      </c>
      <c r="AT588" s="38"/>
      <c r="AU588" s="38"/>
      <c r="AV588" s="38"/>
      <c r="AW588" s="38"/>
      <c r="AX588" s="38"/>
      <c r="AY588" s="38"/>
      <c r="AZ588" s="38"/>
      <c r="BA588" s="38"/>
      <c r="BB588" s="38"/>
      <c r="BC588" s="38"/>
      <c r="BD588" s="38"/>
      <c r="BE588" s="77">
        <f t="shared" si="42"/>
        <v>1</v>
      </c>
      <c r="BF588" s="38"/>
    </row>
    <row r="589" spans="1:58" ht="22.5" hidden="1" customHeight="1">
      <c r="A589" s="33" t="str">
        <f>IF(OR(ISBLANK(E589),ISBLANK(C589)),"",IF(COUNTIF($E$8:E589,E589)&gt;1,"",(MAX($A$7:A588)+1)))</f>
        <v/>
      </c>
      <c r="B589" s="34">
        <f>IF(ISBLANK(C589),"",SUBTOTAL(3,$C$8:C589))</f>
        <v>44</v>
      </c>
      <c r="C589" s="80" t="s">
        <v>1254</v>
      </c>
      <c r="D589" s="52" t="s">
        <v>1255</v>
      </c>
      <c r="E589" s="50" t="s">
        <v>1237</v>
      </c>
      <c r="F589" s="35" t="str">
        <f t="shared" si="40"/>
        <v/>
      </c>
      <c r="G589" s="36" t="str">
        <f t="shared" si="41"/>
        <v>C</v>
      </c>
      <c r="H589" s="51" t="str">
        <f t="shared" si="39"/>
        <v/>
      </c>
      <c r="I589" s="51">
        <f t="shared" si="39"/>
        <v>2</v>
      </c>
      <c r="J589" s="51" t="str">
        <f t="shared" si="39"/>
        <v/>
      </c>
      <c r="K589" s="37"/>
      <c r="L589" s="37" t="s">
        <v>47</v>
      </c>
      <c r="M589" s="37"/>
      <c r="N589" s="37"/>
      <c r="O589" s="37"/>
      <c r="P589" s="37"/>
      <c r="Q589" s="37"/>
      <c r="R589" s="37" t="s">
        <v>47</v>
      </c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  <c r="AJ589" s="37"/>
      <c r="AK589" s="37"/>
      <c r="AM589" s="38"/>
      <c r="AN589" s="38"/>
      <c r="AO589" s="38"/>
      <c r="AP589" s="38"/>
      <c r="AQ589" s="38"/>
      <c r="AR589" s="38"/>
      <c r="AS589" s="38"/>
      <c r="AT589" s="38"/>
      <c r="AU589" s="38"/>
      <c r="AV589" s="38"/>
      <c r="AW589" s="38"/>
      <c r="AX589" s="38"/>
      <c r="AY589" s="38"/>
      <c r="AZ589" s="38"/>
      <c r="BA589" s="38"/>
      <c r="BB589" s="38"/>
      <c r="BC589" s="38"/>
      <c r="BD589" s="38"/>
      <c r="BE589" s="77">
        <f t="shared" si="42"/>
        <v>0</v>
      </c>
      <c r="BF589" s="38"/>
    </row>
    <row r="590" spans="1:58" ht="22.5" hidden="1" customHeight="1">
      <c r="A590" s="33" t="str">
        <f>IF(OR(ISBLANK(E590),ISBLANK(C590)),"",IF(COUNTIF($E$8:E590,E590)&gt;1,"",(MAX($A$7:A589)+1)))</f>
        <v/>
      </c>
      <c r="B590" s="34">
        <f>IF(ISBLANK(C590),"",SUBTOTAL(3,$C$8:C590))</f>
        <v>44</v>
      </c>
      <c r="C590" s="80" t="s">
        <v>1256</v>
      </c>
      <c r="D590" s="50" t="s">
        <v>1257</v>
      </c>
      <c r="E590" s="50" t="s">
        <v>1237</v>
      </c>
      <c r="F590" s="35" t="str">
        <f t="shared" si="40"/>
        <v/>
      </c>
      <c r="G590" s="36" t="str">
        <f t="shared" si="41"/>
        <v>C</v>
      </c>
      <c r="H590" s="51" t="str">
        <f t="shared" si="39"/>
        <v/>
      </c>
      <c r="I590" s="51">
        <f t="shared" si="39"/>
        <v>2</v>
      </c>
      <c r="J590" s="51" t="str">
        <f t="shared" si="39"/>
        <v/>
      </c>
      <c r="K590" s="37"/>
      <c r="L590" s="37" t="s">
        <v>47</v>
      </c>
      <c r="M590" s="37"/>
      <c r="N590" s="37"/>
      <c r="O590" s="37"/>
      <c r="P590" s="37"/>
      <c r="Q590" s="37"/>
      <c r="R590" s="37" t="s">
        <v>47</v>
      </c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  <c r="AJ590" s="37"/>
      <c r="AK590" s="37"/>
      <c r="AM590" s="38"/>
      <c r="AN590" s="38"/>
      <c r="AO590" s="38"/>
      <c r="AP590" s="38"/>
      <c r="AQ590" s="38"/>
      <c r="AR590" s="38"/>
      <c r="AS590" s="38"/>
      <c r="AT590" s="38"/>
      <c r="AU590" s="38"/>
      <c r="AV590" s="38" t="s">
        <v>47</v>
      </c>
      <c r="AW590" s="38"/>
      <c r="AX590" s="38"/>
      <c r="AY590" s="38"/>
      <c r="AZ590" s="38"/>
      <c r="BA590" s="38"/>
      <c r="BB590" s="38"/>
      <c r="BC590" s="38"/>
      <c r="BD590" s="38"/>
      <c r="BE590" s="77">
        <f t="shared" si="42"/>
        <v>1</v>
      </c>
      <c r="BF590" s="38"/>
    </row>
    <row r="591" spans="1:58" ht="22.5" hidden="1" customHeight="1">
      <c r="A591" s="33" t="str">
        <f>IF(OR(ISBLANK(E591),ISBLANK(C591)),"",IF(COUNTIF($E$8:E591,E591)&gt;1,"",(MAX($A$7:A590)+1)))</f>
        <v/>
      </c>
      <c r="B591" s="34">
        <f>IF(ISBLANK(C591),"",SUBTOTAL(3,$C$8:C591))</f>
        <v>44</v>
      </c>
      <c r="C591" s="80" t="s">
        <v>1258</v>
      </c>
      <c r="D591" s="50" t="s">
        <v>1259</v>
      </c>
      <c r="E591" s="50" t="s">
        <v>1237</v>
      </c>
      <c r="F591" s="35" t="str">
        <f t="shared" si="40"/>
        <v/>
      </c>
      <c r="G591" s="36" t="str">
        <f t="shared" si="41"/>
        <v>C</v>
      </c>
      <c r="H591" s="51">
        <f t="shared" si="39"/>
        <v>1</v>
      </c>
      <c r="I591" s="51">
        <f t="shared" si="39"/>
        <v>1</v>
      </c>
      <c r="J591" s="51" t="str">
        <f t="shared" si="39"/>
        <v/>
      </c>
      <c r="K591" s="37" t="s">
        <v>47</v>
      </c>
      <c r="L591" s="37"/>
      <c r="M591" s="37"/>
      <c r="N591" s="37"/>
      <c r="O591" s="37"/>
      <c r="P591" s="37"/>
      <c r="Q591" s="37"/>
      <c r="R591" s="37" t="s">
        <v>47</v>
      </c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7"/>
      <c r="AK591" s="37"/>
      <c r="AM591" s="38"/>
      <c r="AN591" s="38"/>
      <c r="AO591" s="38"/>
      <c r="AP591" s="38"/>
      <c r="AQ591" s="38"/>
      <c r="AR591" s="38"/>
      <c r="AS591" s="38"/>
      <c r="AT591" s="38"/>
      <c r="AU591" s="38"/>
      <c r="AV591" s="38"/>
      <c r="AW591" s="38"/>
      <c r="AX591" s="38"/>
      <c r="AY591" s="38"/>
      <c r="AZ591" s="38"/>
      <c r="BA591" s="38"/>
      <c r="BB591" s="38" t="s">
        <v>47</v>
      </c>
      <c r="BC591" s="38"/>
      <c r="BD591" s="38"/>
      <c r="BE591" s="77">
        <f t="shared" si="42"/>
        <v>1</v>
      </c>
      <c r="BF591" s="38"/>
    </row>
    <row r="592" spans="1:58" ht="22.5" hidden="1" customHeight="1">
      <c r="A592" s="33" t="str">
        <f>IF(OR(ISBLANK(E592),ISBLANK(C592)),"",IF(COUNTIF($E$8:E592,E592)&gt;1,"",(MAX($A$7:A591)+1)))</f>
        <v/>
      </c>
      <c r="B592" s="34">
        <f>IF(ISBLANK(C592),"",SUBTOTAL(3,$C$8:C592))</f>
        <v>44</v>
      </c>
      <c r="C592" s="80" t="s">
        <v>1260</v>
      </c>
      <c r="D592" s="50" t="s">
        <v>1261</v>
      </c>
      <c r="E592" s="50" t="s">
        <v>1237</v>
      </c>
      <c r="F592" s="35" t="str">
        <f t="shared" si="40"/>
        <v/>
      </c>
      <c r="G592" s="36" t="str">
        <f t="shared" si="41"/>
        <v>C</v>
      </c>
      <c r="H592" s="51" t="str">
        <f t="shared" si="39"/>
        <v/>
      </c>
      <c r="I592" s="51">
        <f t="shared" si="39"/>
        <v>2</v>
      </c>
      <c r="J592" s="51" t="str">
        <f t="shared" si="39"/>
        <v/>
      </c>
      <c r="K592" s="37"/>
      <c r="L592" s="37" t="s">
        <v>47</v>
      </c>
      <c r="M592" s="37"/>
      <c r="N592" s="37"/>
      <c r="O592" s="37"/>
      <c r="P592" s="37"/>
      <c r="Q592" s="37"/>
      <c r="R592" s="37" t="s">
        <v>47</v>
      </c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  <c r="AJ592" s="37"/>
      <c r="AK592" s="37"/>
      <c r="AM592" s="38"/>
      <c r="AN592" s="38"/>
      <c r="AO592" s="38"/>
      <c r="AP592" s="38"/>
      <c r="AQ592" s="38"/>
      <c r="AR592" s="38"/>
      <c r="AS592" s="38"/>
      <c r="AT592" s="38"/>
      <c r="AU592" s="38"/>
      <c r="AV592" s="38"/>
      <c r="AW592" s="38"/>
      <c r="AX592" s="38"/>
      <c r="AY592" s="38"/>
      <c r="AZ592" s="38"/>
      <c r="BA592" s="38"/>
      <c r="BB592" s="38"/>
      <c r="BC592" s="38"/>
      <c r="BD592" s="38"/>
      <c r="BE592" s="77">
        <f t="shared" si="42"/>
        <v>0</v>
      </c>
      <c r="BF592" s="38"/>
    </row>
    <row r="593" spans="1:58" ht="22.5" hidden="1" customHeight="1">
      <c r="A593" s="33" t="str">
        <f>IF(OR(ISBLANK(E593),ISBLANK(C593)),"",IF(COUNTIF($E$8:E593,E593)&gt;1,"",(MAX($A$7:A592)+1)))</f>
        <v/>
      </c>
      <c r="B593" s="34">
        <f>IF(ISBLANK(C593),"",SUBTOTAL(3,$C$8:C593))</f>
        <v>44</v>
      </c>
      <c r="C593" s="80" t="s">
        <v>1262</v>
      </c>
      <c r="D593" s="50" t="s">
        <v>1263</v>
      </c>
      <c r="E593" s="50" t="s">
        <v>1237</v>
      </c>
      <c r="F593" s="35" t="str">
        <f t="shared" si="40"/>
        <v/>
      </c>
      <c r="G593" s="36" t="str">
        <f t="shared" si="41"/>
        <v>B</v>
      </c>
      <c r="H593" s="51">
        <f t="shared" si="39"/>
        <v>1</v>
      </c>
      <c r="I593" s="51">
        <f t="shared" si="39"/>
        <v>2</v>
      </c>
      <c r="J593" s="51" t="str">
        <f t="shared" si="39"/>
        <v/>
      </c>
      <c r="K593" s="37" t="s">
        <v>47</v>
      </c>
      <c r="L593" s="37"/>
      <c r="M593" s="37"/>
      <c r="N593" s="37"/>
      <c r="O593" s="37"/>
      <c r="P593" s="37"/>
      <c r="Q593" s="37"/>
      <c r="R593" s="37" t="s">
        <v>47</v>
      </c>
      <c r="S593" s="37"/>
      <c r="T593" s="37"/>
      <c r="U593" s="37" t="s">
        <v>47</v>
      </c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  <c r="AJ593" s="37"/>
      <c r="AK593" s="37"/>
      <c r="AM593" s="38"/>
      <c r="AN593" s="38"/>
      <c r="AO593" s="38"/>
      <c r="AP593" s="38"/>
      <c r="AQ593" s="38" t="s">
        <v>47</v>
      </c>
      <c r="AR593" s="38"/>
      <c r="AS593" s="38"/>
      <c r="AT593" s="38"/>
      <c r="AU593" s="38"/>
      <c r="AV593" s="38"/>
      <c r="AW593" s="38" t="s">
        <v>47</v>
      </c>
      <c r="AX593" s="38"/>
      <c r="AY593" s="38"/>
      <c r="AZ593" s="38" t="s">
        <v>47</v>
      </c>
      <c r="BA593" s="38"/>
      <c r="BB593" s="38"/>
      <c r="BC593" s="38"/>
      <c r="BD593" s="38"/>
      <c r="BE593" s="77">
        <f t="shared" si="42"/>
        <v>3</v>
      </c>
      <c r="BF593" s="38"/>
    </row>
    <row r="594" spans="1:58" ht="22.5" hidden="1" customHeight="1">
      <c r="A594" s="33" t="str">
        <f>IF(OR(ISBLANK(E594),ISBLANK(C594)),"",IF(COUNTIF($E$8:E594,E594)&gt;1,"",(MAX($A$7:A593)+1)))</f>
        <v/>
      </c>
      <c r="B594" s="34">
        <f>IF(ISBLANK(C594),"",SUBTOTAL(3,$C$8:C594))</f>
        <v>44</v>
      </c>
      <c r="C594" s="80" t="s">
        <v>1264</v>
      </c>
      <c r="D594" s="50" t="s">
        <v>1265</v>
      </c>
      <c r="E594" s="50" t="s">
        <v>1237</v>
      </c>
      <c r="F594" s="35" t="str">
        <f t="shared" si="40"/>
        <v/>
      </c>
      <c r="G594" s="36" t="str">
        <f t="shared" si="41"/>
        <v>C</v>
      </c>
      <c r="H594" s="51">
        <f t="shared" si="39"/>
        <v>1</v>
      </c>
      <c r="I594" s="51">
        <f t="shared" si="39"/>
        <v>1</v>
      </c>
      <c r="J594" s="51" t="str">
        <f t="shared" si="39"/>
        <v/>
      </c>
      <c r="K594" s="37"/>
      <c r="L594" s="37"/>
      <c r="M594" s="37"/>
      <c r="N594" s="37" t="s">
        <v>47</v>
      </c>
      <c r="O594" s="37"/>
      <c r="P594" s="37"/>
      <c r="Q594" s="37"/>
      <c r="R594" s="37" t="s">
        <v>47</v>
      </c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M594" s="38"/>
      <c r="AN594" s="38"/>
      <c r="AO594" s="38"/>
      <c r="AP594" s="38"/>
      <c r="AQ594" s="38"/>
      <c r="AR594" s="38"/>
      <c r="AS594" s="38"/>
      <c r="AT594" s="38"/>
      <c r="AU594" s="38"/>
      <c r="AV594" s="38"/>
      <c r="AW594" s="38"/>
      <c r="AX594" s="38"/>
      <c r="AY594" s="38"/>
      <c r="AZ594" s="38"/>
      <c r="BA594" s="38"/>
      <c r="BB594" s="38"/>
      <c r="BC594" s="38"/>
      <c r="BD594" s="38"/>
      <c r="BE594" s="77">
        <f t="shared" si="42"/>
        <v>0</v>
      </c>
      <c r="BF594" s="38"/>
    </row>
    <row r="595" spans="1:58" ht="22.5" hidden="1" customHeight="1">
      <c r="A595" s="33" t="str">
        <f>IF(OR(ISBLANK(E595),ISBLANK(C595)),"",IF(COUNTIF($E$8:E595,E595)&gt;1,"",(MAX($A$7:A594)+1)))</f>
        <v/>
      </c>
      <c r="B595" s="34">
        <f>IF(ISBLANK(C595),"",SUBTOTAL(3,$C$8:C595))</f>
        <v>44</v>
      </c>
      <c r="C595" s="80" t="s">
        <v>1266</v>
      </c>
      <c r="D595" s="50" t="s">
        <v>1267</v>
      </c>
      <c r="E595" s="50" t="s">
        <v>1237</v>
      </c>
      <c r="F595" s="35" t="str">
        <f t="shared" si="40"/>
        <v/>
      </c>
      <c r="G595" s="36" t="str">
        <f t="shared" si="41"/>
        <v>C</v>
      </c>
      <c r="H595" s="51">
        <f t="shared" si="39"/>
        <v>1</v>
      </c>
      <c r="I595" s="51">
        <f t="shared" si="39"/>
        <v>1</v>
      </c>
      <c r="J595" s="51" t="str">
        <f t="shared" si="39"/>
        <v/>
      </c>
      <c r="K595" s="37" t="s">
        <v>47</v>
      </c>
      <c r="L595" s="37"/>
      <c r="M595" s="37"/>
      <c r="N595" s="37"/>
      <c r="O595" s="37"/>
      <c r="P595" s="37"/>
      <c r="Q595" s="37"/>
      <c r="R595" s="37" t="s">
        <v>47</v>
      </c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  <c r="AI595" s="37"/>
      <c r="AJ595" s="37"/>
      <c r="AK595" s="37"/>
      <c r="AM595" s="38"/>
      <c r="AN595" s="38"/>
      <c r="AO595" s="38"/>
      <c r="AP595" s="38"/>
      <c r="AQ595" s="38" t="s">
        <v>47</v>
      </c>
      <c r="AR595" s="38"/>
      <c r="AS595" s="38"/>
      <c r="AT595" s="38"/>
      <c r="AU595" s="38"/>
      <c r="AV595" s="38"/>
      <c r="AW595" s="38" t="s">
        <v>47</v>
      </c>
      <c r="AX595" s="38"/>
      <c r="AY595" s="38"/>
      <c r="AZ595" s="38"/>
      <c r="BA595" s="38"/>
      <c r="BB595" s="38"/>
      <c r="BC595" s="38"/>
      <c r="BD595" s="38"/>
      <c r="BE595" s="77">
        <f t="shared" si="42"/>
        <v>2</v>
      </c>
      <c r="BF595" s="38"/>
    </row>
    <row r="596" spans="1:58" ht="22.5" hidden="1" customHeight="1">
      <c r="A596" s="33" t="str">
        <f>IF(OR(ISBLANK(E596),ISBLANK(C596)),"",IF(COUNTIF($E$8:E596,E596)&gt;1,"",(MAX($A$7:A595)+1)))</f>
        <v/>
      </c>
      <c r="B596" s="34">
        <f>IF(ISBLANK(C596),"",SUBTOTAL(3,$C$8:C596))</f>
        <v>44</v>
      </c>
      <c r="C596" s="80" t="s">
        <v>1268</v>
      </c>
      <c r="D596" s="50" t="s">
        <v>1269</v>
      </c>
      <c r="E596" s="50" t="s">
        <v>1237</v>
      </c>
      <c r="F596" s="35" t="str">
        <f t="shared" si="40"/>
        <v/>
      </c>
      <c r="G596" s="36" t="str">
        <f t="shared" si="41"/>
        <v>C</v>
      </c>
      <c r="H596" s="51" t="str">
        <f t="shared" si="39"/>
        <v/>
      </c>
      <c r="I596" s="51">
        <f t="shared" si="39"/>
        <v>2</v>
      </c>
      <c r="J596" s="51" t="str">
        <f t="shared" si="39"/>
        <v/>
      </c>
      <c r="K596" s="37"/>
      <c r="L596" s="37" t="s">
        <v>47</v>
      </c>
      <c r="M596" s="37"/>
      <c r="N596" s="37"/>
      <c r="O596" s="37"/>
      <c r="P596" s="37"/>
      <c r="Q596" s="37"/>
      <c r="R596" s="37" t="s">
        <v>47</v>
      </c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M596" s="38"/>
      <c r="AN596" s="38"/>
      <c r="AO596" s="38"/>
      <c r="AP596" s="38"/>
      <c r="AQ596" s="38"/>
      <c r="AR596" s="38"/>
      <c r="AS596" s="38"/>
      <c r="AT596" s="38"/>
      <c r="AU596" s="38"/>
      <c r="AV596" s="38"/>
      <c r="AW596" s="38"/>
      <c r="AX596" s="38"/>
      <c r="AY596" s="38"/>
      <c r="AZ596" s="38"/>
      <c r="BA596" s="38"/>
      <c r="BB596" s="38"/>
      <c r="BC596" s="38"/>
      <c r="BD596" s="38"/>
      <c r="BE596" s="77">
        <f t="shared" si="42"/>
        <v>0</v>
      </c>
      <c r="BF596" s="38"/>
    </row>
    <row r="597" spans="1:58" ht="22.5" hidden="1" customHeight="1">
      <c r="A597" s="33" t="str">
        <f>IF(OR(ISBLANK(E597),ISBLANK(C597)),"",IF(COUNTIF($E$8:E597,E597)&gt;1,"",(MAX($A$7:A596)+1)))</f>
        <v/>
      </c>
      <c r="B597" s="34">
        <f>IF(ISBLANK(C597),"",SUBTOTAL(3,$C$8:C597))</f>
        <v>44</v>
      </c>
      <c r="C597" s="80" t="s">
        <v>1270</v>
      </c>
      <c r="D597" s="50" t="s">
        <v>1271</v>
      </c>
      <c r="E597" s="50" t="s">
        <v>1237</v>
      </c>
      <c r="F597" s="35" t="str">
        <f t="shared" si="40"/>
        <v/>
      </c>
      <c r="G597" s="36" t="str">
        <f t="shared" si="41"/>
        <v>B</v>
      </c>
      <c r="H597" s="51">
        <f t="shared" si="39"/>
        <v>1</v>
      </c>
      <c r="I597" s="51">
        <f t="shared" si="39"/>
        <v>2</v>
      </c>
      <c r="J597" s="51" t="str">
        <f t="shared" si="39"/>
        <v/>
      </c>
      <c r="K597" s="37"/>
      <c r="L597" s="37" t="s">
        <v>47</v>
      </c>
      <c r="M597" s="37"/>
      <c r="N597" s="37"/>
      <c r="O597" s="37"/>
      <c r="P597" s="37"/>
      <c r="Q597" s="37"/>
      <c r="R597" s="37" t="s">
        <v>47</v>
      </c>
      <c r="S597" s="37"/>
      <c r="T597" s="37"/>
      <c r="U597" s="37"/>
      <c r="V597" s="37"/>
      <c r="W597" s="37"/>
      <c r="X597" s="37"/>
      <c r="Y597" s="37"/>
      <c r="Z597" s="37" t="s">
        <v>47</v>
      </c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M597" s="38"/>
      <c r="AN597" s="38"/>
      <c r="AO597" s="38" t="s">
        <v>47</v>
      </c>
      <c r="AP597" s="38"/>
      <c r="AQ597" s="38"/>
      <c r="AR597" s="38"/>
      <c r="AS597" s="38"/>
      <c r="AT597" s="38"/>
      <c r="AU597" s="38"/>
      <c r="AV597" s="38"/>
      <c r="AW597" s="38"/>
      <c r="AX597" s="38"/>
      <c r="AY597" s="38"/>
      <c r="AZ597" s="38"/>
      <c r="BA597" s="38"/>
      <c r="BB597" s="38" t="s">
        <v>47</v>
      </c>
      <c r="BC597" s="38"/>
      <c r="BD597" s="38"/>
      <c r="BE597" s="77">
        <f t="shared" si="42"/>
        <v>2</v>
      </c>
      <c r="BF597" s="38"/>
    </row>
    <row r="598" spans="1:58" ht="22.5" hidden="1" customHeight="1">
      <c r="A598" s="33" t="str">
        <f>IF(OR(ISBLANK(E598),ISBLANK(C598)),"",IF(COUNTIF($E$8:E598,E598)&gt;1,"",(MAX($A$7:A597)+1)))</f>
        <v/>
      </c>
      <c r="B598" s="34">
        <f>IF(ISBLANK(C598),"",SUBTOTAL(3,$C$8:C598))</f>
        <v>44</v>
      </c>
      <c r="C598" s="78" t="s">
        <v>1272</v>
      </c>
      <c r="D598" s="50" t="s">
        <v>1273</v>
      </c>
      <c r="E598" s="50" t="s">
        <v>1237</v>
      </c>
      <c r="F598" s="35" t="str">
        <f t="shared" si="40"/>
        <v/>
      </c>
      <c r="G598" s="36" t="str">
        <f t="shared" si="41"/>
        <v>C</v>
      </c>
      <c r="H598" s="51" t="str">
        <f t="shared" si="39"/>
        <v/>
      </c>
      <c r="I598" s="51">
        <f t="shared" si="39"/>
        <v>2</v>
      </c>
      <c r="J598" s="51" t="str">
        <f t="shared" si="39"/>
        <v/>
      </c>
      <c r="K598" s="37"/>
      <c r="L598" s="37" t="s">
        <v>47</v>
      </c>
      <c r="M598" s="37"/>
      <c r="N598" s="37"/>
      <c r="O598" s="37"/>
      <c r="P598" s="37"/>
      <c r="Q598" s="37"/>
      <c r="R598" s="37" t="s">
        <v>47</v>
      </c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  <c r="AJ598" s="37"/>
      <c r="AK598" s="37"/>
      <c r="AM598" s="38"/>
      <c r="AN598" s="38"/>
      <c r="AO598" s="38"/>
      <c r="AP598" s="38"/>
      <c r="AQ598" s="38"/>
      <c r="AR598" s="38"/>
      <c r="AS598" s="38"/>
      <c r="AT598" s="38"/>
      <c r="AU598" s="38"/>
      <c r="AV598" s="38"/>
      <c r="AW598" s="38"/>
      <c r="AX598" s="38"/>
      <c r="AY598" s="38"/>
      <c r="AZ598" s="38"/>
      <c r="BA598" s="38"/>
      <c r="BB598" s="38"/>
      <c r="BC598" s="38"/>
      <c r="BD598" s="38"/>
      <c r="BE598" s="77">
        <f t="shared" si="42"/>
        <v>0</v>
      </c>
      <c r="BF598" s="38"/>
    </row>
    <row r="599" spans="1:58" ht="22.5" hidden="1" customHeight="1">
      <c r="A599" s="33" t="str">
        <f>IF(OR(ISBLANK(E599),ISBLANK(C599)),"",IF(COUNTIF($E$8:E599,E599)&gt;1,"",(MAX($A$7:A598)+1)))</f>
        <v/>
      </c>
      <c r="B599" s="34">
        <f>IF(ISBLANK(C599),"",SUBTOTAL(3,$C$8:C599))</f>
        <v>44</v>
      </c>
      <c r="C599" s="79" t="s">
        <v>1274</v>
      </c>
      <c r="D599" s="50" t="s">
        <v>1275</v>
      </c>
      <c r="E599" s="50" t="s">
        <v>1237</v>
      </c>
      <c r="F599" s="35" t="str">
        <f t="shared" si="40"/>
        <v/>
      </c>
      <c r="G599" s="36" t="str">
        <f t="shared" si="41"/>
        <v>C</v>
      </c>
      <c r="H599" s="51" t="str">
        <f t="shared" si="39"/>
        <v/>
      </c>
      <c r="I599" s="51">
        <f t="shared" si="39"/>
        <v>2</v>
      </c>
      <c r="J599" s="51" t="str">
        <f t="shared" si="39"/>
        <v/>
      </c>
      <c r="K599" s="37"/>
      <c r="L599" s="37" t="s">
        <v>47</v>
      </c>
      <c r="M599" s="37"/>
      <c r="N599" s="37"/>
      <c r="O599" s="37"/>
      <c r="P599" s="37"/>
      <c r="Q599" s="37"/>
      <c r="R599" s="37" t="s">
        <v>47</v>
      </c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  <c r="AJ599" s="37"/>
      <c r="AK599" s="37"/>
      <c r="AM599" s="38"/>
      <c r="AN599" s="38"/>
      <c r="AO599" s="38"/>
      <c r="AP599" s="38"/>
      <c r="AQ599" s="38"/>
      <c r="AR599" s="38"/>
      <c r="AS599" s="38"/>
      <c r="AT599" s="38"/>
      <c r="AU599" s="38"/>
      <c r="AV599" s="38"/>
      <c r="AW599" s="38" t="s">
        <v>47</v>
      </c>
      <c r="AX599" s="38"/>
      <c r="AY599" s="38"/>
      <c r="AZ599" s="38"/>
      <c r="BA599" s="38"/>
      <c r="BB599" s="38"/>
      <c r="BC599" s="38"/>
      <c r="BD599" s="38"/>
      <c r="BE599" s="77">
        <f t="shared" si="42"/>
        <v>1</v>
      </c>
      <c r="BF599" s="38"/>
    </row>
    <row r="600" spans="1:58" ht="22.5" hidden="1" customHeight="1">
      <c r="A600" s="33" t="str">
        <f>IF(OR(ISBLANK(E600),ISBLANK(C600)),"",IF(COUNTIF($E$8:E600,E600)&gt;1,"",(MAX($A$7:A599)+1)))</f>
        <v/>
      </c>
      <c r="B600" s="34">
        <f>IF(ISBLANK(C600),"",SUBTOTAL(3,$C$8:C600))</f>
        <v>44</v>
      </c>
      <c r="C600" s="79" t="s">
        <v>1276</v>
      </c>
      <c r="D600" s="50" t="s">
        <v>1277</v>
      </c>
      <c r="E600" s="50" t="s">
        <v>1237</v>
      </c>
      <c r="F600" s="35" t="str">
        <f t="shared" si="40"/>
        <v/>
      </c>
      <c r="G600" s="36" t="str">
        <f t="shared" si="41"/>
        <v>C</v>
      </c>
      <c r="H600" s="51">
        <f t="shared" ref="H600:J663" si="43">IF(OR(ISBLANK($C600),COUNTIFS($K600:$AH600,"X",$K$7:$AH$7,H$7)=0,),"",COUNTIFS($K600:$AH600,"X",$K$7:$AH$7,H$7))</f>
        <v>1</v>
      </c>
      <c r="I600" s="51">
        <f t="shared" si="43"/>
        <v>1</v>
      </c>
      <c r="J600" s="51" t="str">
        <f t="shared" si="43"/>
        <v/>
      </c>
      <c r="K600" s="37" t="s">
        <v>47</v>
      </c>
      <c r="L600" s="37"/>
      <c r="M600" s="37"/>
      <c r="N600" s="37"/>
      <c r="O600" s="37"/>
      <c r="P600" s="37"/>
      <c r="Q600" s="37"/>
      <c r="R600" s="37" t="s">
        <v>47</v>
      </c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M600" s="38"/>
      <c r="AN600" s="38"/>
      <c r="AO600" s="38"/>
      <c r="AP600" s="38"/>
      <c r="AQ600" s="38" t="s">
        <v>47</v>
      </c>
      <c r="AR600" s="38"/>
      <c r="AS600" s="38"/>
      <c r="AT600" s="38"/>
      <c r="AU600" s="38"/>
      <c r="AV600" s="38"/>
      <c r="AW600" s="38"/>
      <c r="AX600" s="38"/>
      <c r="AY600" s="38"/>
      <c r="AZ600" s="38"/>
      <c r="BA600" s="38"/>
      <c r="BB600" s="38"/>
      <c r="BC600" s="38"/>
      <c r="BD600" s="38"/>
      <c r="BE600" s="77">
        <f t="shared" si="42"/>
        <v>1</v>
      </c>
      <c r="BF600" s="38"/>
    </row>
    <row r="601" spans="1:58" ht="22.5" hidden="1" customHeight="1">
      <c r="A601" s="33" t="str">
        <f>IF(OR(ISBLANK(E601),ISBLANK(C601)),"",IF(COUNTIF($E$8:E601,E601)&gt;1,"",(MAX($A$7:A600)+1)))</f>
        <v/>
      </c>
      <c r="B601" s="34">
        <f>IF(ISBLANK(C601),"",SUBTOTAL(3,$C$8:C601))</f>
        <v>44</v>
      </c>
      <c r="C601" s="80" t="s">
        <v>1278</v>
      </c>
      <c r="D601" s="52" t="s">
        <v>1279</v>
      </c>
      <c r="E601" s="50" t="s">
        <v>1237</v>
      </c>
      <c r="F601" s="35" t="str">
        <f t="shared" si="40"/>
        <v/>
      </c>
      <c r="G601" s="36" t="str">
        <f t="shared" si="41"/>
        <v>A</v>
      </c>
      <c r="H601" s="51">
        <f t="shared" si="43"/>
        <v>5</v>
      </c>
      <c r="I601" s="51">
        <f t="shared" si="43"/>
        <v>2</v>
      </c>
      <c r="J601" s="51" t="str">
        <f t="shared" si="43"/>
        <v/>
      </c>
      <c r="K601" s="37" t="s">
        <v>47</v>
      </c>
      <c r="L601" s="37"/>
      <c r="M601" s="37"/>
      <c r="N601" s="37"/>
      <c r="O601" s="37"/>
      <c r="P601" s="37"/>
      <c r="Q601" s="37" t="s">
        <v>47</v>
      </c>
      <c r="R601" s="37"/>
      <c r="S601" s="37"/>
      <c r="T601" s="37" t="s">
        <v>47</v>
      </c>
      <c r="U601" s="37"/>
      <c r="V601" s="37"/>
      <c r="W601" s="37" t="s">
        <v>47</v>
      </c>
      <c r="X601" s="37"/>
      <c r="Y601" s="37"/>
      <c r="Z601" s="37"/>
      <c r="AA601" s="37" t="s">
        <v>47</v>
      </c>
      <c r="AB601" s="37"/>
      <c r="AC601" s="37" t="s">
        <v>47</v>
      </c>
      <c r="AD601" s="37"/>
      <c r="AE601" s="37"/>
      <c r="AF601" s="37"/>
      <c r="AG601" s="37" t="s">
        <v>47</v>
      </c>
      <c r="AH601" s="37"/>
      <c r="AI601" s="37"/>
      <c r="AJ601" s="37"/>
      <c r="AK601" s="37"/>
      <c r="AM601" s="38"/>
      <c r="AN601" s="38"/>
      <c r="AO601" s="38"/>
      <c r="AP601" s="38"/>
      <c r="AQ601" s="38" t="s">
        <v>47</v>
      </c>
      <c r="AR601" s="38"/>
      <c r="AS601" s="38"/>
      <c r="AT601" s="38"/>
      <c r="AU601" s="38"/>
      <c r="AV601" s="38"/>
      <c r="AW601" s="38"/>
      <c r="AX601" s="38"/>
      <c r="AY601" s="38"/>
      <c r="AZ601" s="38" t="s">
        <v>47</v>
      </c>
      <c r="BA601" s="38"/>
      <c r="BB601" s="38" t="s">
        <v>47</v>
      </c>
      <c r="BC601" s="38"/>
      <c r="BD601" s="38"/>
      <c r="BE601" s="77">
        <f t="shared" si="42"/>
        <v>3</v>
      </c>
      <c r="BF601" s="38"/>
    </row>
    <row r="602" spans="1:58" ht="22.5" hidden="1" customHeight="1">
      <c r="A602" s="33" t="str">
        <f>IF(OR(ISBLANK(E602),ISBLANK(C602)),"",IF(COUNTIF($E$8:E602,E602)&gt;1,"",(MAX($A$7:A601)+1)))</f>
        <v/>
      </c>
      <c r="B602" s="34">
        <f>IF(ISBLANK(C602),"",SUBTOTAL(3,$C$8:C602))</f>
        <v>44</v>
      </c>
      <c r="C602" s="80" t="s">
        <v>1280</v>
      </c>
      <c r="D602" s="50" t="s">
        <v>1281</v>
      </c>
      <c r="E602" s="50" t="s">
        <v>1237</v>
      </c>
      <c r="F602" s="35" t="str">
        <f t="shared" si="40"/>
        <v/>
      </c>
      <c r="G602" s="36" t="str">
        <f t="shared" si="41"/>
        <v>C</v>
      </c>
      <c r="H602" s="51">
        <f t="shared" si="43"/>
        <v>1</v>
      </c>
      <c r="I602" s="51">
        <f t="shared" si="43"/>
        <v>1</v>
      </c>
      <c r="J602" s="51" t="str">
        <f t="shared" si="43"/>
        <v/>
      </c>
      <c r="K602" s="37" t="s">
        <v>47</v>
      </c>
      <c r="L602" s="37"/>
      <c r="M602" s="37"/>
      <c r="N602" s="37"/>
      <c r="O602" s="37"/>
      <c r="P602" s="37"/>
      <c r="Q602" s="37"/>
      <c r="R602" s="37" t="s">
        <v>47</v>
      </c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  <c r="AJ602" s="37"/>
      <c r="AK602" s="37"/>
      <c r="AM602" s="38"/>
      <c r="AN602" s="38"/>
      <c r="AO602" s="38"/>
      <c r="AP602" s="38"/>
      <c r="AQ602" s="38"/>
      <c r="AR602" s="38"/>
      <c r="AS602" s="38"/>
      <c r="AT602" s="38"/>
      <c r="AU602" s="38" t="s">
        <v>47</v>
      </c>
      <c r="AV602" s="38"/>
      <c r="AW602" s="38"/>
      <c r="AX602" s="38"/>
      <c r="AY602" s="38"/>
      <c r="AZ602" s="38"/>
      <c r="BA602" s="38"/>
      <c r="BB602" s="38"/>
      <c r="BC602" s="38"/>
      <c r="BD602" s="38"/>
      <c r="BE602" s="77">
        <f t="shared" si="42"/>
        <v>1</v>
      </c>
      <c r="BF602" s="38"/>
    </row>
    <row r="603" spans="1:58" ht="22.5" hidden="1" customHeight="1">
      <c r="A603" s="33" t="str">
        <f>IF(OR(ISBLANK(E603),ISBLANK(C603)),"",IF(COUNTIF($E$8:E603,E603)&gt;1,"",(MAX($A$7:A602)+1)))</f>
        <v/>
      </c>
      <c r="B603" s="34">
        <f>IF(ISBLANK(C603),"",SUBTOTAL(3,$C$8:C603))</f>
        <v>44</v>
      </c>
      <c r="C603" s="80" t="s">
        <v>1282</v>
      </c>
      <c r="D603" s="50" t="s">
        <v>1283</v>
      </c>
      <c r="E603" s="50" t="s">
        <v>1237</v>
      </c>
      <c r="F603" s="35" t="str">
        <f t="shared" si="40"/>
        <v/>
      </c>
      <c r="G603" s="36" t="str">
        <f t="shared" si="41"/>
        <v>D</v>
      </c>
      <c r="H603" s="51" t="str">
        <f t="shared" si="43"/>
        <v/>
      </c>
      <c r="I603" s="51">
        <f t="shared" si="43"/>
        <v>1</v>
      </c>
      <c r="J603" s="51" t="str">
        <f t="shared" si="43"/>
        <v/>
      </c>
      <c r="K603" s="37"/>
      <c r="L603" s="37" t="s">
        <v>47</v>
      </c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  <c r="AJ603" s="37"/>
      <c r="AK603" s="37"/>
      <c r="AM603" s="38"/>
      <c r="AN603" s="38"/>
      <c r="AO603" s="38"/>
      <c r="AP603" s="38"/>
      <c r="AQ603" s="38"/>
      <c r="AR603" s="38" t="s">
        <v>47</v>
      </c>
      <c r="AS603" s="38" t="s">
        <v>47</v>
      </c>
      <c r="AT603" s="38"/>
      <c r="AU603" s="38"/>
      <c r="AV603" s="38"/>
      <c r="AW603" s="38"/>
      <c r="AX603" s="38"/>
      <c r="AY603" s="38"/>
      <c r="AZ603" s="38"/>
      <c r="BA603" s="38"/>
      <c r="BB603" s="38"/>
      <c r="BC603" s="38"/>
      <c r="BD603" s="38"/>
      <c r="BE603" s="77">
        <f t="shared" si="42"/>
        <v>2</v>
      </c>
      <c r="BF603" s="38"/>
    </row>
    <row r="604" spans="1:58" ht="22.5" hidden="1" customHeight="1">
      <c r="A604" s="33" t="str">
        <f>IF(OR(ISBLANK(E604),ISBLANK(C604)),"",IF(COUNTIF($E$8:E604,E604)&gt;1,"",(MAX($A$7:A603)+1)))</f>
        <v/>
      </c>
      <c r="B604" s="34">
        <f>IF(ISBLANK(C604),"",SUBTOTAL(3,$C$8:C604))</f>
        <v>44</v>
      </c>
      <c r="C604" s="78" t="s">
        <v>1284</v>
      </c>
      <c r="D604" s="50" t="s">
        <v>1285</v>
      </c>
      <c r="E604" s="50" t="s">
        <v>1237</v>
      </c>
      <c r="F604" s="35" t="str">
        <f t="shared" si="40"/>
        <v/>
      </c>
      <c r="G604" s="36" t="str">
        <f t="shared" si="41"/>
        <v>A</v>
      </c>
      <c r="H604" s="51">
        <f t="shared" si="43"/>
        <v>3</v>
      </c>
      <c r="I604" s="51" t="str">
        <f t="shared" si="43"/>
        <v/>
      </c>
      <c r="J604" s="51" t="str">
        <f t="shared" si="43"/>
        <v/>
      </c>
      <c r="K604" s="37" t="s">
        <v>47</v>
      </c>
      <c r="L604" s="37"/>
      <c r="M604" s="37"/>
      <c r="N604" s="37" t="s">
        <v>47</v>
      </c>
      <c r="O604" s="37"/>
      <c r="P604" s="37"/>
      <c r="Q604" s="37" t="s">
        <v>47</v>
      </c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  <c r="AJ604" s="37"/>
      <c r="AK604" s="37"/>
      <c r="AM604" s="38"/>
      <c r="AN604" s="38"/>
      <c r="AO604" s="38"/>
      <c r="AP604" s="38"/>
      <c r="AQ604" s="38"/>
      <c r="AR604" s="38"/>
      <c r="AS604" s="38"/>
      <c r="AT604" s="38"/>
      <c r="AU604" s="38"/>
      <c r="AV604" s="38" t="s">
        <v>47</v>
      </c>
      <c r="AW604" s="38"/>
      <c r="AX604" s="38"/>
      <c r="AY604" s="38" t="s">
        <v>47</v>
      </c>
      <c r="AZ604" s="38"/>
      <c r="BA604" s="38"/>
      <c r="BB604" s="38"/>
      <c r="BC604" s="38"/>
      <c r="BD604" s="38"/>
      <c r="BE604" s="77">
        <f t="shared" si="42"/>
        <v>2</v>
      </c>
      <c r="BF604" s="38"/>
    </row>
    <row r="605" spans="1:58" ht="22.5" hidden="1" customHeight="1">
      <c r="A605" s="33" t="str">
        <f>IF(OR(ISBLANK(E605),ISBLANK(C605)),"",IF(COUNTIF($E$8:E605,E605)&gt;1,"",(MAX($A$7:A604)+1)))</f>
        <v/>
      </c>
      <c r="B605" s="34">
        <f>IF(ISBLANK(C605),"",SUBTOTAL(3,$C$8:C605))</f>
        <v>44</v>
      </c>
      <c r="C605" s="78" t="s">
        <v>1286</v>
      </c>
      <c r="D605" s="50" t="s">
        <v>1287</v>
      </c>
      <c r="E605" s="50" t="s">
        <v>1237</v>
      </c>
      <c r="F605" s="35" t="str">
        <f t="shared" si="40"/>
        <v/>
      </c>
      <c r="G605" s="36" t="str">
        <f t="shared" si="41"/>
        <v>A</v>
      </c>
      <c r="H605" s="51">
        <f t="shared" si="43"/>
        <v>4</v>
      </c>
      <c r="I605" s="51">
        <f t="shared" si="43"/>
        <v>1</v>
      </c>
      <c r="J605" s="51" t="str">
        <f t="shared" si="43"/>
        <v/>
      </c>
      <c r="K605" s="37" t="s">
        <v>47</v>
      </c>
      <c r="L605" s="37"/>
      <c r="M605" s="37"/>
      <c r="N605" s="37"/>
      <c r="O605" s="37"/>
      <c r="P605" s="37"/>
      <c r="Q605" s="37" t="s">
        <v>47</v>
      </c>
      <c r="R605" s="37"/>
      <c r="S605" s="37"/>
      <c r="T605" s="37"/>
      <c r="U605" s="37"/>
      <c r="V605" s="37"/>
      <c r="W605" s="37" t="s">
        <v>47</v>
      </c>
      <c r="X605" s="37"/>
      <c r="Y605" s="37"/>
      <c r="Z605" s="37"/>
      <c r="AA605" s="37"/>
      <c r="AB605" s="37"/>
      <c r="AC605" s="37" t="s">
        <v>47</v>
      </c>
      <c r="AD605" s="37"/>
      <c r="AE605" s="37"/>
      <c r="AF605" s="37"/>
      <c r="AG605" s="37" t="s">
        <v>47</v>
      </c>
      <c r="AH605" s="37"/>
      <c r="AI605" s="37"/>
      <c r="AJ605" s="37"/>
      <c r="AK605" s="37"/>
      <c r="AM605" s="38"/>
      <c r="AN605" s="38"/>
      <c r="AO605" s="38"/>
      <c r="AP605" s="38"/>
      <c r="AQ605" s="38"/>
      <c r="AR605" s="38"/>
      <c r="AS605" s="38"/>
      <c r="AT605" s="38"/>
      <c r="AU605" s="38"/>
      <c r="AV605" s="38"/>
      <c r="AW605" s="38" t="s">
        <v>47</v>
      </c>
      <c r="AX605" s="38" t="s">
        <v>47</v>
      </c>
      <c r="AY605" s="38"/>
      <c r="AZ605" s="38"/>
      <c r="BA605" s="38"/>
      <c r="BB605" s="38"/>
      <c r="BC605" s="38"/>
      <c r="BD605" s="38"/>
      <c r="BE605" s="77">
        <f t="shared" si="42"/>
        <v>2</v>
      </c>
      <c r="BF605" s="38"/>
    </row>
    <row r="606" spans="1:58" ht="22.5" hidden="1" customHeight="1">
      <c r="A606" s="33" t="str">
        <f>IF(OR(ISBLANK(E606),ISBLANK(C606)),"",IF(COUNTIF($E$8:E606,E606)&gt;1,"",(MAX($A$7:A605)+1)))</f>
        <v/>
      </c>
      <c r="B606" s="34">
        <f>IF(ISBLANK(C606),"",SUBTOTAL(3,$C$8:C606))</f>
        <v>44</v>
      </c>
      <c r="C606" s="80" t="s">
        <v>1288</v>
      </c>
      <c r="D606" s="57" t="s">
        <v>1289</v>
      </c>
      <c r="E606" s="50" t="s">
        <v>1237</v>
      </c>
      <c r="F606" s="35" t="str">
        <f t="shared" si="40"/>
        <v/>
      </c>
      <c r="G606" s="36" t="str">
        <f t="shared" si="41"/>
        <v>D</v>
      </c>
      <c r="H606" s="51" t="str">
        <f t="shared" si="43"/>
        <v/>
      </c>
      <c r="I606" s="51">
        <f t="shared" si="43"/>
        <v>1</v>
      </c>
      <c r="J606" s="51" t="str">
        <f t="shared" si="43"/>
        <v/>
      </c>
      <c r="K606" s="37"/>
      <c r="L606" s="37" t="s">
        <v>47</v>
      </c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  <c r="AJ606" s="37"/>
      <c r="AK606" s="37"/>
      <c r="AM606" s="38"/>
      <c r="AN606" s="38"/>
      <c r="AO606" s="38"/>
      <c r="AP606" s="38"/>
      <c r="AQ606" s="38"/>
      <c r="AR606" s="38"/>
      <c r="AS606" s="38" t="s">
        <v>47</v>
      </c>
      <c r="AT606" s="38" t="s">
        <v>47</v>
      </c>
      <c r="AU606" s="38"/>
      <c r="AV606" s="38"/>
      <c r="AW606" s="38"/>
      <c r="AX606" s="38"/>
      <c r="AY606" s="38"/>
      <c r="AZ606" s="38"/>
      <c r="BA606" s="38"/>
      <c r="BB606" s="38"/>
      <c r="BC606" s="38"/>
      <c r="BD606" s="38"/>
      <c r="BE606" s="77">
        <f t="shared" si="42"/>
        <v>2</v>
      </c>
      <c r="BF606" s="38"/>
    </row>
    <row r="607" spans="1:58" ht="22.5" hidden="1" customHeight="1">
      <c r="A607" s="33" t="str">
        <f>IF(OR(ISBLANK(E607),ISBLANK(C607)),"",IF(COUNTIF($E$8:E607,E607)&gt;1,"",(MAX($A$7:A606)+1)))</f>
        <v/>
      </c>
      <c r="B607" s="34">
        <f>IF(ISBLANK(C607),"",SUBTOTAL(3,$C$8:C607))</f>
        <v>44</v>
      </c>
      <c r="C607" s="79" t="s">
        <v>1290</v>
      </c>
      <c r="D607" s="50" t="s">
        <v>1291</v>
      </c>
      <c r="E607" s="50" t="s">
        <v>1237</v>
      </c>
      <c r="F607" s="35" t="str">
        <f t="shared" si="40"/>
        <v/>
      </c>
      <c r="G607" s="36" t="str">
        <f t="shared" si="41"/>
        <v>A</v>
      </c>
      <c r="H607" s="51">
        <f t="shared" si="43"/>
        <v>2</v>
      </c>
      <c r="I607" s="51">
        <f t="shared" si="43"/>
        <v>2</v>
      </c>
      <c r="J607" s="51" t="str">
        <f t="shared" si="43"/>
        <v/>
      </c>
      <c r="K607" s="37" t="s">
        <v>47</v>
      </c>
      <c r="L607" s="37"/>
      <c r="M607" s="37"/>
      <c r="N607" s="37"/>
      <c r="O607" s="37"/>
      <c r="P607" s="37"/>
      <c r="Q607" s="37" t="s">
        <v>47</v>
      </c>
      <c r="R607" s="37"/>
      <c r="S607" s="37"/>
      <c r="T607" s="37"/>
      <c r="U607" s="37" t="s">
        <v>47</v>
      </c>
      <c r="V607" s="37"/>
      <c r="W607" s="37"/>
      <c r="X607" s="37"/>
      <c r="Y607" s="37"/>
      <c r="Z607" s="37"/>
      <c r="AA607" s="37"/>
      <c r="AB607" s="37"/>
      <c r="AC607" s="37"/>
      <c r="AD607" s="37" t="s">
        <v>47</v>
      </c>
      <c r="AE607" s="37"/>
      <c r="AF607" s="37"/>
      <c r="AG607" s="37"/>
      <c r="AH607" s="37"/>
      <c r="AI607" s="37"/>
      <c r="AJ607" s="37"/>
      <c r="AK607" s="37"/>
      <c r="AM607" s="38"/>
      <c r="AN607" s="38"/>
      <c r="AO607" s="38"/>
      <c r="AP607" s="38"/>
      <c r="AQ607" s="38"/>
      <c r="AR607" s="38"/>
      <c r="AS607" s="38"/>
      <c r="AT607" s="38"/>
      <c r="AU607" s="38"/>
      <c r="AV607" s="38"/>
      <c r="AW607" s="38" t="s">
        <v>47</v>
      </c>
      <c r="AX607" s="38" t="s">
        <v>47</v>
      </c>
      <c r="AY607" s="38"/>
      <c r="AZ607" s="38"/>
      <c r="BA607" s="38"/>
      <c r="BB607" s="38"/>
      <c r="BC607" s="38"/>
      <c r="BD607" s="38"/>
      <c r="BE607" s="77">
        <f t="shared" si="42"/>
        <v>2</v>
      </c>
      <c r="BF607" s="38"/>
    </row>
    <row r="608" spans="1:58" ht="22.5" hidden="1" customHeight="1">
      <c r="A608" s="33" t="str">
        <f>IF(OR(ISBLANK(E608),ISBLANK(C608)),"",IF(COUNTIF($E$8:E608,E608)&gt;1,"",(MAX($A$7:A607)+1)))</f>
        <v/>
      </c>
      <c r="B608" s="34">
        <f>IF(ISBLANK(C608),"",SUBTOTAL(3,$C$8:C608))</f>
        <v>44</v>
      </c>
      <c r="C608" s="80" t="s">
        <v>1292</v>
      </c>
      <c r="D608" s="50" t="s">
        <v>1293</v>
      </c>
      <c r="E608" s="50" t="s">
        <v>1237</v>
      </c>
      <c r="F608" s="35" t="str">
        <f t="shared" si="40"/>
        <v/>
      </c>
      <c r="G608" s="36" t="str">
        <f t="shared" si="41"/>
        <v>B</v>
      </c>
      <c r="H608" s="51">
        <f t="shared" si="43"/>
        <v>2</v>
      </c>
      <c r="I608" s="51" t="str">
        <f t="shared" si="43"/>
        <v/>
      </c>
      <c r="J608" s="51" t="str">
        <f t="shared" si="43"/>
        <v/>
      </c>
      <c r="K608" s="37" t="s">
        <v>47</v>
      </c>
      <c r="L608" s="37"/>
      <c r="M608" s="37"/>
      <c r="N608" s="37"/>
      <c r="O608" s="37"/>
      <c r="P608" s="37"/>
      <c r="Q608" s="37" t="s">
        <v>47</v>
      </c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  <c r="AJ608" s="37"/>
      <c r="AK608" s="37"/>
      <c r="AM608" s="38"/>
      <c r="AN608" s="38"/>
      <c r="AO608" s="38"/>
      <c r="AP608" s="38"/>
      <c r="AQ608" s="38"/>
      <c r="AR608" s="38"/>
      <c r="AS608" s="38"/>
      <c r="AT608" s="38"/>
      <c r="AU608" s="38"/>
      <c r="AV608" s="38"/>
      <c r="AW608" s="38"/>
      <c r="AX608" s="38"/>
      <c r="AY608" s="38"/>
      <c r="AZ608" s="38"/>
      <c r="BA608" s="38"/>
      <c r="BB608" s="38" t="s">
        <v>47</v>
      </c>
      <c r="BC608" s="38" t="s">
        <v>47</v>
      </c>
      <c r="BD608" s="38"/>
      <c r="BE608" s="77">
        <f t="shared" si="42"/>
        <v>2</v>
      </c>
      <c r="BF608" s="38"/>
    </row>
    <row r="609" spans="1:58" ht="22.5" hidden="1" customHeight="1">
      <c r="A609" s="33" t="str">
        <f>IF(OR(ISBLANK(E609),ISBLANK(C609)),"",IF(COUNTIF($E$8:E609,E609)&gt;1,"",(MAX($A$7:A608)+1)))</f>
        <v/>
      </c>
      <c r="B609" s="34">
        <f>IF(ISBLANK(C609),"",SUBTOTAL(3,$C$8:C609))</f>
        <v>44</v>
      </c>
      <c r="C609" s="80" t="s">
        <v>1294</v>
      </c>
      <c r="D609" s="50" t="s">
        <v>1295</v>
      </c>
      <c r="E609" s="50" t="s">
        <v>1237</v>
      </c>
      <c r="F609" s="35" t="str">
        <f t="shared" si="40"/>
        <v/>
      </c>
      <c r="G609" s="36" t="str">
        <f t="shared" si="41"/>
        <v>A</v>
      </c>
      <c r="H609" s="51">
        <f t="shared" si="43"/>
        <v>2</v>
      </c>
      <c r="I609" s="51">
        <f t="shared" si="43"/>
        <v>2</v>
      </c>
      <c r="J609" s="51" t="str">
        <f t="shared" si="43"/>
        <v/>
      </c>
      <c r="K609" s="37"/>
      <c r="L609" s="37" t="s">
        <v>47</v>
      </c>
      <c r="M609" s="37"/>
      <c r="N609" s="37"/>
      <c r="O609" s="37"/>
      <c r="P609" s="37"/>
      <c r="Q609" s="37" t="s">
        <v>47</v>
      </c>
      <c r="R609" s="37"/>
      <c r="S609" s="37"/>
      <c r="T609" s="37"/>
      <c r="U609" s="37" t="s">
        <v>47</v>
      </c>
      <c r="V609" s="37"/>
      <c r="W609" s="37"/>
      <c r="X609" s="37"/>
      <c r="Y609" s="37"/>
      <c r="Z609" s="37"/>
      <c r="AA609" s="37"/>
      <c r="AB609" s="37"/>
      <c r="AC609" s="37" t="s">
        <v>47</v>
      </c>
      <c r="AD609" s="37"/>
      <c r="AE609" s="37"/>
      <c r="AF609" s="37"/>
      <c r="AG609" s="37"/>
      <c r="AH609" s="37"/>
      <c r="AI609" s="37"/>
      <c r="AJ609" s="37"/>
      <c r="AK609" s="37"/>
      <c r="AM609" s="38"/>
      <c r="AN609" s="38"/>
      <c r="AO609" s="38"/>
      <c r="AP609" s="38"/>
      <c r="AQ609" s="38" t="s">
        <v>47</v>
      </c>
      <c r="AR609" s="38"/>
      <c r="AS609" s="38"/>
      <c r="AT609" s="38"/>
      <c r="AU609" s="38"/>
      <c r="AV609" s="38" t="s">
        <v>47</v>
      </c>
      <c r="AW609" s="38"/>
      <c r="AX609" s="38"/>
      <c r="AY609" s="38"/>
      <c r="AZ609" s="38"/>
      <c r="BA609" s="38"/>
      <c r="BB609" s="38"/>
      <c r="BC609" s="38"/>
      <c r="BD609" s="38"/>
      <c r="BE609" s="77">
        <f t="shared" si="42"/>
        <v>2</v>
      </c>
      <c r="BF609" s="38"/>
    </row>
    <row r="610" spans="1:58" ht="22.5" hidden="1" customHeight="1">
      <c r="A610" s="33" t="str">
        <f>IF(OR(ISBLANK(E610),ISBLANK(C610)),"",IF(COUNTIF($E$8:E610,E610)&gt;1,"",(MAX($A$7:A609)+1)))</f>
        <v/>
      </c>
      <c r="B610" s="34">
        <f>IF(ISBLANK(C610),"",SUBTOTAL(3,$C$8:C610))</f>
        <v>44</v>
      </c>
      <c r="C610" s="80" t="s">
        <v>1296</v>
      </c>
      <c r="D610" s="50" t="s">
        <v>1297</v>
      </c>
      <c r="E610" s="50" t="s">
        <v>1237</v>
      </c>
      <c r="F610" s="35" t="str">
        <f t="shared" si="40"/>
        <v/>
      </c>
      <c r="G610" s="36" t="str">
        <f t="shared" si="41"/>
        <v>C</v>
      </c>
      <c r="H610" s="51">
        <f t="shared" si="43"/>
        <v>1</v>
      </c>
      <c r="I610" s="51">
        <f t="shared" si="43"/>
        <v>1</v>
      </c>
      <c r="J610" s="51" t="str">
        <f t="shared" si="43"/>
        <v/>
      </c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 t="s">
        <v>47</v>
      </c>
      <c r="AA610" s="37"/>
      <c r="AB610" s="37"/>
      <c r="AC610" s="37"/>
      <c r="AD610" s="37"/>
      <c r="AE610" s="37"/>
      <c r="AF610" s="37"/>
      <c r="AG610" s="37" t="s">
        <v>47</v>
      </c>
      <c r="AH610" s="37"/>
      <c r="AI610" s="37"/>
      <c r="AJ610" s="37"/>
      <c r="AK610" s="37"/>
      <c r="AM610" s="38"/>
      <c r="AN610" s="38"/>
      <c r="AO610" s="38" t="s">
        <v>47</v>
      </c>
      <c r="AP610" s="38"/>
      <c r="AQ610" s="38"/>
      <c r="AR610" s="38"/>
      <c r="AS610" s="38"/>
      <c r="AT610" s="38"/>
      <c r="AU610" s="38"/>
      <c r="AV610" s="38"/>
      <c r="AW610" s="38"/>
      <c r="AX610" s="38"/>
      <c r="AY610" s="38"/>
      <c r="AZ610" s="38"/>
      <c r="BA610" s="38"/>
      <c r="BB610" s="38"/>
      <c r="BC610" s="38"/>
      <c r="BD610" s="38"/>
      <c r="BE610" s="77">
        <f t="shared" si="42"/>
        <v>1</v>
      </c>
      <c r="BF610" s="38"/>
    </row>
    <row r="611" spans="1:58" ht="22.5" hidden="1" customHeight="1">
      <c r="A611" s="33" t="str">
        <f>IF(OR(ISBLANK(E611),ISBLANK(C611)),"",IF(COUNTIF($E$8:E611,E611)&gt;1,"",(MAX($A$7:A610)+1)))</f>
        <v/>
      </c>
      <c r="B611" s="34">
        <f>IF(ISBLANK(C611),"",SUBTOTAL(3,$C$8:C611))</f>
        <v>44</v>
      </c>
      <c r="C611" s="80" t="s">
        <v>1298</v>
      </c>
      <c r="D611" s="50" t="s">
        <v>1299</v>
      </c>
      <c r="E611" s="50" t="s">
        <v>1237</v>
      </c>
      <c r="F611" s="35" t="str">
        <f t="shared" si="40"/>
        <v/>
      </c>
      <c r="G611" s="36" t="str">
        <f t="shared" si="41"/>
        <v>C</v>
      </c>
      <c r="H611" s="51">
        <f t="shared" si="43"/>
        <v>1</v>
      </c>
      <c r="I611" s="51">
        <f t="shared" si="43"/>
        <v>1</v>
      </c>
      <c r="J611" s="51" t="str">
        <f t="shared" si="43"/>
        <v/>
      </c>
      <c r="K611" s="37" t="s">
        <v>47</v>
      </c>
      <c r="L611" s="37"/>
      <c r="M611" s="37"/>
      <c r="N611" s="37"/>
      <c r="O611" s="37"/>
      <c r="P611" s="37"/>
      <c r="Q611" s="37"/>
      <c r="R611" s="37" t="s">
        <v>47</v>
      </c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7"/>
      <c r="AK611" s="37"/>
      <c r="AM611" s="38"/>
      <c r="AN611" s="38"/>
      <c r="AO611" s="38"/>
      <c r="AP611" s="38"/>
      <c r="AQ611" s="38"/>
      <c r="AR611" s="38"/>
      <c r="AS611" s="38"/>
      <c r="AT611" s="38"/>
      <c r="AU611" s="38"/>
      <c r="AV611" s="38"/>
      <c r="AW611" s="38"/>
      <c r="AX611" s="38"/>
      <c r="AY611" s="38"/>
      <c r="AZ611" s="38"/>
      <c r="BA611" s="38"/>
      <c r="BB611" s="38" t="s">
        <v>47</v>
      </c>
      <c r="BC611" s="38"/>
      <c r="BD611" s="38"/>
      <c r="BE611" s="77">
        <f t="shared" si="42"/>
        <v>1</v>
      </c>
      <c r="BF611" s="38"/>
    </row>
    <row r="612" spans="1:58" ht="22.5" hidden="1" customHeight="1">
      <c r="A612" s="33" t="str">
        <f>IF(OR(ISBLANK(E612),ISBLANK(C612)),"",IF(COUNTIF($E$8:E612,E612)&gt;1,"",(MAX($A$7:A611)+1)))</f>
        <v/>
      </c>
      <c r="B612" s="34">
        <f>IF(ISBLANK(C612),"",SUBTOTAL(3,$C$8:C612))</f>
        <v>44</v>
      </c>
      <c r="C612" s="81" t="s">
        <v>1300</v>
      </c>
      <c r="D612" s="55" t="s">
        <v>1301</v>
      </c>
      <c r="E612" s="50" t="s">
        <v>1237</v>
      </c>
      <c r="F612" s="35" t="str">
        <f t="shared" si="40"/>
        <v/>
      </c>
      <c r="G612" s="36" t="str">
        <f t="shared" si="41"/>
        <v>D</v>
      </c>
      <c r="H612" s="51" t="str">
        <f t="shared" si="43"/>
        <v/>
      </c>
      <c r="I612" s="51">
        <f t="shared" si="43"/>
        <v>1</v>
      </c>
      <c r="J612" s="51" t="str">
        <f t="shared" si="43"/>
        <v/>
      </c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 t="s">
        <v>47</v>
      </c>
      <c r="AH612" s="37"/>
      <c r="AI612" s="37"/>
      <c r="AJ612" s="37"/>
      <c r="AK612" s="37"/>
      <c r="AM612" s="38"/>
      <c r="AN612" s="38"/>
      <c r="AO612" s="38"/>
      <c r="AP612" s="38" t="s">
        <v>47</v>
      </c>
      <c r="AQ612" s="38"/>
      <c r="AR612" s="38"/>
      <c r="AS612" s="38"/>
      <c r="AT612" s="38"/>
      <c r="AU612" s="38"/>
      <c r="AV612" s="38"/>
      <c r="AW612" s="38"/>
      <c r="AX612" s="38"/>
      <c r="AY612" s="38"/>
      <c r="AZ612" s="38"/>
      <c r="BA612" s="38"/>
      <c r="BB612" s="38"/>
      <c r="BC612" s="38"/>
      <c r="BD612" s="38"/>
      <c r="BE612" s="77">
        <f t="shared" si="42"/>
        <v>1</v>
      </c>
      <c r="BF612" s="38"/>
    </row>
    <row r="613" spans="1:58" ht="22.5" hidden="1" customHeight="1">
      <c r="A613" s="33" t="str">
        <f>IF(OR(ISBLANK(E613),ISBLANK(C613)),"",IF(COUNTIF($E$8:E613,E613)&gt;1,"",(MAX($A$7:A612)+1)))</f>
        <v/>
      </c>
      <c r="B613" s="34">
        <f>IF(ISBLANK(C613),"",SUBTOTAL(3,$C$8:C613))</f>
        <v>44</v>
      </c>
      <c r="C613" s="80" t="s">
        <v>1302</v>
      </c>
      <c r="D613" s="50" t="s">
        <v>1303</v>
      </c>
      <c r="E613" s="50" t="s">
        <v>1237</v>
      </c>
      <c r="F613" s="35" t="str">
        <f t="shared" si="40"/>
        <v/>
      </c>
      <c r="G613" s="36" t="str">
        <f t="shared" si="41"/>
        <v>A</v>
      </c>
      <c r="H613" s="51">
        <f t="shared" si="43"/>
        <v>3</v>
      </c>
      <c r="I613" s="51">
        <f t="shared" si="43"/>
        <v>4</v>
      </c>
      <c r="J613" s="51" t="str">
        <f t="shared" si="43"/>
        <v/>
      </c>
      <c r="K613" s="37" t="s">
        <v>47</v>
      </c>
      <c r="L613" s="37"/>
      <c r="M613" s="37"/>
      <c r="N613" s="37"/>
      <c r="O613" s="37" t="s">
        <v>47</v>
      </c>
      <c r="P613" s="37"/>
      <c r="Q613" s="37" t="s">
        <v>47</v>
      </c>
      <c r="R613" s="37"/>
      <c r="S613" s="37"/>
      <c r="T613" s="37"/>
      <c r="U613" s="37" t="s">
        <v>47</v>
      </c>
      <c r="V613" s="37"/>
      <c r="W613" s="37"/>
      <c r="X613" s="37" t="s">
        <v>47</v>
      </c>
      <c r="Y613" s="37"/>
      <c r="Z613" s="37"/>
      <c r="AA613" s="37"/>
      <c r="AB613" s="37"/>
      <c r="AC613" s="37" t="s">
        <v>47</v>
      </c>
      <c r="AD613" s="37"/>
      <c r="AE613" s="37"/>
      <c r="AF613" s="37"/>
      <c r="AG613" s="37" t="s">
        <v>47</v>
      </c>
      <c r="AH613" s="37"/>
      <c r="AI613" s="37"/>
      <c r="AJ613" s="37"/>
      <c r="AK613" s="37"/>
      <c r="AM613" s="38"/>
      <c r="AN613" s="38"/>
      <c r="AO613" s="38"/>
      <c r="AP613" s="38"/>
      <c r="AQ613" s="38"/>
      <c r="AR613" s="38"/>
      <c r="AS613" s="38"/>
      <c r="AT613" s="38" t="s">
        <v>47</v>
      </c>
      <c r="AU613" s="38" t="s">
        <v>47</v>
      </c>
      <c r="AV613" s="38" t="s">
        <v>47</v>
      </c>
      <c r="AW613" s="38"/>
      <c r="AX613" s="38"/>
      <c r="AY613" s="38"/>
      <c r="AZ613" s="38"/>
      <c r="BA613" s="38"/>
      <c r="BB613" s="38"/>
      <c r="BC613" s="38"/>
      <c r="BD613" s="38"/>
      <c r="BE613" s="77">
        <f t="shared" si="42"/>
        <v>3</v>
      </c>
      <c r="BF613" s="38"/>
    </row>
    <row r="614" spans="1:58" ht="22.5" hidden="1" customHeight="1">
      <c r="A614" s="33" t="str">
        <f>IF(OR(ISBLANK(E614),ISBLANK(C614)),"",IF(COUNTIF($E$8:E614,E614)&gt;1,"",(MAX($A$7:A613)+1)))</f>
        <v/>
      </c>
      <c r="B614" s="34">
        <f>IF(ISBLANK(C614),"",SUBTOTAL(3,$C$8:C614))</f>
        <v>44</v>
      </c>
      <c r="C614" s="80" t="s">
        <v>1304</v>
      </c>
      <c r="D614" s="50" t="s">
        <v>1305</v>
      </c>
      <c r="E614" s="50" t="s">
        <v>1237</v>
      </c>
      <c r="F614" s="35" t="str">
        <f t="shared" si="40"/>
        <v/>
      </c>
      <c r="G614" s="36" t="str">
        <f t="shared" si="41"/>
        <v>A</v>
      </c>
      <c r="H614" s="51">
        <f t="shared" si="43"/>
        <v>3</v>
      </c>
      <c r="I614" s="51">
        <f t="shared" si="43"/>
        <v>4</v>
      </c>
      <c r="J614" s="51" t="str">
        <f t="shared" si="43"/>
        <v/>
      </c>
      <c r="K614" s="37" t="s">
        <v>47</v>
      </c>
      <c r="L614" s="37"/>
      <c r="M614" s="37"/>
      <c r="N614" s="37"/>
      <c r="O614" s="37" t="s">
        <v>47</v>
      </c>
      <c r="P614" s="37"/>
      <c r="Q614" s="37" t="s">
        <v>47</v>
      </c>
      <c r="R614" s="37"/>
      <c r="S614" s="37"/>
      <c r="T614" s="37"/>
      <c r="U614" s="37" t="s">
        <v>47</v>
      </c>
      <c r="V614" s="37"/>
      <c r="W614" s="37"/>
      <c r="X614" s="37" t="s">
        <v>47</v>
      </c>
      <c r="Y614" s="37"/>
      <c r="Z614" s="37"/>
      <c r="AA614" s="37"/>
      <c r="AB614" s="37"/>
      <c r="AC614" s="37" t="s">
        <v>47</v>
      </c>
      <c r="AD614" s="37"/>
      <c r="AE614" s="37"/>
      <c r="AF614" s="37"/>
      <c r="AG614" s="37" t="s">
        <v>47</v>
      </c>
      <c r="AH614" s="37"/>
      <c r="AI614" s="37"/>
      <c r="AJ614" s="37"/>
      <c r="AK614" s="37"/>
      <c r="AM614" s="38"/>
      <c r="AN614" s="38"/>
      <c r="AO614" s="38"/>
      <c r="AP614" s="38"/>
      <c r="AQ614" s="38"/>
      <c r="AR614" s="38"/>
      <c r="AS614" s="38"/>
      <c r="AT614" s="38"/>
      <c r="AU614" s="38"/>
      <c r="AV614" s="38"/>
      <c r="AW614" s="38"/>
      <c r="AX614" s="38"/>
      <c r="AY614" s="38"/>
      <c r="AZ614" s="38"/>
      <c r="BA614" s="38" t="s">
        <v>47</v>
      </c>
      <c r="BB614" s="38" t="s">
        <v>47</v>
      </c>
      <c r="BC614" s="38"/>
      <c r="BD614" s="38"/>
      <c r="BE614" s="77">
        <f t="shared" si="42"/>
        <v>2</v>
      </c>
      <c r="BF614" s="38"/>
    </row>
    <row r="615" spans="1:58" ht="22.5" hidden="1" customHeight="1">
      <c r="A615" s="33" t="str">
        <f>IF(OR(ISBLANK(E615),ISBLANK(C615)),"",IF(COUNTIF($E$8:E615,E615)&gt;1,"",(MAX($A$7:A614)+1)))</f>
        <v/>
      </c>
      <c r="B615" s="34">
        <f>IF(ISBLANK(C615),"",SUBTOTAL(3,$C$8:C615))</f>
        <v>44</v>
      </c>
      <c r="C615" s="79" t="s">
        <v>1306</v>
      </c>
      <c r="D615" s="50" t="s">
        <v>1307</v>
      </c>
      <c r="E615" s="50" t="s">
        <v>1237</v>
      </c>
      <c r="F615" s="35" t="str">
        <f t="shared" si="40"/>
        <v/>
      </c>
      <c r="G615" s="36" t="str">
        <f t="shared" si="41"/>
        <v>C</v>
      </c>
      <c r="H615" s="51">
        <f t="shared" si="43"/>
        <v>1</v>
      </c>
      <c r="I615" s="51" t="str">
        <f t="shared" si="43"/>
        <v/>
      </c>
      <c r="J615" s="51" t="str">
        <f t="shared" si="43"/>
        <v/>
      </c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 t="s">
        <v>47</v>
      </c>
      <c r="AG615" s="37"/>
      <c r="AH615" s="37"/>
      <c r="AI615" s="37"/>
      <c r="AJ615" s="37"/>
      <c r="AK615" s="37"/>
      <c r="AM615" s="38"/>
      <c r="AN615" s="38"/>
      <c r="AO615" s="38"/>
      <c r="AP615" s="38"/>
      <c r="AQ615" s="38"/>
      <c r="AR615" s="38"/>
      <c r="AS615" s="38"/>
      <c r="AT615" s="38"/>
      <c r="AU615" s="38"/>
      <c r="AV615" s="38"/>
      <c r="AW615" s="38"/>
      <c r="AX615" s="38"/>
      <c r="AY615" s="38"/>
      <c r="AZ615" s="38"/>
      <c r="BA615" s="38"/>
      <c r="BB615" s="38"/>
      <c r="BC615" s="38"/>
      <c r="BD615" s="38"/>
      <c r="BE615" s="77">
        <f t="shared" si="42"/>
        <v>0</v>
      </c>
      <c r="BF615" s="38"/>
    </row>
    <row r="616" spans="1:58" ht="22.5" hidden="1" customHeight="1">
      <c r="A616" s="33" t="str">
        <f>IF(OR(ISBLANK(E616),ISBLANK(C616)),"",IF(COUNTIF($E$8:E616,E616)&gt;1,"",(MAX($A$7:A615)+1)))</f>
        <v/>
      </c>
      <c r="B616" s="34">
        <f>IF(ISBLANK(C616),"",SUBTOTAL(3,$C$8:C616))</f>
        <v>44</v>
      </c>
      <c r="C616" s="80" t="s">
        <v>1308</v>
      </c>
      <c r="D616" s="50" t="s">
        <v>1309</v>
      </c>
      <c r="E616" s="50" t="s">
        <v>1237</v>
      </c>
      <c r="F616" s="35" t="str">
        <f t="shared" si="40"/>
        <v/>
      </c>
      <c r="G616" s="36" t="str">
        <f t="shared" si="41"/>
        <v>C</v>
      </c>
      <c r="H616" s="51">
        <f t="shared" si="43"/>
        <v>1</v>
      </c>
      <c r="I616" s="51">
        <f t="shared" si="43"/>
        <v>1</v>
      </c>
      <c r="J616" s="51" t="str">
        <f t="shared" si="43"/>
        <v/>
      </c>
      <c r="K616" s="37" t="s">
        <v>47</v>
      </c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 t="s">
        <v>47</v>
      </c>
      <c r="AH616" s="37"/>
      <c r="AI616" s="37"/>
      <c r="AJ616" s="37"/>
      <c r="AK616" s="37"/>
      <c r="AM616" s="38"/>
      <c r="AN616" s="38"/>
      <c r="AO616" s="38"/>
      <c r="AP616" s="38"/>
      <c r="AQ616" s="38"/>
      <c r="AR616" s="38" t="s">
        <v>47</v>
      </c>
      <c r="AS616" s="38"/>
      <c r="AT616" s="38" t="s">
        <v>47</v>
      </c>
      <c r="AU616" s="38"/>
      <c r="AV616" s="38"/>
      <c r="AW616" s="38"/>
      <c r="AX616" s="38"/>
      <c r="AY616" s="38"/>
      <c r="AZ616" s="38"/>
      <c r="BA616" s="38"/>
      <c r="BB616" s="38"/>
      <c r="BC616" s="38"/>
      <c r="BD616" s="38"/>
      <c r="BE616" s="77">
        <f t="shared" si="42"/>
        <v>2</v>
      </c>
      <c r="BF616" s="38"/>
    </row>
    <row r="617" spans="1:58" ht="22.5" hidden="1" customHeight="1">
      <c r="A617" s="33">
        <f>IF(OR(ISBLANK(E617),ISBLANK(C617)),"",IF(COUNTIF($E$8:E617,E617)&gt;1,"",(MAX($A$7:A616)+1)))</f>
        <v>16</v>
      </c>
      <c r="B617" s="34">
        <f>IF(ISBLANK(C617),"",SUBTOTAL(3,$C$8:C617))</f>
        <v>44</v>
      </c>
      <c r="C617" s="81" t="s">
        <v>1310</v>
      </c>
      <c r="D617" s="55" t="s">
        <v>1311</v>
      </c>
      <c r="E617" s="50" t="s">
        <v>1312</v>
      </c>
      <c r="F617" s="35" t="str">
        <f t="shared" si="40"/>
        <v/>
      </c>
      <c r="G617" s="36" t="str">
        <f t="shared" si="41"/>
        <v/>
      </c>
      <c r="H617" s="51" t="str">
        <f t="shared" si="43"/>
        <v/>
      </c>
      <c r="I617" s="51" t="str">
        <f t="shared" si="43"/>
        <v/>
      </c>
      <c r="J617" s="51" t="str">
        <f t="shared" si="43"/>
        <v/>
      </c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  <c r="AJ617" s="37"/>
      <c r="AK617" s="37"/>
      <c r="AM617" s="38"/>
      <c r="AN617" s="38"/>
      <c r="AO617" s="38"/>
      <c r="AP617" s="38"/>
      <c r="AQ617" s="38"/>
      <c r="AR617" s="38"/>
      <c r="AS617" s="38"/>
      <c r="AT617" s="38"/>
      <c r="AU617" s="38"/>
      <c r="AV617" s="38"/>
      <c r="AW617" s="38"/>
      <c r="AX617" s="38"/>
      <c r="AY617" s="38"/>
      <c r="AZ617" s="38"/>
      <c r="BA617" s="38"/>
      <c r="BB617" s="38"/>
      <c r="BC617" s="38"/>
      <c r="BD617" s="38"/>
      <c r="BE617" s="77">
        <f t="shared" si="42"/>
        <v>0</v>
      </c>
      <c r="BF617" s="38"/>
    </row>
    <row r="618" spans="1:58" ht="22.5" hidden="1" customHeight="1">
      <c r="A618" s="33" t="str">
        <f>IF(OR(ISBLANK(E618),ISBLANK(C618)),"",IF(COUNTIF($E$8:E618,E618)&gt;1,"",(MAX($A$7:A617)+1)))</f>
        <v/>
      </c>
      <c r="B618" s="34">
        <f>IF(ISBLANK(C618),"",SUBTOTAL(3,$C$8:C618))</f>
        <v>44</v>
      </c>
      <c r="C618" s="80" t="s">
        <v>1313</v>
      </c>
      <c r="D618" s="50" t="s">
        <v>1314</v>
      </c>
      <c r="E618" s="50" t="s">
        <v>1312</v>
      </c>
      <c r="F618" s="35" t="str">
        <f t="shared" si="40"/>
        <v/>
      </c>
      <c r="G618" s="36" t="str">
        <f t="shared" si="41"/>
        <v/>
      </c>
      <c r="H618" s="51" t="str">
        <f t="shared" si="43"/>
        <v/>
      </c>
      <c r="I618" s="51" t="str">
        <f t="shared" si="43"/>
        <v/>
      </c>
      <c r="J618" s="51" t="str">
        <f t="shared" si="43"/>
        <v/>
      </c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  <c r="AJ618" s="37"/>
      <c r="AK618" s="37"/>
      <c r="AM618" s="38"/>
      <c r="AN618" s="38"/>
      <c r="AO618" s="38"/>
      <c r="AP618" s="38"/>
      <c r="AQ618" s="38"/>
      <c r="AR618" s="38"/>
      <c r="AS618" s="38"/>
      <c r="AT618" s="38"/>
      <c r="AU618" s="38"/>
      <c r="AV618" s="38"/>
      <c r="AW618" s="38"/>
      <c r="AX618" s="38"/>
      <c r="AY618" s="38"/>
      <c r="AZ618" s="38"/>
      <c r="BA618" s="38"/>
      <c r="BB618" s="38"/>
      <c r="BC618" s="38"/>
      <c r="BD618" s="38"/>
      <c r="BE618" s="77">
        <f t="shared" si="42"/>
        <v>0</v>
      </c>
      <c r="BF618" s="38"/>
    </row>
    <row r="619" spans="1:58" ht="22.5" hidden="1" customHeight="1">
      <c r="A619" s="33" t="str">
        <f>IF(OR(ISBLANK(E619),ISBLANK(C619)),"",IF(COUNTIF($E$8:E619,E619)&gt;1,"",(MAX($A$7:A618)+1)))</f>
        <v/>
      </c>
      <c r="B619" s="34">
        <f>IF(ISBLANK(C619),"",SUBTOTAL(3,$C$8:C619))</f>
        <v>44</v>
      </c>
      <c r="C619" s="80" t="s">
        <v>1315</v>
      </c>
      <c r="D619" s="50" t="s">
        <v>1316</v>
      </c>
      <c r="E619" s="50" t="s">
        <v>1312</v>
      </c>
      <c r="F619" s="35" t="str">
        <f t="shared" si="40"/>
        <v/>
      </c>
      <c r="G619" s="36" t="str">
        <f t="shared" si="41"/>
        <v>C</v>
      </c>
      <c r="H619" s="51">
        <f t="shared" si="43"/>
        <v>1</v>
      </c>
      <c r="I619" s="51" t="str">
        <f t="shared" si="43"/>
        <v/>
      </c>
      <c r="J619" s="51">
        <f t="shared" si="43"/>
        <v>1</v>
      </c>
      <c r="K619" s="37"/>
      <c r="L619" s="37"/>
      <c r="M619" s="37" t="s">
        <v>47</v>
      </c>
      <c r="N619" s="37"/>
      <c r="O619" s="37"/>
      <c r="P619" s="37"/>
      <c r="Q619" s="37" t="s">
        <v>47</v>
      </c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7"/>
      <c r="AK619" s="37"/>
      <c r="AM619" s="38"/>
      <c r="AN619" s="38"/>
      <c r="AO619" s="38"/>
      <c r="AP619" s="38"/>
      <c r="AQ619" s="38"/>
      <c r="AR619" s="38"/>
      <c r="AS619" s="38"/>
      <c r="AT619" s="38"/>
      <c r="AU619" s="38"/>
      <c r="AV619" s="38" t="s">
        <v>47</v>
      </c>
      <c r="AW619" s="38"/>
      <c r="AX619" s="38"/>
      <c r="AY619" s="38"/>
      <c r="AZ619" s="38"/>
      <c r="BA619" s="38"/>
      <c r="BB619" s="38"/>
      <c r="BC619" s="38"/>
      <c r="BD619" s="38"/>
      <c r="BE619" s="77">
        <f t="shared" si="42"/>
        <v>1</v>
      </c>
      <c r="BF619" s="38"/>
    </row>
    <row r="620" spans="1:58" ht="22.5" hidden="1" customHeight="1">
      <c r="A620" s="33" t="str">
        <f>IF(OR(ISBLANK(E620),ISBLANK(C620)),"",IF(COUNTIF($E$8:E620,E620)&gt;1,"",(MAX($A$7:A619)+1)))</f>
        <v/>
      </c>
      <c r="B620" s="34">
        <f>IF(ISBLANK(C620),"",SUBTOTAL(3,$C$8:C620))</f>
        <v>44</v>
      </c>
      <c r="C620" s="81" t="s">
        <v>1317</v>
      </c>
      <c r="D620" s="55" t="s">
        <v>1318</v>
      </c>
      <c r="E620" s="50" t="s">
        <v>1312</v>
      </c>
      <c r="F620" s="35" t="str">
        <f t="shared" si="40"/>
        <v/>
      </c>
      <c r="G620" s="36" t="str">
        <f t="shared" si="41"/>
        <v>D</v>
      </c>
      <c r="H620" s="51" t="str">
        <f t="shared" si="43"/>
        <v/>
      </c>
      <c r="I620" s="51">
        <f t="shared" si="43"/>
        <v>1</v>
      </c>
      <c r="J620" s="51" t="str">
        <f t="shared" si="43"/>
        <v/>
      </c>
      <c r="K620" s="37"/>
      <c r="L620" s="37" t="s">
        <v>47</v>
      </c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7"/>
      <c r="AK620" s="37"/>
      <c r="AM620" s="38"/>
      <c r="AN620" s="38"/>
      <c r="AO620" s="38"/>
      <c r="AP620" s="38"/>
      <c r="AQ620" s="38"/>
      <c r="AR620" s="38" t="s">
        <v>47</v>
      </c>
      <c r="AS620" s="38"/>
      <c r="AT620" s="38"/>
      <c r="AU620" s="38"/>
      <c r="AV620" s="38"/>
      <c r="AW620" s="38"/>
      <c r="AX620" s="38"/>
      <c r="AY620" s="38"/>
      <c r="AZ620" s="38"/>
      <c r="BA620" s="38"/>
      <c r="BB620" s="38"/>
      <c r="BC620" s="38"/>
      <c r="BD620" s="38"/>
      <c r="BE620" s="77">
        <f t="shared" si="42"/>
        <v>1</v>
      </c>
      <c r="BF620" s="38"/>
    </row>
    <row r="621" spans="1:58" ht="22.5" hidden="1" customHeight="1">
      <c r="A621" s="33" t="str">
        <f>IF(OR(ISBLANK(E621),ISBLANK(C621)),"",IF(COUNTIF($E$8:E621,E621)&gt;1,"",(MAX($A$7:A620)+1)))</f>
        <v/>
      </c>
      <c r="B621" s="34">
        <f>IF(ISBLANK(C621),"",SUBTOTAL(3,$C$8:C621))</f>
        <v>44</v>
      </c>
      <c r="C621" s="80" t="s">
        <v>1319</v>
      </c>
      <c r="D621" s="50" t="s">
        <v>1320</v>
      </c>
      <c r="E621" s="50" t="s">
        <v>1312</v>
      </c>
      <c r="F621" s="35" t="str">
        <f t="shared" si="40"/>
        <v/>
      </c>
      <c r="G621" s="36" t="str">
        <f t="shared" si="41"/>
        <v>C</v>
      </c>
      <c r="H621" s="51">
        <f t="shared" si="43"/>
        <v>1</v>
      </c>
      <c r="I621" s="51">
        <f t="shared" si="43"/>
        <v>1</v>
      </c>
      <c r="J621" s="51" t="str">
        <f t="shared" si="43"/>
        <v/>
      </c>
      <c r="K621" s="37"/>
      <c r="L621" s="37" t="s">
        <v>47</v>
      </c>
      <c r="M621" s="37"/>
      <c r="N621" s="37"/>
      <c r="O621" s="37"/>
      <c r="P621" s="37"/>
      <c r="Q621" s="37" t="s">
        <v>47</v>
      </c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7"/>
      <c r="AK621" s="37"/>
      <c r="AM621" s="38"/>
      <c r="AN621" s="38"/>
      <c r="AO621" s="38"/>
      <c r="AP621" s="38"/>
      <c r="AQ621" s="38"/>
      <c r="AR621" s="38"/>
      <c r="AS621" s="38"/>
      <c r="AT621" s="38"/>
      <c r="AU621" s="38"/>
      <c r="AV621" s="38" t="s">
        <v>47</v>
      </c>
      <c r="AW621" s="38"/>
      <c r="AX621" s="38"/>
      <c r="AY621" s="38"/>
      <c r="AZ621" s="38"/>
      <c r="BA621" s="38"/>
      <c r="BB621" s="38"/>
      <c r="BC621" s="38"/>
      <c r="BD621" s="38"/>
      <c r="BE621" s="77">
        <f t="shared" si="42"/>
        <v>1</v>
      </c>
      <c r="BF621" s="38"/>
    </row>
    <row r="622" spans="1:58" ht="22.5" hidden="1" customHeight="1">
      <c r="A622" s="33" t="str">
        <f>IF(OR(ISBLANK(E622),ISBLANK(C622)),"",IF(COUNTIF($E$8:E622,E622)&gt;1,"",(MAX($A$7:A621)+1)))</f>
        <v/>
      </c>
      <c r="B622" s="34">
        <f>IF(ISBLANK(C622),"",SUBTOTAL(3,$C$8:C622))</f>
        <v>44</v>
      </c>
      <c r="C622" s="81" t="s">
        <v>1321</v>
      </c>
      <c r="D622" s="55" t="s">
        <v>1322</v>
      </c>
      <c r="E622" s="50" t="s">
        <v>1312</v>
      </c>
      <c r="F622" s="35" t="str">
        <f t="shared" si="40"/>
        <v/>
      </c>
      <c r="G622" s="36" t="str">
        <f t="shared" si="41"/>
        <v>B</v>
      </c>
      <c r="H622" s="51">
        <f t="shared" si="43"/>
        <v>1</v>
      </c>
      <c r="I622" s="51">
        <f t="shared" si="43"/>
        <v>2</v>
      </c>
      <c r="J622" s="51" t="str">
        <f t="shared" si="43"/>
        <v/>
      </c>
      <c r="K622" s="37" t="s">
        <v>47</v>
      </c>
      <c r="L622" s="37"/>
      <c r="M622" s="37"/>
      <c r="N622" s="37"/>
      <c r="O622" s="37" t="s">
        <v>47</v>
      </c>
      <c r="P622" s="37"/>
      <c r="Q622" s="37"/>
      <c r="R622" s="37" t="s">
        <v>47</v>
      </c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  <c r="AK622" s="37"/>
      <c r="AM622" s="38"/>
      <c r="AN622" s="38"/>
      <c r="AO622" s="38"/>
      <c r="AP622" s="38"/>
      <c r="AQ622" s="38"/>
      <c r="AR622" s="38" t="s">
        <v>47</v>
      </c>
      <c r="AS622" s="38"/>
      <c r="AT622" s="38"/>
      <c r="AU622" s="38"/>
      <c r="AV622" s="38"/>
      <c r="AW622" s="38"/>
      <c r="AX622" s="38"/>
      <c r="AY622" s="38"/>
      <c r="AZ622" s="38"/>
      <c r="BA622" s="38"/>
      <c r="BB622" s="38"/>
      <c r="BC622" s="38"/>
      <c r="BD622" s="38"/>
      <c r="BE622" s="77">
        <f t="shared" si="42"/>
        <v>1</v>
      </c>
      <c r="BF622" s="38"/>
    </row>
    <row r="623" spans="1:58" ht="22.5" hidden="1" customHeight="1">
      <c r="A623" s="33" t="str">
        <f>IF(OR(ISBLANK(E623),ISBLANK(C623)),"",IF(COUNTIF($E$8:E623,E623)&gt;1,"",(MAX($A$7:A622)+1)))</f>
        <v/>
      </c>
      <c r="B623" s="34">
        <f>IF(ISBLANK(C623),"",SUBTOTAL(3,$C$8:C623))</f>
        <v>44</v>
      </c>
      <c r="C623" s="81" t="s">
        <v>1323</v>
      </c>
      <c r="D623" s="55" t="s">
        <v>1324</v>
      </c>
      <c r="E623" s="50" t="s">
        <v>1312</v>
      </c>
      <c r="F623" s="35" t="str">
        <f t="shared" si="40"/>
        <v/>
      </c>
      <c r="G623" s="36" t="str">
        <f t="shared" si="41"/>
        <v>C</v>
      </c>
      <c r="H623" s="51">
        <f t="shared" si="43"/>
        <v>1</v>
      </c>
      <c r="I623" s="51" t="str">
        <f t="shared" si="43"/>
        <v/>
      </c>
      <c r="J623" s="51">
        <f t="shared" si="43"/>
        <v>1</v>
      </c>
      <c r="K623" s="37" t="s">
        <v>47</v>
      </c>
      <c r="L623" s="37"/>
      <c r="M623" s="37"/>
      <c r="N623" s="37"/>
      <c r="O623" s="37"/>
      <c r="P623" s="37"/>
      <c r="Q623" s="37"/>
      <c r="R623" s="37"/>
      <c r="S623" s="37" t="s">
        <v>47</v>
      </c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  <c r="AJ623" s="37"/>
      <c r="AK623" s="37"/>
      <c r="AM623" s="38"/>
      <c r="AN623" s="38"/>
      <c r="AO623" s="38"/>
      <c r="AP623" s="38"/>
      <c r="AQ623" s="38"/>
      <c r="AR623" s="38"/>
      <c r="AS623" s="38" t="s">
        <v>47</v>
      </c>
      <c r="AT623" s="38"/>
      <c r="AU623" s="38"/>
      <c r="AV623" s="38"/>
      <c r="AW623" s="38"/>
      <c r="AX623" s="38"/>
      <c r="AY623" s="38"/>
      <c r="AZ623" s="38"/>
      <c r="BA623" s="38"/>
      <c r="BB623" s="38"/>
      <c r="BC623" s="38"/>
      <c r="BD623" s="38"/>
      <c r="BE623" s="77">
        <f t="shared" si="42"/>
        <v>1</v>
      </c>
      <c r="BF623" s="38"/>
    </row>
    <row r="624" spans="1:58" ht="22.5" hidden="1" customHeight="1">
      <c r="A624" s="33" t="str">
        <f>IF(OR(ISBLANK(E624),ISBLANK(C624)),"",IF(COUNTIF($E$8:E624,E624)&gt;1,"",(MAX($A$7:A623)+1)))</f>
        <v/>
      </c>
      <c r="B624" s="34">
        <f>IF(ISBLANK(C624),"",SUBTOTAL(3,$C$8:C624))</f>
        <v>44</v>
      </c>
      <c r="C624" s="81" t="s">
        <v>1325</v>
      </c>
      <c r="D624" s="55" t="s">
        <v>1326</v>
      </c>
      <c r="E624" s="50" t="s">
        <v>1312</v>
      </c>
      <c r="F624" s="35" t="str">
        <f t="shared" si="40"/>
        <v/>
      </c>
      <c r="G624" s="36" t="str">
        <f t="shared" si="41"/>
        <v>D</v>
      </c>
      <c r="H624" s="51" t="str">
        <f t="shared" si="43"/>
        <v/>
      </c>
      <c r="I624" s="51">
        <f t="shared" si="43"/>
        <v>1</v>
      </c>
      <c r="J624" s="51">
        <f t="shared" si="43"/>
        <v>1</v>
      </c>
      <c r="K624" s="37"/>
      <c r="L624" s="37" t="s">
        <v>47</v>
      </c>
      <c r="M624" s="37"/>
      <c r="N624" s="37"/>
      <c r="O624" s="37"/>
      <c r="P624" s="37"/>
      <c r="Q624" s="37"/>
      <c r="R624" s="37"/>
      <c r="S624" s="37" t="s">
        <v>47</v>
      </c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  <c r="AJ624" s="37"/>
      <c r="AK624" s="37"/>
      <c r="AM624" s="38"/>
      <c r="AN624" s="38"/>
      <c r="AO624" s="38"/>
      <c r="AP624" s="38"/>
      <c r="AQ624" s="38"/>
      <c r="AR624" s="38"/>
      <c r="AS624" s="38" t="s">
        <v>47</v>
      </c>
      <c r="AT624" s="38"/>
      <c r="AU624" s="38"/>
      <c r="AV624" s="38"/>
      <c r="AW624" s="38"/>
      <c r="AX624" s="38"/>
      <c r="AY624" s="38"/>
      <c r="AZ624" s="38"/>
      <c r="BA624" s="38"/>
      <c r="BB624" s="38"/>
      <c r="BC624" s="38"/>
      <c r="BD624" s="38"/>
      <c r="BE624" s="77">
        <f t="shared" si="42"/>
        <v>1</v>
      </c>
      <c r="BF624" s="38"/>
    </row>
    <row r="625" spans="1:58" ht="22.5" hidden="1" customHeight="1">
      <c r="A625" s="33" t="str">
        <f>IF(OR(ISBLANK(E625),ISBLANK(C625)),"",IF(COUNTIF($E$8:E625,E625)&gt;1,"",(MAX($A$7:A624)+1)))</f>
        <v/>
      </c>
      <c r="B625" s="34">
        <f>IF(ISBLANK(C625),"",SUBTOTAL(3,$C$8:C625))</f>
        <v>44</v>
      </c>
      <c r="C625" s="81" t="s">
        <v>1327</v>
      </c>
      <c r="D625" s="50" t="s">
        <v>1328</v>
      </c>
      <c r="E625" s="50" t="s">
        <v>1312</v>
      </c>
      <c r="F625" s="35" t="str">
        <f t="shared" si="40"/>
        <v/>
      </c>
      <c r="G625" s="36" t="str">
        <f t="shared" si="41"/>
        <v>C</v>
      </c>
      <c r="H625" s="51">
        <f t="shared" si="43"/>
        <v>1</v>
      </c>
      <c r="I625" s="51">
        <f t="shared" si="43"/>
        <v>1</v>
      </c>
      <c r="J625" s="51">
        <f t="shared" si="43"/>
        <v>1</v>
      </c>
      <c r="K625" s="37" t="s">
        <v>47</v>
      </c>
      <c r="L625" s="37"/>
      <c r="M625" s="37"/>
      <c r="N625" s="37"/>
      <c r="O625" s="37"/>
      <c r="P625" s="37"/>
      <c r="Q625" s="37"/>
      <c r="R625" s="37"/>
      <c r="S625" s="37" t="s">
        <v>47</v>
      </c>
      <c r="T625" s="37"/>
      <c r="U625" s="37" t="s">
        <v>47</v>
      </c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  <c r="AJ625" s="37"/>
      <c r="AK625" s="37"/>
      <c r="AM625" s="38"/>
      <c r="AN625" s="38"/>
      <c r="AO625" s="38"/>
      <c r="AP625" s="38"/>
      <c r="AQ625" s="38"/>
      <c r="AR625" s="38"/>
      <c r="AS625" s="38"/>
      <c r="AT625" s="38"/>
      <c r="AU625" s="38"/>
      <c r="AV625" s="38"/>
      <c r="AW625" s="38" t="s">
        <v>47</v>
      </c>
      <c r="AX625" s="38"/>
      <c r="AY625" s="38"/>
      <c r="AZ625" s="38"/>
      <c r="BA625" s="38" t="s">
        <v>47</v>
      </c>
      <c r="BB625" s="38"/>
      <c r="BC625" s="38"/>
      <c r="BD625" s="38"/>
      <c r="BE625" s="77">
        <f t="shared" si="42"/>
        <v>2</v>
      </c>
      <c r="BF625" s="38"/>
    </row>
    <row r="626" spans="1:58" ht="22.5" hidden="1" customHeight="1">
      <c r="A626" s="33" t="str">
        <f>IF(OR(ISBLANK(E626),ISBLANK(C626)),"",IF(COUNTIF($E$8:E626,E626)&gt;1,"",(MAX($A$7:A625)+1)))</f>
        <v/>
      </c>
      <c r="B626" s="34">
        <f>IF(ISBLANK(C626),"",SUBTOTAL(3,$C$8:C626))</f>
        <v>44</v>
      </c>
      <c r="C626" s="81" t="s">
        <v>1329</v>
      </c>
      <c r="D626" s="55" t="s">
        <v>1330</v>
      </c>
      <c r="E626" s="50" t="s">
        <v>1312</v>
      </c>
      <c r="F626" s="35" t="str">
        <f t="shared" si="40"/>
        <v/>
      </c>
      <c r="G626" s="36" t="str">
        <f t="shared" si="41"/>
        <v/>
      </c>
      <c r="H626" s="51" t="str">
        <f t="shared" si="43"/>
        <v/>
      </c>
      <c r="I626" s="51" t="str">
        <f t="shared" si="43"/>
        <v/>
      </c>
      <c r="J626" s="51" t="str">
        <f t="shared" si="43"/>
        <v/>
      </c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7"/>
      <c r="AK626" s="37"/>
      <c r="AM626" s="38"/>
      <c r="AN626" s="38"/>
      <c r="AO626" s="38"/>
      <c r="AP626" s="38"/>
      <c r="AQ626" s="38"/>
      <c r="AR626" s="38"/>
      <c r="AS626" s="38"/>
      <c r="AT626" s="38"/>
      <c r="AU626" s="38"/>
      <c r="AV626" s="38"/>
      <c r="AW626" s="38"/>
      <c r="AX626" s="38"/>
      <c r="AY626" s="38"/>
      <c r="AZ626" s="38"/>
      <c r="BA626" s="38"/>
      <c r="BB626" s="38"/>
      <c r="BC626" s="38"/>
      <c r="BD626" s="38"/>
      <c r="BE626" s="77">
        <f t="shared" si="42"/>
        <v>0</v>
      </c>
      <c r="BF626" s="38"/>
    </row>
    <row r="627" spans="1:58" ht="22.5" hidden="1" customHeight="1">
      <c r="A627" s="33" t="str">
        <f>IF(OR(ISBLANK(E627),ISBLANK(C627)),"",IF(COUNTIF($E$8:E627,E627)&gt;1,"",(MAX($A$7:A626)+1)))</f>
        <v/>
      </c>
      <c r="B627" s="34">
        <f>IF(ISBLANK(C627),"",SUBTOTAL(3,$C$8:C627))</f>
        <v>44</v>
      </c>
      <c r="C627" s="81" t="s">
        <v>1331</v>
      </c>
      <c r="D627" s="55" t="s">
        <v>1332</v>
      </c>
      <c r="E627" s="50" t="s">
        <v>1312</v>
      </c>
      <c r="F627" s="35" t="str">
        <f t="shared" si="40"/>
        <v/>
      </c>
      <c r="G627" s="36" t="str">
        <f t="shared" si="41"/>
        <v>C</v>
      </c>
      <c r="H627" s="51">
        <f t="shared" si="43"/>
        <v>1</v>
      </c>
      <c r="I627" s="51" t="str">
        <f t="shared" si="43"/>
        <v/>
      </c>
      <c r="J627" s="51" t="str">
        <f t="shared" si="43"/>
        <v/>
      </c>
      <c r="K627" s="37" t="s">
        <v>47</v>
      </c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7"/>
      <c r="AK627" s="37"/>
      <c r="AM627" s="38"/>
      <c r="AN627" s="38"/>
      <c r="AO627" s="38"/>
      <c r="AP627" s="38"/>
      <c r="AQ627" s="38"/>
      <c r="AR627" s="38"/>
      <c r="AS627" s="38" t="s">
        <v>47</v>
      </c>
      <c r="AT627" s="38"/>
      <c r="AU627" s="38"/>
      <c r="AV627" s="38"/>
      <c r="AW627" s="38"/>
      <c r="AX627" s="38"/>
      <c r="AY627" s="38"/>
      <c r="AZ627" s="38"/>
      <c r="BA627" s="38"/>
      <c r="BB627" s="38"/>
      <c r="BC627" s="38"/>
      <c r="BD627" s="38"/>
      <c r="BE627" s="77">
        <f t="shared" si="42"/>
        <v>1</v>
      </c>
      <c r="BF627" s="38"/>
    </row>
    <row r="628" spans="1:58" ht="22.5" hidden="1" customHeight="1">
      <c r="A628" s="33" t="str">
        <f>IF(OR(ISBLANK(E628),ISBLANK(C628)),"",IF(COUNTIF($E$8:E628,E628)&gt;1,"",(MAX($A$7:A627)+1)))</f>
        <v/>
      </c>
      <c r="B628" s="34">
        <f>IF(ISBLANK(C628),"",SUBTOTAL(3,$C$8:C628))</f>
        <v>44</v>
      </c>
      <c r="C628" s="81" t="s">
        <v>1333</v>
      </c>
      <c r="D628" s="50" t="s">
        <v>1334</v>
      </c>
      <c r="E628" s="50" t="s">
        <v>1312</v>
      </c>
      <c r="F628" s="35" t="str">
        <f t="shared" si="40"/>
        <v/>
      </c>
      <c r="G628" s="36" t="str">
        <f t="shared" si="41"/>
        <v>C</v>
      </c>
      <c r="H628" s="51">
        <f t="shared" si="43"/>
        <v>1</v>
      </c>
      <c r="I628" s="51" t="str">
        <f t="shared" si="43"/>
        <v/>
      </c>
      <c r="J628" s="51" t="str">
        <f t="shared" si="43"/>
        <v/>
      </c>
      <c r="K628" s="37" t="s">
        <v>47</v>
      </c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  <c r="AJ628" s="37"/>
      <c r="AK628" s="37"/>
      <c r="AM628" s="38"/>
      <c r="AN628" s="38"/>
      <c r="AO628" s="38"/>
      <c r="AP628" s="38"/>
      <c r="AQ628" s="38"/>
      <c r="AR628" s="38"/>
      <c r="AS628" s="38"/>
      <c r="AT628" s="38"/>
      <c r="AU628" s="38" t="s">
        <v>47</v>
      </c>
      <c r="AV628" s="38"/>
      <c r="AW628" s="38"/>
      <c r="AX628" s="38"/>
      <c r="AY628" s="38"/>
      <c r="AZ628" s="38"/>
      <c r="BA628" s="38"/>
      <c r="BB628" s="38"/>
      <c r="BC628" s="38"/>
      <c r="BD628" s="38"/>
      <c r="BE628" s="77">
        <f t="shared" si="42"/>
        <v>1</v>
      </c>
      <c r="BF628" s="38"/>
    </row>
    <row r="629" spans="1:58" ht="22.5" hidden="1" customHeight="1">
      <c r="A629" s="33" t="str">
        <f>IF(OR(ISBLANK(E629),ISBLANK(C629)),"",IF(COUNTIF($E$8:E629,E629)&gt;1,"",(MAX($A$7:A628)+1)))</f>
        <v/>
      </c>
      <c r="B629" s="34">
        <f>IF(ISBLANK(C629),"",SUBTOTAL(3,$C$8:C629))</f>
        <v>44</v>
      </c>
      <c r="C629" s="81" t="s">
        <v>1335</v>
      </c>
      <c r="D629" s="55" t="s">
        <v>1336</v>
      </c>
      <c r="E629" s="50" t="s">
        <v>1312</v>
      </c>
      <c r="F629" s="35" t="str">
        <f t="shared" si="40"/>
        <v/>
      </c>
      <c r="G629" s="36" t="str">
        <f t="shared" si="41"/>
        <v>C</v>
      </c>
      <c r="H629" s="51" t="str">
        <f t="shared" si="43"/>
        <v/>
      </c>
      <c r="I629" s="51">
        <f t="shared" si="43"/>
        <v>2</v>
      </c>
      <c r="J629" s="51" t="str">
        <f t="shared" si="43"/>
        <v/>
      </c>
      <c r="K629" s="37"/>
      <c r="L629" s="37" t="s">
        <v>47</v>
      </c>
      <c r="M629" s="37"/>
      <c r="N629" s="37"/>
      <c r="O629" s="37"/>
      <c r="P629" s="37"/>
      <c r="Q629" s="37"/>
      <c r="R629" s="37" t="s">
        <v>47</v>
      </c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37"/>
      <c r="AJ629" s="37"/>
      <c r="AK629" s="37"/>
      <c r="AM629" s="38" t="s">
        <v>47</v>
      </c>
      <c r="AN629" s="38" t="s">
        <v>47</v>
      </c>
      <c r="AO629" s="38"/>
      <c r="AP629" s="38"/>
      <c r="AQ629" s="38"/>
      <c r="AR629" s="38"/>
      <c r="AS629" s="38" t="s">
        <v>47</v>
      </c>
      <c r="AT629" s="38"/>
      <c r="AU629" s="38"/>
      <c r="AV629" s="38"/>
      <c r="AW629" s="38"/>
      <c r="AX629" s="38"/>
      <c r="AY629" s="38"/>
      <c r="AZ629" s="38"/>
      <c r="BA629" s="38"/>
      <c r="BB629" s="38"/>
      <c r="BC629" s="38"/>
      <c r="BD629" s="38"/>
      <c r="BE629" s="77">
        <f t="shared" si="42"/>
        <v>3</v>
      </c>
      <c r="BF629" s="38"/>
    </row>
    <row r="630" spans="1:58" ht="22.5" hidden="1" customHeight="1">
      <c r="A630" s="33" t="str">
        <f>IF(OR(ISBLANK(E630),ISBLANK(C630)),"",IF(COUNTIF($E$8:E630,E630)&gt;1,"",(MAX($A$7:A629)+1)))</f>
        <v/>
      </c>
      <c r="B630" s="34">
        <f>IF(ISBLANK(C630),"",SUBTOTAL(3,$C$8:C630))</f>
        <v>44</v>
      </c>
      <c r="C630" s="83" t="s">
        <v>1337</v>
      </c>
      <c r="D630" s="55" t="s">
        <v>1338</v>
      </c>
      <c r="E630" s="50" t="s">
        <v>1312</v>
      </c>
      <c r="F630" s="35" t="str">
        <f t="shared" si="40"/>
        <v/>
      </c>
      <c r="G630" s="36" t="str">
        <f t="shared" si="41"/>
        <v>C</v>
      </c>
      <c r="H630" s="51">
        <f t="shared" si="43"/>
        <v>1</v>
      </c>
      <c r="I630" s="51">
        <f t="shared" si="43"/>
        <v>1</v>
      </c>
      <c r="J630" s="51" t="str">
        <f t="shared" si="43"/>
        <v/>
      </c>
      <c r="K630" s="37" t="s">
        <v>47</v>
      </c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 t="s">
        <v>47</v>
      </c>
      <c r="AH630" s="37"/>
      <c r="AI630" s="37"/>
      <c r="AJ630" s="37"/>
      <c r="AK630" s="37"/>
      <c r="AM630" s="38"/>
      <c r="AN630" s="38"/>
      <c r="AO630" s="38"/>
      <c r="AP630" s="38"/>
      <c r="AQ630" s="38"/>
      <c r="AR630" s="38"/>
      <c r="AS630" s="38"/>
      <c r="AT630" s="38"/>
      <c r="AU630" s="38"/>
      <c r="AV630" s="38"/>
      <c r="AW630" s="38"/>
      <c r="AX630" s="38"/>
      <c r="AY630" s="38"/>
      <c r="AZ630" s="38" t="s">
        <v>47</v>
      </c>
      <c r="BA630" s="38"/>
      <c r="BB630" s="38"/>
      <c r="BC630" s="38"/>
      <c r="BD630" s="38"/>
      <c r="BE630" s="77">
        <f t="shared" si="42"/>
        <v>1</v>
      </c>
      <c r="BF630" s="38"/>
    </row>
    <row r="631" spans="1:58" ht="22.5" hidden="1" customHeight="1">
      <c r="A631" s="33" t="str">
        <f>IF(OR(ISBLANK(E631),ISBLANK(C631)),"",IF(COUNTIF($E$8:E631,E631)&gt;1,"",(MAX($A$7:A630)+1)))</f>
        <v/>
      </c>
      <c r="B631" s="34">
        <f>IF(ISBLANK(C631),"",SUBTOTAL(3,$C$8:C631))</f>
        <v>44</v>
      </c>
      <c r="C631" s="83" t="s">
        <v>1339</v>
      </c>
      <c r="D631" s="50" t="s">
        <v>1340</v>
      </c>
      <c r="E631" s="50" t="s">
        <v>1312</v>
      </c>
      <c r="F631" s="35" t="str">
        <f t="shared" si="40"/>
        <v/>
      </c>
      <c r="G631" s="36" t="str">
        <f t="shared" si="41"/>
        <v>D</v>
      </c>
      <c r="H631" s="51" t="str">
        <f t="shared" si="43"/>
        <v/>
      </c>
      <c r="I631" s="51" t="str">
        <f t="shared" si="43"/>
        <v/>
      </c>
      <c r="J631" s="51">
        <f t="shared" si="43"/>
        <v>1</v>
      </c>
      <c r="K631" s="37"/>
      <c r="L631" s="37"/>
      <c r="M631" s="37" t="s">
        <v>47</v>
      </c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  <c r="AJ631" s="37"/>
      <c r="AK631" s="37"/>
      <c r="AM631" s="38" t="s">
        <v>47</v>
      </c>
      <c r="AN631" s="38" t="s">
        <v>47</v>
      </c>
      <c r="AO631" s="38"/>
      <c r="AP631" s="38"/>
      <c r="AQ631" s="38"/>
      <c r="AR631" s="38"/>
      <c r="AS631" s="38"/>
      <c r="AT631" s="38"/>
      <c r="AU631" s="38"/>
      <c r="AV631" s="38"/>
      <c r="AW631" s="38"/>
      <c r="AX631" s="38"/>
      <c r="AY631" s="38"/>
      <c r="AZ631" s="38"/>
      <c r="BA631" s="38"/>
      <c r="BB631" s="38"/>
      <c r="BC631" s="38"/>
      <c r="BD631" s="38"/>
      <c r="BE631" s="77">
        <f t="shared" si="42"/>
        <v>2</v>
      </c>
      <c r="BF631" s="38"/>
    </row>
    <row r="632" spans="1:58" ht="22.5" hidden="1" customHeight="1">
      <c r="A632" s="33" t="str">
        <f>IF(OR(ISBLANK(E632),ISBLANK(C632)),"",IF(COUNTIF($E$8:E632,E632)&gt;1,"",(MAX($A$7:A631)+1)))</f>
        <v/>
      </c>
      <c r="B632" s="34">
        <f>IF(ISBLANK(C632),"",SUBTOTAL(3,$C$8:C632))</f>
        <v>44</v>
      </c>
      <c r="C632" s="87" t="s">
        <v>1341</v>
      </c>
      <c r="D632" s="55" t="s">
        <v>1342</v>
      </c>
      <c r="E632" s="50" t="s">
        <v>1312</v>
      </c>
      <c r="F632" s="35" t="str">
        <f t="shared" si="40"/>
        <v/>
      </c>
      <c r="G632" s="36" t="str">
        <f t="shared" si="41"/>
        <v/>
      </c>
      <c r="H632" s="51" t="str">
        <f t="shared" si="43"/>
        <v/>
      </c>
      <c r="I632" s="51" t="str">
        <f t="shared" si="43"/>
        <v/>
      </c>
      <c r="J632" s="51" t="str">
        <f t="shared" si="43"/>
        <v/>
      </c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M632" s="38"/>
      <c r="AN632" s="38"/>
      <c r="AO632" s="38"/>
      <c r="AP632" s="38"/>
      <c r="AQ632" s="38"/>
      <c r="AR632" s="38"/>
      <c r="AS632" s="38"/>
      <c r="AT632" s="38"/>
      <c r="AU632" s="38"/>
      <c r="AV632" s="38"/>
      <c r="AW632" s="38"/>
      <c r="AX632" s="38"/>
      <c r="AY632" s="38"/>
      <c r="AZ632" s="38"/>
      <c r="BA632" s="38"/>
      <c r="BB632" s="38"/>
      <c r="BC632" s="38"/>
      <c r="BD632" s="38"/>
      <c r="BE632" s="77">
        <f t="shared" si="42"/>
        <v>0</v>
      </c>
      <c r="BF632" s="38"/>
    </row>
    <row r="633" spans="1:58" ht="22.5" hidden="1" customHeight="1">
      <c r="A633" s="33" t="str">
        <f>IF(OR(ISBLANK(E633),ISBLANK(C633)),"",IF(COUNTIF($E$8:E633,E633)&gt;1,"",(MAX($A$7:A632)+1)))</f>
        <v/>
      </c>
      <c r="B633" s="34">
        <f>IF(ISBLANK(C633),"",SUBTOTAL(3,$C$8:C633))</f>
        <v>44</v>
      </c>
      <c r="C633" s="81" t="s">
        <v>1343</v>
      </c>
      <c r="D633" s="55" t="s">
        <v>1344</v>
      </c>
      <c r="E633" s="50" t="s">
        <v>1312</v>
      </c>
      <c r="F633" s="35" t="str">
        <f t="shared" si="40"/>
        <v/>
      </c>
      <c r="G633" s="36" t="str">
        <f t="shared" si="41"/>
        <v>A</v>
      </c>
      <c r="H633" s="51">
        <f t="shared" si="43"/>
        <v>4</v>
      </c>
      <c r="I633" s="51">
        <f t="shared" si="43"/>
        <v>1</v>
      </c>
      <c r="J633" s="51" t="str">
        <f t="shared" si="43"/>
        <v/>
      </c>
      <c r="K633" s="37" t="s">
        <v>47</v>
      </c>
      <c r="L633" s="37"/>
      <c r="M633" s="37"/>
      <c r="N633" s="37" t="s">
        <v>47</v>
      </c>
      <c r="O633" s="37"/>
      <c r="P633" s="37"/>
      <c r="Q633" s="37" t="s">
        <v>47</v>
      </c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 t="s">
        <v>47</v>
      </c>
      <c r="AE633" s="37"/>
      <c r="AF633" s="37" t="s">
        <v>47</v>
      </c>
      <c r="AG633" s="37"/>
      <c r="AH633" s="37"/>
      <c r="AI633" s="37"/>
      <c r="AJ633" s="37"/>
      <c r="AK633" s="37"/>
      <c r="AM633" s="38"/>
      <c r="AN633" s="38"/>
      <c r="AO633" s="38"/>
      <c r="AP633" s="38"/>
      <c r="AQ633" s="38" t="s">
        <v>47</v>
      </c>
      <c r="AR633" s="38"/>
      <c r="AS633" s="38"/>
      <c r="AT633" s="38" t="s">
        <v>47</v>
      </c>
      <c r="AU633" s="38"/>
      <c r="AV633" s="38"/>
      <c r="AW633" s="38"/>
      <c r="AX633" s="38"/>
      <c r="AY633" s="38"/>
      <c r="AZ633" s="38"/>
      <c r="BA633" s="38"/>
      <c r="BB633" s="38" t="s">
        <v>47</v>
      </c>
      <c r="BC633" s="38"/>
      <c r="BD633" s="38" t="s">
        <v>47</v>
      </c>
      <c r="BE633" s="77">
        <f t="shared" si="42"/>
        <v>4</v>
      </c>
      <c r="BF633" s="38"/>
    </row>
    <row r="634" spans="1:58" ht="22.5" hidden="1" customHeight="1">
      <c r="A634" s="33" t="str">
        <f>IF(OR(ISBLANK(E634),ISBLANK(C634)),"",IF(COUNTIF($E$8:E634,E634)&gt;1,"",(MAX($A$7:A633)+1)))</f>
        <v/>
      </c>
      <c r="B634" s="34">
        <f>IF(ISBLANK(C634),"",SUBTOTAL(3,$C$8:C634))</f>
        <v>44</v>
      </c>
      <c r="C634" s="81" t="s">
        <v>1345</v>
      </c>
      <c r="D634" s="55" t="s">
        <v>1346</v>
      </c>
      <c r="E634" s="50" t="s">
        <v>1312</v>
      </c>
      <c r="F634" s="35" t="str">
        <f t="shared" si="40"/>
        <v/>
      </c>
      <c r="G634" s="36" t="str">
        <f t="shared" si="41"/>
        <v>B</v>
      </c>
      <c r="H634" s="51">
        <f t="shared" si="43"/>
        <v>2</v>
      </c>
      <c r="I634" s="51">
        <f t="shared" si="43"/>
        <v>1</v>
      </c>
      <c r="J634" s="51" t="str">
        <f t="shared" si="43"/>
        <v/>
      </c>
      <c r="K634" s="37" t="s">
        <v>47</v>
      </c>
      <c r="L634" s="37"/>
      <c r="M634" s="37"/>
      <c r="N634" s="37" t="s">
        <v>47</v>
      </c>
      <c r="O634" s="37"/>
      <c r="P634" s="37"/>
      <c r="Q634" s="37"/>
      <c r="R634" s="37" t="s">
        <v>47</v>
      </c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M634" s="38"/>
      <c r="AN634" s="38"/>
      <c r="AO634" s="38"/>
      <c r="AP634" s="38"/>
      <c r="AQ634" s="38"/>
      <c r="AR634" s="38"/>
      <c r="AS634" s="38"/>
      <c r="AT634" s="38"/>
      <c r="AU634" s="38"/>
      <c r="AV634" s="38"/>
      <c r="AW634" s="38" t="s">
        <v>47</v>
      </c>
      <c r="AX634" s="38"/>
      <c r="AY634" s="38"/>
      <c r="AZ634" s="38"/>
      <c r="BA634" s="38" t="s">
        <v>47</v>
      </c>
      <c r="BB634" s="38"/>
      <c r="BC634" s="38"/>
      <c r="BD634" s="38"/>
      <c r="BE634" s="77">
        <f t="shared" si="42"/>
        <v>2</v>
      </c>
      <c r="BF634" s="38"/>
    </row>
    <row r="635" spans="1:58" ht="22.5" hidden="1" customHeight="1">
      <c r="A635" s="33" t="str">
        <f>IF(OR(ISBLANK(E635),ISBLANK(C635)),"",IF(COUNTIF($E$8:E635,E635)&gt;1,"",(MAX($A$7:A634)+1)))</f>
        <v/>
      </c>
      <c r="B635" s="34">
        <f>IF(ISBLANK(C635),"",SUBTOTAL(3,$C$8:C635))</f>
        <v>44</v>
      </c>
      <c r="C635" s="81" t="s">
        <v>1347</v>
      </c>
      <c r="D635" s="50" t="s">
        <v>1348</v>
      </c>
      <c r="E635" s="50" t="s">
        <v>1312</v>
      </c>
      <c r="F635" s="35" t="str">
        <f t="shared" si="40"/>
        <v/>
      </c>
      <c r="G635" s="36" t="str">
        <f t="shared" si="41"/>
        <v>C</v>
      </c>
      <c r="H635" s="51">
        <f t="shared" si="43"/>
        <v>1</v>
      </c>
      <c r="I635" s="51" t="str">
        <f t="shared" si="43"/>
        <v/>
      </c>
      <c r="J635" s="51">
        <f t="shared" si="43"/>
        <v>1</v>
      </c>
      <c r="K635" s="37" t="s">
        <v>47</v>
      </c>
      <c r="L635" s="37"/>
      <c r="M635" s="37"/>
      <c r="N635" s="37"/>
      <c r="O635" s="37"/>
      <c r="P635" s="37"/>
      <c r="Q635" s="37"/>
      <c r="R635" s="37"/>
      <c r="S635" s="37" t="s">
        <v>47</v>
      </c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M635" s="38"/>
      <c r="AN635" s="38"/>
      <c r="AO635" s="38"/>
      <c r="AP635" s="38"/>
      <c r="AQ635" s="38"/>
      <c r="AR635" s="38"/>
      <c r="AS635" s="38"/>
      <c r="AT635" s="38"/>
      <c r="AU635" s="38"/>
      <c r="AV635" s="38"/>
      <c r="AW635" s="38" t="s">
        <v>47</v>
      </c>
      <c r="AX635" s="38"/>
      <c r="AY635" s="38"/>
      <c r="AZ635" s="38"/>
      <c r="BA635" s="38"/>
      <c r="BB635" s="38"/>
      <c r="BC635" s="38"/>
      <c r="BD635" s="38"/>
      <c r="BE635" s="77">
        <f t="shared" si="42"/>
        <v>1</v>
      </c>
      <c r="BF635" s="38"/>
    </row>
    <row r="636" spans="1:58" ht="22.5" hidden="1" customHeight="1">
      <c r="A636" s="33" t="str">
        <f>IF(OR(ISBLANK(E636),ISBLANK(C636)),"",IF(COUNTIF($E$8:E636,E636)&gt;1,"",(MAX($A$7:A635)+1)))</f>
        <v/>
      </c>
      <c r="B636" s="34">
        <f>IF(ISBLANK(C636),"",SUBTOTAL(3,$C$8:C636))</f>
        <v>44</v>
      </c>
      <c r="C636" s="80" t="s">
        <v>1349</v>
      </c>
      <c r="D636" s="50" t="s">
        <v>1350</v>
      </c>
      <c r="E636" s="50" t="s">
        <v>1312</v>
      </c>
      <c r="F636" s="35" t="str">
        <f t="shared" si="40"/>
        <v/>
      </c>
      <c r="G636" s="36" t="str">
        <f t="shared" si="41"/>
        <v>C</v>
      </c>
      <c r="H636" s="51">
        <f t="shared" si="43"/>
        <v>1</v>
      </c>
      <c r="I636" s="51">
        <f t="shared" si="43"/>
        <v>1</v>
      </c>
      <c r="J636" s="51">
        <f t="shared" si="43"/>
        <v>1</v>
      </c>
      <c r="K636" s="37" t="s">
        <v>47</v>
      </c>
      <c r="L636" s="37"/>
      <c r="M636" s="37"/>
      <c r="N636" s="37"/>
      <c r="O636" s="37"/>
      <c r="P636" s="37" t="s">
        <v>47</v>
      </c>
      <c r="Q636" s="37"/>
      <c r="R636" s="37" t="s">
        <v>47</v>
      </c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  <c r="AJ636" s="37"/>
      <c r="AK636" s="37"/>
      <c r="AM636" s="38"/>
      <c r="AN636" s="38"/>
      <c r="AO636" s="38"/>
      <c r="AP636" s="38"/>
      <c r="AQ636" s="38"/>
      <c r="AR636" s="38"/>
      <c r="AS636" s="38"/>
      <c r="AT636" s="38"/>
      <c r="AU636" s="38"/>
      <c r="AV636" s="38"/>
      <c r="AW636" s="38"/>
      <c r="AX636" s="38"/>
      <c r="AY636" s="38" t="s">
        <v>47</v>
      </c>
      <c r="AZ636" s="38"/>
      <c r="BA636" s="38" t="s">
        <v>47</v>
      </c>
      <c r="BB636" s="38"/>
      <c r="BC636" s="38" t="s">
        <v>47</v>
      </c>
      <c r="BD636" s="38"/>
      <c r="BE636" s="77">
        <f t="shared" si="42"/>
        <v>3</v>
      </c>
      <c r="BF636" s="38"/>
    </row>
    <row r="637" spans="1:58" ht="22.5" hidden="1" customHeight="1">
      <c r="A637" s="33" t="str">
        <f>IF(OR(ISBLANK(E637),ISBLANK(C637)),"",IF(COUNTIF($E$8:E637,E637)&gt;1,"",(MAX($A$7:A636)+1)))</f>
        <v/>
      </c>
      <c r="B637" s="34">
        <f>IF(ISBLANK(C637),"",SUBTOTAL(3,$C$8:C637))</f>
        <v>44</v>
      </c>
      <c r="C637" s="81" t="s">
        <v>1351</v>
      </c>
      <c r="D637" s="55" t="s">
        <v>1352</v>
      </c>
      <c r="E637" s="50" t="s">
        <v>1312</v>
      </c>
      <c r="F637" s="35" t="str">
        <f t="shared" si="40"/>
        <v/>
      </c>
      <c r="G637" s="36" t="str">
        <f t="shared" si="41"/>
        <v>C</v>
      </c>
      <c r="H637" s="51">
        <f t="shared" si="43"/>
        <v>1</v>
      </c>
      <c r="I637" s="51" t="str">
        <f t="shared" si="43"/>
        <v/>
      </c>
      <c r="J637" s="51" t="str">
        <f t="shared" si="43"/>
        <v/>
      </c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 t="s">
        <v>47</v>
      </c>
      <c r="AA637" s="37"/>
      <c r="AB637" s="37"/>
      <c r="AC637" s="37"/>
      <c r="AD637" s="37"/>
      <c r="AE637" s="37"/>
      <c r="AF637" s="37"/>
      <c r="AG637" s="37"/>
      <c r="AH637" s="37"/>
      <c r="AI637" s="37"/>
      <c r="AJ637" s="37"/>
      <c r="AK637" s="37"/>
      <c r="AM637" s="38"/>
      <c r="AN637" s="38"/>
      <c r="AO637" s="38" t="s">
        <v>47</v>
      </c>
      <c r="AP637" s="38"/>
      <c r="AQ637" s="38"/>
      <c r="AR637" s="38"/>
      <c r="AS637" s="38"/>
      <c r="AT637" s="38"/>
      <c r="AU637" s="38"/>
      <c r="AV637" s="38"/>
      <c r="AW637" s="38"/>
      <c r="AX637" s="38"/>
      <c r="AY637" s="38"/>
      <c r="AZ637" s="38"/>
      <c r="BA637" s="38"/>
      <c r="BB637" s="38"/>
      <c r="BC637" s="38"/>
      <c r="BD637" s="38"/>
      <c r="BE637" s="77">
        <f t="shared" si="42"/>
        <v>1</v>
      </c>
      <c r="BF637" s="38"/>
    </row>
    <row r="638" spans="1:58" ht="22.5" hidden="1" customHeight="1">
      <c r="A638" s="33" t="str">
        <f>IF(OR(ISBLANK(E638),ISBLANK(C638)),"",IF(COUNTIF($E$8:E638,E638)&gt;1,"",(MAX($A$7:A637)+1)))</f>
        <v/>
      </c>
      <c r="B638" s="34">
        <f>IF(ISBLANK(C638),"",SUBTOTAL(3,$C$8:C638))</f>
        <v>44</v>
      </c>
      <c r="C638" s="81" t="s">
        <v>1353</v>
      </c>
      <c r="D638" s="50" t="s">
        <v>1354</v>
      </c>
      <c r="E638" s="50" t="s">
        <v>1312</v>
      </c>
      <c r="F638" s="35" t="str">
        <f t="shared" si="40"/>
        <v/>
      </c>
      <c r="G638" s="36" t="str">
        <f t="shared" si="41"/>
        <v>B</v>
      </c>
      <c r="H638" s="51">
        <f t="shared" si="43"/>
        <v>2</v>
      </c>
      <c r="I638" s="51" t="str">
        <f t="shared" si="43"/>
        <v/>
      </c>
      <c r="J638" s="51" t="str">
        <f t="shared" si="43"/>
        <v/>
      </c>
      <c r="K638" s="37" t="s">
        <v>47</v>
      </c>
      <c r="L638" s="37"/>
      <c r="M638" s="37"/>
      <c r="N638" s="37"/>
      <c r="O638" s="37"/>
      <c r="P638" s="37"/>
      <c r="Q638" s="37" t="s">
        <v>47</v>
      </c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M638" s="38"/>
      <c r="AN638" s="38"/>
      <c r="AO638" s="38"/>
      <c r="AP638" s="38"/>
      <c r="AQ638" s="38"/>
      <c r="AR638" s="38"/>
      <c r="AS638" s="38"/>
      <c r="AT638" s="38"/>
      <c r="AU638" s="38"/>
      <c r="AV638" s="38"/>
      <c r="AW638" s="38"/>
      <c r="AX638" s="38" t="s">
        <v>47</v>
      </c>
      <c r="AY638" s="38"/>
      <c r="AZ638" s="38"/>
      <c r="BA638" s="38"/>
      <c r="BB638" s="38"/>
      <c r="BC638" s="38"/>
      <c r="BD638" s="38"/>
      <c r="BE638" s="77">
        <f t="shared" si="42"/>
        <v>1</v>
      </c>
      <c r="BF638" s="38"/>
    </row>
    <row r="639" spans="1:58" ht="22.5" hidden="1" customHeight="1">
      <c r="A639" s="33" t="str">
        <f>IF(OR(ISBLANK(E639),ISBLANK(C639)),"",IF(COUNTIF($E$8:E639,E639)&gt;1,"",(MAX($A$7:A638)+1)))</f>
        <v/>
      </c>
      <c r="B639" s="34">
        <f>IF(ISBLANK(C639),"",SUBTOTAL(3,$C$8:C639))</f>
        <v>44</v>
      </c>
      <c r="C639" s="85" t="s">
        <v>1355</v>
      </c>
      <c r="D639" s="55" t="s">
        <v>1356</v>
      </c>
      <c r="E639" s="50" t="s">
        <v>1312</v>
      </c>
      <c r="F639" s="35" t="str">
        <f t="shared" si="40"/>
        <v/>
      </c>
      <c r="G639" s="36" t="str">
        <f t="shared" si="41"/>
        <v>C</v>
      </c>
      <c r="H639" s="51">
        <f t="shared" si="43"/>
        <v>1</v>
      </c>
      <c r="I639" s="51">
        <f t="shared" si="43"/>
        <v>1</v>
      </c>
      <c r="J639" s="51">
        <f t="shared" si="43"/>
        <v>1</v>
      </c>
      <c r="K639" s="37" t="s">
        <v>47</v>
      </c>
      <c r="L639" s="37"/>
      <c r="M639" s="37"/>
      <c r="N639" s="37"/>
      <c r="O639" s="37"/>
      <c r="P639" s="37"/>
      <c r="Q639" s="37"/>
      <c r="R639" s="37" t="s">
        <v>47</v>
      </c>
      <c r="S639" s="37"/>
      <c r="T639" s="37"/>
      <c r="U639" s="37"/>
      <c r="V639" s="37"/>
      <c r="W639" s="37"/>
      <c r="X639" s="37"/>
      <c r="Y639" s="37" t="s">
        <v>47</v>
      </c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  <c r="AJ639" s="37"/>
      <c r="AK639" s="37"/>
      <c r="AM639" s="38"/>
      <c r="AN639" s="38"/>
      <c r="AO639" s="38"/>
      <c r="AP639" s="38"/>
      <c r="AQ639" s="38"/>
      <c r="AR639" s="38" t="s">
        <v>47</v>
      </c>
      <c r="AS639" s="38"/>
      <c r="AT639" s="38"/>
      <c r="AU639" s="38"/>
      <c r="AV639" s="38"/>
      <c r="AW639" s="38"/>
      <c r="AX639" s="38"/>
      <c r="AY639" s="38"/>
      <c r="AZ639" s="38"/>
      <c r="BA639" s="38"/>
      <c r="BB639" s="38"/>
      <c r="BC639" s="38"/>
      <c r="BD639" s="38"/>
      <c r="BE639" s="77">
        <f t="shared" si="42"/>
        <v>1</v>
      </c>
      <c r="BF639" s="38"/>
    </row>
    <row r="640" spans="1:58" ht="22.5" hidden="1" customHeight="1">
      <c r="A640" s="33" t="str">
        <f>IF(OR(ISBLANK(E640),ISBLANK(C640)),"",IF(COUNTIF($E$8:E640,E640)&gt;1,"",(MAX($A$7:A639)+1)))</f>
        <v/>
      </c>
      <c r="B640" s="34">
        <f>IF(ISBLANK(C640),"",SUBTOTAL(3,$C$8:C640))</f>
        <v>44</v>
      </c>
      <c r="C640" s="85" t="s">
        <v>1357</v>
      </c>
      <c r="D640" s="50" t="s">
        <v>1358</v>
      </c>
      <c r="E640" s="50" t="s">
        <v>1312</v>
      </c>
      <c r="F640" s="35" t="str">
        <f t="shared" si="40"/>
        <v/>
      </c>
      <c r="G640" s="36" t="str">
        <f t="shared" si="41"/>
        <v>A</v>
      </c>
      <c r="H640" s="51">
        <f t="shared" si="43"/>
        <v>3</v>
      </c>
      <c r="I640" s="51" t="str">
        <f t="shared" si="43"/>
        <v/>
      </c>
      <c r="J640" s="51" t="str">
        <f t="shared" si="43"/>
        <v/>
      </c>
      <c r="K640" s="37" t="s">
        <v>47</v>
      </c>
      <c r="L640" s="37"/>
      <c r="M640" s="37"/>
      <c r="N640" s="37" t="s">
        <v>47</v>
      </c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 t="s">
        <v>47</v>
      </c>
      <c r="AG640" s="37"/>
      <c r="AH640" s="37"/>
      <c r="AI640" s="37"/>
      <c r="AJ640" s="37"/>
      <c r="AK640" s="37"/>
      <c r="AM640" s="38"/>
      <c r="AN640" s="38"/>
      <c r="AO640" s="38"/>
      <c r="AP640" s="38"/>
      <c r="AQ640" s="38"/>
      <c r="AR640" s="38"/>
      <c r="AS640" s="38"/>
      <c r="AT640" s="38" t="s">
        <v>47</v>
      </c>
      <c r="AU640" s="38"/>
      <c r="AV640" s="38"/>
      <c r="AW640" s="38"/>
      <c r="AX640" s="38"/>
      <c r="AY640" s="38"/>
      <c r="AZ640" s="38"/>
      <c r="BA640" s="38"/>
      <c r="BB640" s="38" t="s">
        <v>47</v>
      </c>
      <c r="BC640" s="38"/>
      <c r="BD640" s="38"/>
      <c r="BE640" s="77">
        <f t="shared" si="42"/>
        <v>2</v>
      </c>
      <c r="BF640" s="38"/>
    </row>
    <row r="641" spans="1:58" ht="22.5" hidden="1" customHeight="1">
      <c r="A641" s="33" t="str">
        <f>IF(OR(ISBLANK(E641),ISBLANK(C641)),"",IF(COUNTIF($E$8:E641,E641)&gt;1,"",(MAX($A$7:A640)+1)))</f>
        <v/>
      </c>
      <c r="B641" s="34">
        <f>IF(ISBLANK(C641),"",SUBTOTAL(3,$C$8:C641))</f>
        <v>44</v>
      </c>
      <c r="C641" s="85" t="s">
        <v>1359</v>
      </c>
      <c r="D641" s="50" t="s">
        <v>1360</v>
      </c>
      <c r="E641" s="50" t="s">
        <v>1312</v>
      </c>
      <c r="F641" s="35" t="str">
        <f t="shared" si="40"/>
        <v/>
      </c>
      <c r="G641" s="36" t="str">
        <f t="shared" si="41"/>
        <v>D</v>
      </c>
      <c r="H641" s="51" t="str">
        <f t="shared" si="43"/>
        <v/>
      </c>
      <c r="I641" s="51">
        <f t="shared" si="43"/>
        <v>1</v>
      </c>
      <c r="J641" s="51" t="str">
        <f t="shared" si="43"/>
        <v/>
      </c>
      <c r="K641" s="37"/>
      <c r="L641" s="37" t="s">
        <v>47</v>
      </c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7"/>
      <c r="AK641" s="37"/>
      <c r="AM641" s="38"/>
      <c r="AN641" s="38"/>
      <c r="AO641" s="38"/>
      <c r="AP641" s="38"/>
      <c r="AQ641" s="38"/>
      <c r="AR641" s="38"/>
      <c r="AS641" s="38" t="s">
        <v>47</v>
      </c>
      <c r="AT641" s="38"/>
      <c r="AU641" s="38"/>
      <c r="AV641" s="38"/>
      <c r="AW641" s="38"/>
      <c r="AX641" s="38"/>
      <c r="AY641" s="38"/>
      <c r="AZ641" s="38"/>
      <c r="BA641" s="38"/>
      <c r="BB641" s="38"/>
      <c r="BC641" s="38"/>
      <c r="BD641" s="38"/>
      <c r="BE641" s="77">
        <f t="shared" si="42"/>
        <v>1</v>
      </c>
      <c r="BF641" s="38"/>
    </row>
    <row r="642" spans="1:58" ht="22.5" hidden="1" customHeight="1">
      <c r="A642" s="33" t="str">
        <f>IF(OR(ISBLANK(E642),ISBLANK(C642)),"",IF(COUNTIF($E$8:E642,E642)&gt;1,"",(MAX($A$7:A641)+1)))</f>
        <v/>
      </c>
      <c r="B642" s="34">
        <f>IF(ISBLANK(C642),"",SUBTOTAL(3,$C$8:C642))</f>
        <v>44</v>
      </c>
      <c r="C642" s="85" t="s">
        <v>1361</v>
      </c>
      <c r="D642" s="55" t="s">
        <v>1362</v>
      </c>
      <c r="E642" s="50" t="s">
        <v>1312</v>
      </c>
      <c r="F642" s="35" t="str">
        <f t="shared" si="40"/>
        <v/>
      </c>
      <c r="G642" s="36" t="str">
        <f t="shared" si="41"/>
        <v>D</v>
      </c>
      <c r="H642" s="51" t="str">
        <f t="shared" si="43"/>
        <v/>
      </c>
      <c r="I642" s="51">
        <f t="shared" si="43"/>
        <v>1</v>
      </c>
      <c r="J642" s="51" t="str">
        <f t="shared" si="43"/>
        <v/>
      </c>
      <c r="K642" s="37"/>
      <c r="L642" s="37" t="s">
        <v>47</v>
      </c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  <c r="AJ642" s="37"/>
      <c r="AK642" s="37"/>
      <c r="AM642" s="38"/>
      <c r="AN642" s="38"/>
      <c r="AO642" s="38"/>
      <c r="AP642" s="38"/>
      <c r="AQ642" s="38"/>
      <c r="AR642" s="38"/>
      <c r="AS642" s="38" t="s">
        <v>47</v>
      </c>
      <c r="AT642" s="38"/>
      <c r="AU642" s="38"/>
      <c r="AV642" s="38"/>
      <c r="AW642" s="38"/>
      <c r="AX642" s="38"/>
      <c r="AY642" s="38"/>
      <c r="AZ642" s="38"/>
      <c r="BA642" s="38"/>
      <c r="BB642" s="38"/>
      <c r="BC642" s="38"/>
      <c r="BD642" s="38"/>
      <c r="BE642" s="77">
        <f t="shared" si="42"/>
        <v>1</v>
      </c>
      <c r="BF642" s="38"/>
    </row>
    <row r="643" spans="1:58" ht="22.5" hidden="1" customHeight="1">
      <c r="A643" s="33" t="str">
        <f>IF(OR(ISBLANK(E643),ISBLANK(C643)),"",IF(COUNTIF($E$8:E643,E643)&gt;1,"",(MAX($A$7:A642)+1)))</f>
        <v/>
      </c>
      <c r="B643" s="34">
        <f>IF(ISBLANK(C643),"",SUBTOTAL(3,$C$8:C643))</f>
        <v>44</v>
      </c>
      <c r="C643" s="81" t="s">
        <v>1363</v>
      </c>
      <c r="D643" s="50" t="s">
        <v>1364</v>
      </c>
      <c r="E643" s="50" t="s">
        <v>1312</v>
      </c>
      <c r="F643" s="35" t="str">
        <f t="shared" si="40"/>
        <v/>
      </c>
      <c r="G643" s="36" t="str">
        <f t="shared" si="41"/>
        <v>B</v>
      </c>
      <c r="H643" s="51">
        <f t="shared" si="43"/>
        <v>2</v>
      </c>
      <c r="I643" s="51" t="str">
        <f t="shared" si="43"/>
        <v/>
      </c>
      <c r="J643" s="51" t="str">
        <f t="shared" si="43"/>
        <v/>
      </c>
      <c r="K643" s="37" t="s">
        <v>47</v>
      </c>
      <c r="L643" s="37"/>
      <c r="M643" s="37"/>
      <c r="N643" s="37"/>
      <c r="O643" s="37"/>
      <c r="P643" s="37"/>
      <c r="Q643" s="37" t="s">
        <v>47</v>
      </c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  <c r="AJ643" s="37"/>
      <c r="AK643" s="37"/>
      <c r="AM643" s="38"/>
      <c r="AN643" s="38"/>
      <c r="AO643" s="38"/>
      <c r="AP643" s="38"/>
      <c r="AQ643" s="38"/>
      <c r="AR643" s="38"/>
      <c r="AS643" s="38"/>
      <c r="AT643" s="38"/>
      <c r="AU643" s="38"/>
      <c r="AV643" s="38"/>
      <c r="AW643" s="38" t="s">
        <v>47</v>
      </c>
      <c r="AX643" s="38"/>
      <c r="AY643" s="38"/>
      <c r="AZ643" s="38"/>
      <c r="BA643" s="38"/>
      <c r="BB643" s="38"/>
      <c r="BC643" s="38"/>
      <c r="BD643" s="38"/>
      <c r="BE643" s="77">
        <f t="shared" si="42"/>
        <v>1</v>
      </c>
      <c r="BF643" s="38"/>
    </row>
    <row r="644" spans="1:58" ht="22.5" hidden="1" customHeight="1">
      <c r="A644" s="33" t="str">
        <f>IF(OR(ISBLANK(E644),ISBLANK(C644)),"",IF(COUNTIF($E$8:E644,E644)&gt;1,"",(MAX($A$7:A643)+1)))</f>
        <v/>
      </c>
      <c r="B644" s="34">
        <f>IF(ISBLANK(C644),"",SUBTOTAL(3,$C$8:C644))</f>
        <v>44</v>
      </c>
      <c r="C644" s="81" t="s">
        <v>1365</v>
      </c>
      <c r="D644" s="55" t="s">
        <v>1366</v>
      </c>
      <c r="E644" s="50" t="s">
        <v>1312</v>
      </c>
      <c r="F644" s="35" t="str">
        <f t="shared" si="40"/>
        <v/>
      </c>
      <c r="G644" s="36" t="str">
        <f t="shared" si="41"/>
        <v>C</v>
      </c>
      <c r="H644" s="51">
        <f t="shared" si="43"/>
        <v>1</v>
      </c>
      <c r="I644" s="51" t="str">
        <f t="shared" si="43"/>
        <v/>
      </c>
      <c r="J644" s="51" t="str">
        <f t="shared" si="43"/>
        <v/>
      </c>
      <c r="K644" s="37" t="s">
        <v>47</v>
      </c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  <c r="AJ644" s="37"/>
      <c r="AK644" s="37"/>
      <c r="AM644" s="38"/>
      <c r="AN644" s="38"/>
      <c r="AO644" s="38"/>
      <c r="AP644" s="38"/>
      <c r="AQ644" s="38"/>
      <c r="AR644" s="38"/>
      <c r="AS644" s="38"/>
      <c r="AT644" s="38"/>
      <c r="AU644" s="38"/>
      <c r="AV644" s="38"/>
      <c r="AW644" s="38"/>
      <c r="AX644" s="38"/>
      <c r="AY644" s="38"/>
      <c r="AZ644" s="38"/>
      <c r="BA644" s="38"/>
      <c r="BB644" s="38" t="s">
        <v>47</v>
      </c>
      <c r="BC644" s="38"/>
      <c r="BD644" s="38"/>
      <c r="BE644" s="77">
        <f t="shared" si="42"/>
        <v>1</v>
      </c>
      <c r="BF644" s="38"/>
    </row>
    <row r="645" spans="1:58" ht="22.5" hidden="1" customHeight="1">
      <c r="A645" s="33" t="str">
        <f>IF(OR(ISBLANK(E645),ISBLANK(C645)),"",IF(COUNTIF($E$8:E645,E645)&gt;1,"",(MAX($A$7:A644)+1)))</f>
        <v/>
      </c>
      <c r="B645" s="34">
        <f>IF(ISBLANK(C645),"",SUBTOTAL(3,$C$8:C645))</f>
        <v>44</v>
      </c>
      <c r="C645" s="81" t="s">
        <v>1367</v>
      </c>
      <c r="D645" s="50" t="s">
        <v>1368</v>
      </c>
      <c r="E645" s="50" t="s">
        <v>1312</v>
      </c>
      <c r="F645" s="35" t="str">
        <f t="shared" si="40"/>
        <v/>
      </c>
      <c r="G645" s="36" t="str">
        <f t="shared" si="41"/>
        <v>D</v>
      </c>
      <c r="H645" s="51" t="str">
        <f t="shared" si="43"/>
        <v/>
      </c>
      <c r="I645" s="51" t="str">
        <f t="shared" si="43"/>
        <v/>
      </c>
      <c r="J645" s="51">
        <f t="shared" si="43"/>
        <v>1</v>
      </c>
      <c r="K645" s="37"/>
      <c r="L645" s="37"/>
      <c r="M645" s="37" t="s">
        <v>47</v>
      </c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  <c r="AJ645" s="37"/>
      <c r="AK645" s="37"/>
      <c r="AM645" s="38"/>
      <c r="AN645" s="38"/>
      <c r="AO645" s="38"/>
      <c r="AP645" s="38" t="s">
        <v>47</v>
      </c>
      <c r="AQ645" s="38"/>
      <c r="AR645" s="38"/>
      <c r="AS645" s="38"/>
      <c r="AT645" s="38"/>
      <c r="AU645" s="38"/>
      <c r="AV645" s="38"/>
      <c r="AW645" s="38"/>
      <c r="AX645" s="38"/>
      <c r="AY645" s="38"/>
      <c r="AZ645" s="38"/>
      <c r="BA645" s="38"/>
      <c r="BB645" s="38"/>
      <c r="BC645" s="38"/>
      <c r="BD645" s="38"/>
      <c r="BE645" s="77">
        <f t="shared" si="42"/>
        <v>1</v>
      </c>
      <c r="BF645" s="38"/>
    </row>
    <row r="646" spans="1:58" ht="22.5" hidden="1" customHeight="1">
      <c r="A646" s="33" t="str">
        <f>IF(OR(ISBLANK(E646),ISBLANK(C646)),"",IF(COUNTIF($E$8:E646,E646)&gt;1,"",(MAX($A$7:A645)+1)))</f>
        <v/>
      </c>
      <c r="B646" s="34">
        <f>IF(ISBLANK(C646),"",SUBTOTAL(3,$C$8:C646))</f>
        <v>44</v>
      </c>
      <c r="C646" s="80" t="s">
        <v>1369</v>
      </c>
      <c r="D646" s="50" t="s">
        <v>1370</v>
      </c>
      <c r="E646" s="50" t="s">
        <v>1312</v>
      </c>
      <c r="F646" s="35" t="str">
        <f t="shared" si="40"/>
        <v/>
      </c>
      <c r="G646" s="36" t="str">
        <f t="shared" si="41"/>
        <v>A</v>
      </c>
      <c r="H646" s="51">
        <f t="shared" si="43"/>
        <v>7</v>
      </c>
      <c r="I646" s="51" t="str">
        <f t="shared" si="43"/>
        <v/>
      </c>
      <c r="J646" s="51" t="str">
        <f t="shared" si="43"/>
        <v/>
      </c>
      <c r="K646" s="37" t="s">
        <v>47</v>
      </c>
      <c r="L646" s="37"/>
      <c r="M646" s="37"/>
      <c r="N646" s="37" t="s">
        <v>47</v>
      </c>
      <c r="O646" s="37"/>
      <c r="P646" s="37"/>
      <c r="Q646" s="37" t="s">
        <v>47</v>
      </c>
      <c r="R646" s="37"/>
      <c r="S646" s="37"/>
      <c r="T646" s="37" t="s">
        <v>47</v>
      </c>
      <c r="U646" s="37"/>
      <c r="V646" s="37"/>
      <c r="W646" s="37" t="s">
        <v>47</v>
      </c>
      <c r="X646" s="37"/>
      <c r="Y646" s="37"/>
      <c r="Z646" s="37"/>
      <c r="AA646" s="37"/>
      <c r="AB646" s="37"/>
      <c r="AC646" s="37" t="s">
        <v>47</v>
      </c>
      <c r="AD646" s="37"/>
      <c r="AE646" s="37"/>
      <c r="AF646" s="37" t="s">
        <v>47</v>
      </c>
      <c r="AG646" s="37"/>
      <c r="AH646" s="37"/>
      <c r="AI646" s="37"/>
      <c r="AJ646" s="37"/>
      <c r="AK646" s="37"/>
      <c r="AM646" s="38"/>
      <c r="AN646" s="38"/>
      <c r="AO646" s="38"/>
      <c r="AP646" s="38"/>
      <c r="AQ646" s="38"/>
      <c r="AR646" s="38"/>
      <c r="AS646" s="38"/>
      <c r="AT646" s="38"/>
      <c r="AU646" s="38"/>
      <c r="AV646" s="38"/>
      <c r="AW646" s="38" t="s">
        <v>47</v>
      </c>
      <c r="AX646" s="38"/>
      <c r="AY646" s="38"/>
      <c r="AZ646" s="38"/>
      <c r="BA646" s="38"/>
      <c r="BB646" s="38" t="s">
        <v>47</v>
      </c>
      <c r="BC646" s="38"/>
      <c r="BD646" s="38" t="s">
        <v>47</v>
      </c>
      <c r="BE646" s="77">
        <f t="shared" si="42"/>
        <v>3</v>
      </c>
      <c r="BF646" s="38"/>
    </row>
    <row r="647" spans="1:58" ht="22.5" hidden="1" customHeight="1">
      <c r="A647" s="33" t="str">
        <f>IF(OR(ISBLANK(E647),ISBLANK(C647)),"",IF(COUNTIF($E$8:E647,E647)&gt;1,"",(MAX($A$7:A646)+1)))</f>
        <v/>
      </c>
      <c r="B647" s="34">
        <f>IF(ISBLANK(C647),"",SUBTOTAL(3,$C$8:C647))</f>
        <v>44</v>
      </c>
      <c r="C647" s="81" t="s">
        <v>1371</v>
      </c>
      <c r="D647" s="55" t="s">
        <v>1372</v>
      </c>
      <c r="E647" s="50" t="s">
        <v>1312</v>
      </c>
      <c r="F647" s="35" t="str">
        <f t="shared" si="40"/>
        <v/>
      </c>
      <c r="G647" s="36" t="str">
        <f t="shared" si="41"/>
        <v>B</v>
      </c>
      <c r="H647" s="51">
        <f t="shared" si="43"/>
        <v>2</v>
      </c>
      <c r="I647" s="51">
        <f t="shared" si="43"/>
        <v>1</v>
      </c>
      <c r="J647" s="51" t="str">
        <f t="shared" si="43"/>
        <v/>
      </c>
      <c r="K647" s="37" t="s">
        <v>47</v>
      </c>
      <c r="L647" s="37"/>
      <c r="M647" s="37"/>
      <c r="N647" s="37"/>
      <c r="O647" s="37"/>
      <c r="P647" s="37"/>
      <c r="Q647" s="37" t="s">
        <v>47</v>
      </c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 t="s">
        <v>47</v>
      </c>
      <c r="AH647" s="37"/>
      <c r="AI647" s="37"/>
      <c r="AJ647" s="37"/>
      <c r="AK647" s="37"/>
      <c r="AM647" s="38"/>
      <c r="AN647" s="38"/>
      <c r="AO647" s="38"/>
      <c r="AP647" s="38"/>
      <c r="AQ647" s="38"/>
      <c r="AR647" s="38"/>
      <c r="AS647" s="38"/>
      <c r="AT647" s="38"/>
      <c r="AU647" s="38"/>
      <c r="AV647" s="38" t="s">
        <v>47</v>
      </c>
      <c r="AW647" s="38"/>
      <c r="AX647" s="38" t="s">
        <v>47</v>
      </c>
      <c r="AY647" s="38"/>
      <c r="AZ647" s="38"/>
      <c r="BA647" s="38" t="s">
        <v>47</v>
      </c>
      <c r="BB647" s="38" t="s">
        <v>47</v>
      </c>
      <c r="BC647" s="38" t="s">
        <v>47</v>
      </c>
      <c r="BD647" s="38"/>
      <c r="BE647" s="77">
        <f t="shared" si="42"/>
        <v>5</v>
      </c>
      <c r="BF647" s="38"/>
    </row>
    <row r="648" spans="1:58" ht="22.5" hidden="1" customHeight="1">
      <c r="A648" s="33" t="str">
        <f>IF(OR(ISBLANK(E648),ISBLANK(C648)),"",IF(COUNTIF($E$8:E648,E648)&gt;1,"",(MAX($A$7:A647)+1)))</f>
        <v/>
      </c>
      <c r="B648" s="34">
        <f>IF(ISBLANK(C648),"",SUBTOTAL(3,$C$8:C648))</f>
        <v>44</v>
      </c>
      <c r="C648" s="81" t="s">
        <v>1373</v>
      </c>
      <c r="D648" s="55" t="s">
        <v>204</v>
      </c>
      <c r="E648" s="50" t="s">
        <v>1312</v>
      </c>
      <c r="F648" s="35" t="str">
        <f t="shared" ref="F648:F711" si="44">IFERROR(IF(OR(ISBLANK($C648),B648=""),"",INDEX(Luonggio,MATCH($C648,MaNVLuong,0))),"")</f>
        <v/>
      </c>
      <c r="G648" s="36" t="str">
        <f t="shared" si="41"/>
        <v>B</v>
      </c>
      <c r="H648" s="51">
        <f t="shared" si="43"/>
        <v>1</v>
      </c>
      <c r="I648" s="51">
        <f t="shared" si="43"/>
        <v>3</v>
      </c>
      <c r="J648" s="51" t="str">
        <f t="shared" si="43"/>
        <v/>
      </c>
      <c r="K648" s="37" t="s">
        <v>47</v>
      </c>
      <c r="L648" s="37"/>
      <c r="M648" s="37"/>
      <c r="N648" s="37"/>
      <c r="O648" s="37" t="s">
        <v>47</v>
      </c>
      <c r="P648" s="37"/>
      <c r="Q648" s="37"/>
      <c r="R648" s="37" t="s">
        <v>47</v>
      </c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 t="s">
        <v>47</v>
      </c>
      <c r="AH648" s="37"/>
      <c r="AI648" s="37"/>
      <c r="AJ648" s="37"/>
      <c r="AK648" s="37"/>
      <c r="AM648" s="38"/>
      <c r="AN648" s="38"/>
      <c r="AO648" s="38"/>
      <c r="AP648" s="38"/>
      <c r="AQ648" s="38"/>
      <c r="AR648" s="38"/>
      <c r="AS648" s="38"/>
      <c r="AT648" s="38"/>
      <c r="AU648" s="38"/>
      <c r="AV648" s="38"/>
      <c r="AW648" s="38" t="s">
        <v>47</v>
      </c>
      <c r="AX648" s="38"/>
      <c r="AY648" s="38"/>
      <c r="AZ648" s="38"/>
      <c r="BA648" s="38"/>
      <c r="BB648" s="38"/>
      <c r="BC648" s="38"/>
      <c r="BD648" s="38"/>
      <c r="BE648" s="77">
        <f t="shared" si="42"/>
        <v>1</v>
      </c>
      <c r="BF648" s="38"/>
    </row>
    <row r="649" spans="1:58" ht="22.5" hidden="1" customHeight="1">
      <c r="A649" s="33" t="str">
        <f>IF(OR(ISBLANK(E649),ISBLANK(C649)),"",IF(COUNTIF($E$8:E649,E649)&gt;1,"",(MAX($A$7:A648)+1)))</f>
        <v/>
      </c>
      <c r="B649" s="34">
        <f>IF(ISBLANK(C649),"",SUBTOTAL(3,$C$8:C649))</f>
        <v>44</v>
      </c>
      <c r="C649" s="81" t="s">
        <v>1374</v>
      </c>
      <c r="D649" s="55" t="s">
        <v>1375</v>
      </c>
      <c r="E649" s="50" t="s">
        <v>1312</v>
      </c>
      <c r="F649" s="35" t="str">
        <f t="shared" si="44"/>
        <v/>
      </c>
      <c r="G649" s="36" t="str">
        <f t="shared" ref="G649:G712" si="45">IF(COUNTIF(H649:J649,"&gt;0")=0,"",IF(AND(OR(OR(SUM(H649)&gt;=2)),SUM(H649:J649)&gt;=4,OR(OR(SUM(I649)&gt;=1))),"A",IF(OR(OR(SUM(H649)&gt;=3)),"A",IF(AND(SUM(I649)&gt;=2,SUM(H649)=1),"B",IF(AND(SUM(I649)&gt;=1,SUM(H649)=2),"B",IF(H649=2,"B",IF(SUM(I649)&gt;=2,"C",IF(H649=1,"C",IF(AND(H649=1,I649=1),"C",IF(AND(SUM(H649:I649)=0,SUM(J649)&lt;=1),"D","D"))))))))))</f>
        <v>C</v>
      </c>
      <c r="H649" s="51">
        <f t="shared" si="43"/>
        <v>1</v>
      </c>
      <c r="I649" s="51" t="str">
        <f t="shared" si="43"/>
        <v/>
      </c>
      <c r="J649" s="51" t="str">
        <f t="shared" si="43"/>
        <v/>
      </c>
      <c r="K649" s="37" t="s">
        <v>47</v>
      </c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  <c r="AI649" s="37"/>
      <c r="AJ649" s="37"/>
      <c r="AK649" s="37"/>
      <c r="AM649" s="38"/>
      <c r="AN649" s="38"/>
      <c r="AO649" s="38"/>
      <c r="AP649" s="38"/>
      <c r="AQ649" s="38"/>
      <c r="AR649" s="38"/>
      <c r="AS649" s="38" t="s">
        <v>47</v>
      </c>
      <c r="AT649" s="38"/>
      <c r="AU649" s="38"/>
      <c r="AV649" s="38"/>
      <c r="AW649" s="38"/>
      <c r="AX649" s="38"/>
      <c r="AY649" s="38"/>
      <c r="AZ649" s="38"/>
      <c r="BA649" s="38"/>
      <c r="BB649" s="38"/>
      <c r="BC649" s="38"/>
      <c r="BD649" s="38"/>
      <c r="BE649" s="77">
        <f t="shared" ref="BE649:BE712" si="46">COUNTIF(AM649:BD649,"X")</f>
        <v>1</v>
      </c>
      <c r="BF649" s="38"/>
    </row>
    <row r="650" spans="1:58" ht="22.5" hidden="1" customHeight="1">
      <c r="A650" s="33">
        <f>IF(OR(ISBLANK(E650),ISBLANK(C650)),"",IF(COUNTIF($E$8:E650,E650)&gt;1,"",(MAX($A$7:A649)+1)))</f>
        <v>17</v>
      </c>
      <c r="B650" s="34">
        <f>IF(ISBLANK(C650),"",SUBTOTAL(3,$C$8:C650))</f>
        <v>44</v>
      </c>
      <c r="C650" s="80" t="s">
        <v>1376</v>
      </c>
      <c r="D650" s="50" t="s">
        <v>1377</v>
      </c>
      <c r="E650" s="50" t="s">
        <v>1378</v>
      </c>
      <c r="F650" s="35" t="str">
        <f t="shared" si="44"/>
        <v/>
      </c>
      <c r="G650" s="36" t="str">
        <f t="shared" si="45"/>
        <v/>
      </c>
      <c r="H650" s="51" t="str">
        <f t="shared" si="43"/>
        <v/>
      </c>
      <c r="I650" s="51" t="str">
        <f t="shared" si="43"/>
        <v/>
      </c>
      <c r="J650" s="51" t="str">
        <f t="shared" si="43"/>
        <v/>
      </c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  <c r="AJ650" s="37"/>
      <c r="AK650" s="37"/>
      <c r="AM650" s="38"/>
      <c r="AN650" s="38"/>
      <c r="AO650" s="38"/>
      <c r="AP650" s="38"/>
      <c r="AQ650" s="38"/>
      <c r="AR650" s="38"/>
      <c r="AS650" s="38"/>
      <c r="AT650" s="38"/>
      <c r="AU650" s="38"/>
      <c r="AV650" s="38"/>
      <c r="AW650" s="38"/>
      <c r="AX650" s="38"/>
      <c r="AY650" s="38"/>
      <c r="AZ650" s="38"/>
      <c r="BA650" s="38"/>
      <c r="BB650" s="38"/>
      <c r="BC650" s="38"/>
      <c r="BD650" s="38"/>
      <c r="BE650" s="77">
        <f t="shared" si="46"/>
        <v>0</v>
      </c>
      <c r="BF650" s="38"/>
    </row>
    <row r="651" spans="1:58" ht="22.5" hidden="1" customHeight="1">
      <c r="A651" s="33" t="str">
        <f>IF(OR(ISBLANK(E651),ISBLANK(C651)),"",IF(COUNTIF($E$8:E651,E651)&gt;1,"",(MAX($A$7:A650)+1)))</f>
        <v/>
      </c>
      <c r="B651" s="34">
        <f>IF(ISBLANK(C651),"",SUBTOTAL(3,$C$8:C651))</f>
        <v>44</v>
      </c>
      <c r="C651" s="80" t="s">
        <v>1379</v>
      </c>
      <c r="D651" s="50" t="s">
        <v>1380</v>
      </c>
      <c r="E651" s="50" t="s">
        <v>1378</v>
      </c>
      <c r="F651" s="35" t="str">
        <f t="shared" si="44"/>
        <v/>
      </c>
      <c r="G651" s="36" t="str">
        <f t="shared" si="45"/>
        <v/>
      </c>
      <c r="H651" s="51" t="str">
        <f t="shared" si="43"/>
        <v/>
      </c>
      <c r="I651" s="51" t="str">
        <f t="shared" si="43"/>
        <v/>
      </c>
      <c r="J651" s="51" t="str">
        <f t="shared" si="43"/>
        <v/>
      </c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  <c r="AJ651" s="37"/>
      <c r="AK651" s="37"/>
      <c r="AM651" s="38"/>
      <c r="AN651" s="38"/>
      <c r="AO651" s="38"/>
      <c r="AP651" s="38"/>
      <c r="AQ651" s="38"/>
      <c r="AR651" s="38"/>
      <c r="AS651" s="38"/>
      <c r="AT651" s="38"/>
      <c r="AU651" s="38"/>
      <c r="AV651" s="38"/>
      <c r="AW651" s="38"/>
      <c r="AX651" s="38"/>
      <c r="AY651" s="38"/>
      <c r="AZ651" s="38"/>
      <c r="BA651" s="38"/>
      <c r="BB651" s="38"/>
      <c r="BC651" s="38"/>
      <c r="BD651" s="38"/>
      <c r="BE651" s="77">
        <f t="shared" si="46"/>
        <v>0</v>
      </c>
      <c r="BF651" s="38"/>
    </row>
    <row r="652" spans="1:58" ht="22.5" hidden="1" customHeight="1">
      <c r="A652" s="33" t="str">
        <f>IF(OR(ISBLANK(E652),ISBLANK(C652)),"",IF(COUNTIF($E$8:E652,E652)&gt;1,"",(MAX($A$7:A651)+1)))</f>
        <v/>
      </c>
      <c r="B652" s="34">
        <f>IF(ISBLANK(C652),"",SUBTOTAL(3,$C$8:C652))</f>
        <v>44</v>
      </c>
      <c r="C652" s="80" t="s">
        <v>1381</v>
      </c>
      <c r="D652" s="50" t="s">
        <v>1382</v>
      </c>
      <c r="E652" s="50" t="s">
        <v>1378</v>
      </c>
      <c r="F652" s="35" t="str">
        <f t="shared" si="44"/>
        <v/>
      </c>
      <c r="G652" s="36" t="str">
        <f t="shared" si="45"/>
        <v>A</v>
      </c>
      <c r="H652" s="51">
        <f t="shared" si="43"/>
        <v>2</v>
      </c>
      <c r="I652" s="51">
        <f t="shared" si="43"/>
        <v>3</v>
      </c>
      <c r="J652" s="51">
        <f t="shared" si="43"/>
        <v>3</v>
      </c>
      <c r="K652" s="37" t="s">
        <v>47</v>
      </c>
      <c r="L652" s="37"/>
      <c r="M652" s="37"/>
      <c r="N652" s="37"/>
      <c r="O652" s="37" t="s">
        <v>47</v>
      </c>
      <c r="P652" s="37"/>
      <c r="Q652" s="37" t="s">
        <v>47</v>
      </c>
      <c r="R652" s="37"/>
      <c r="S652" s="37"/>
      <c r="T652" s="37"/>
      <c r="U652" s="37" t="s">
        <v>47</v>
      </c>
      <c r="V652" s="37"/>
      <c r="W652" s="37"/>
      <c r="X652" s="84"/>
      <c r="Y652" s="37" t="s">
        <v>47</v>
      </c>
      <c r="Z652" s="37"/>
      <c r="AA652" s="37"/>
      <c r="AB652" s="37" t="s">
        <v>47</v>
      </c>
      <c r="AC652" s="37"/>
      <c r="AD652" s="37"/>
      <c r="AE652" s="37" t="s">
        <v>47</v>
      </c>
      <c r="AF652" s="37"/>
      <c r="AG652" s="37" t="s">
        <v>47</v>
      </c>
      <c r="AH652" s="37"/>
      <c r="AI652" s="37"/>
      <c r="AJ652" s="37"/>
      <c r="AK652" s="37"/>
      <c r="AM652" s="38"/>
      <c r="AN652" s="38"/>
      <c r="AO652" s="38"/>
      <c r="AP652" s="38"/>
      <c r="AQ652" s="38"/>
      <c r="AR652" s="38"/>
      <c r="AS652" s="38"/>
      <c r="AT652" s="38"/>
      <c r="AU652" s="38"/>
      <c r="AV652" s="38" t="s">
        <v>47</v>
      </c>
      <c r="AW652" s="38" t="s">
        <v>47</v>
      </c>
      <c r="AX652" s="38" t="s">
        <v>47</v>
      </c>
      <c r="AY652" s="38"/>
      <c r="AZ652" s="38"/>
      <c r="BA652" s="38"/>
      <c r="BB652" s="38"/>
      <c r="BC652" s="38"/>
      <c r="BD652" s="38"/>
      <c r="BE652" s="77">
        <f t="shared" si="46"/>
        <v>3</v>
      </c>
      <c r="BF652" s="38"/>
    </row>
    <row r="653" spans="1:58" ht="22.5" hidden="1" customHeight="1">
      <c r="A653" s="33" t="str">
        <f>IF(OR(ISBLANK(E653),ISBLANK(C653)),"",IF(COUNTIF($E$8:E653,E653)&gt;1,"",(MAX($A$7:A652)+1)))</f>
        <v/>
      </c>
      <c r="B653" s="34">
        <f>IF(ISBLANK(C653),"",SUBTOTAL(3,$C$8:C653))</f>
        <v>44</v>
      </c>
      <c r="C653" s="80" t="s">
        <v>1383</v>
      </c>
      <c r="D653" s="50" t="s">
        <v>1384</v>
      </c>
      <c r="E653" s="50" t="s">
        <v>1378</v>
      </c>
      <c r="F653" s="35" t="str">
        <f t="shared" si="44"/>
        <v/>
      </c>
      <c r="G653" s="36" t="str">
        <f t="shared" si="45"/>
        <v>B</v>
      </c>
      <c r="H653" s="51">
        <f t="shared" si="43"/>
        <v>1</v>
      </c>
      <c r="I653" s="51">
        <f t="shared" si="43"/>
        <v>4</v>
      </c>
      <c r="J653" s="51">
        <f t="shared" si="43"/>
        <v>3</v>
      </c>
      <c r="K653" s="37" t="s">
        <v>47</v>
      </c>
      <c r="L653" s="37"/>
      <c r="M653" s="37"/>
      <c r="N653" s="37"/>
      <c r="O653" s="37" t="s">
        <v>47</v>
      </c>
      <c r="P653" s="37"/>
      <c r="Q653" s="37"/>
      <c r="R653" s="37" t="s">
        <v>47</v>
      </c>
      <c r="S653" s="37"/>
      <c r="T653" s="37"/>
      <c r="U653" s="37" t="s">
        <v>47</v>
      </c>
      <c r="V653" s="37"/>
      <c r="W653" s="37"/>
      <c r="X653" s="84"/>
      <c r="Y653" s="37" t="s">
        <v>47</v>
      </c>
      <c r="Z653" s="37"/>
      <c r="AA653" s="37"/>
      <c r="AB653" s="37" t="s">
        <v>47</v>
      </c>
      <c r="AC653" s="37"/>
      <c r="AD653" s="37"/>
      <c r="AE653" s="37" t="s">
        <v>47</v>
      </c>
      <c r="AF653" s="37"/>
      <c r="AG653" s="37" t="s">
        <v>47</v>
      </c>
      <c r="AH653" s="37"/>
      <c r="AI653" s="37"/>
      <c r="AJ653" s="37"/>
      <c r="AK653" s="37"/>
      <c r="AM653" s="38"/>
      <c r="AN653" s="38"/>
      <c r="AO653" s="38"/>
      <c r="AP653" s="38"/>
      <c r="AQ653" s="38"/>
      <c r="AR653" s="38"/>
      <c r="AS653" s="38" t="s">
        <v>47</v>
      </c>
      <c r="AT653" s="38" t="s">
        <v>47</v>
      </c>
      <c r="AU653" s="38" t="s">
        <v>47</v>
      </c>
      <c r="AV653" s="38"/>
      <c r="AW653" s="38" t="s">
        <v>47</v>
      </c>
      <c r="AX653" s="38"/>
      <c r="AY653" s="38"/>
      <c r="AZ653" s="38" t="s">
        <v>47</v>
      </c>
      <c r="BA653" s="38"/>
      <c r="BB653" s="38"/>
      <c r="BC653" s="38"/>
      <c r="BD653" s="38" t="s">
        <v>47</v>
      </c>
      <c r="BE653" s="77">
        <f t="shared" si="46"/>
        <v>6</v>
      </c>
      <c r="BF653" s="38"/>
    </row>
    <row r="654" spans="1:58" ht="22.5" hidden="1" customHeight="1">
      <c r="A654" s="33" t="str">
        <f>IF(OR(ISBLANK(E654),ISBLANK(C654)),"",IF(COUNTIF($E$8:E654,E654)&gt;1,"",(MAX($A$7:A653)+1)))</f>
        <v/>
      </c>
      <c r="B654" s="34">
        <f>IF(ISBLANK(C654),"",SUBTOTAL(3,$C$8:C654))</f>
        <v>44</v>
      </c>
      <c r="C654" s="80" t="s">
        <v>1385</v>
      </c>
      <c r="D654" s="50" t="s">
        <v>1386</v>
      </c>
      <c r="E654" s="50" t="s">
        <v>1378</v>
      </c>
      <c r="F654" s="35" t="str">
        <f t="shared" si="44"/>
        <v/>
      </c>
      <c r="G654" s="36" t="str">
        <f t="shared" si="45"/>
        <v>C</v>
      </c>
      <c r="H654" s="51" t="str">
        <f t="shared" si="43"/>
        <v/>
      </c>
      <c r="I654" s="51">
        <f t="shared" si="43"/>
        <v>4</v>
      </c>
      <c r="J654" s="51">
        <f t="shared" si="43"/>
        <v>4</v>
      </c>
      <c r="K654" s="37"/>
      <c r="L654" s="37" t="s">
        <v>47</v>
      </c>
      <c r="M654" s="37"/>
      <c r="N654" s="37"/>
      <c r="O654" s="37" t="s">
        <v>47</v>
      </c>
      <c r="P654" s="37"/>
      <c r="Q654" s="37"/>
      <c r="R654" s="37" t="s">
        <v>47</v>
      </c>
      <c r="S654" s="37"/>
      <c r="T654" s="37"/>
      <c r="U654" s="37"/>
      <c r="V654" s="37" t="s">
        <v>47</v>
      </c>
      <c r="W654" s="37"/>
      <c r="X654" s="84"/>
      <c r="Y654" s="37" t="s">
        <v>47</v>
      </c>
      <c r="Z654" s="37"/>
      <c r="AA654" s="37"/>
      <c r="AB654" s="37" t="s">
        <v>47</v>
      </c>
      <c r="AC654" s="37"/>
      <c r="AD654" s="37"/>
      <c r="AE654" s="37" t="s">
        <v>47</v>
      </c>
      <c r="AF654" s="37"/>
      <c r="AG654" s="37" t="s">
        <v>47</v>
      </c>
      <c r="AH654" s="37"/>
      <c r="AI654" s="37"/>
      <c r="AJ654" s="37"/>
      <c r="AK654" s="37"/>
      <c r="AM654" s="38"/>
      <c r="AN654" s="38"/>
      <c r="AO654" s="38"/>
      <c r="AP654" s="38"/>
      <c r="AQ654" s="38"/>
      <c r="AR654" s="38" t="s">
        <v>47</v>
      </c>
      <c r="AS654" s="38" t="s">
        <v>47</v>
      </c>
      <c r="AT654" s="38"/>
      <c r="AU654" s="38"/>
      <c r="AV654" s="38"/>
      <c r="AW654" s="38"/>
      <c r="AX654" s="38"/>
      <c r="AY654" s="38"/>
      <c r="AZ654" s="38"/>
      <c r="BA654" s="38"/>
      <c r="BB654" s="38"/>
      <c r="BC654" s="38"/>
      <c r="BD654" s="38"/>
      <c r="BE654" s="77">
        <f t="shared" si="46"/>
        <v>2</v>
      </c>
      <c r="BF654" s="38"/>
    </row>
    <row r="655" spans="1:58" ht="22.5" hidden="1" customHeight="1">
      <c r="A655" s="33" t="str">
        <f>IF(OR(ISBLANK(E655),ISBLANK(C655)),"",IF(COUNTIF($E$8:E655,E655)&gt;1,"",(MAX($A$7:A654)+1)))</f>
        <v/>
      </c>
      <c r="B655" s="34">
        <f>IF(ISBLANK(C655),"",SUBTOTAL(3,$C$8:C655))</f>
        <v>44</v>
      </c>
      <c r="C655" s="81" t="s">
        <v>1387</v>
      </c>
      <c r="D655" s="55" t="s">
        <v>1388</v>
      </c>
      <c r="E655" s="50" t="s">
        <v>1378</v>
      </c>
      <c r="F655" s="35" t="str">
        <f t="shared" si="44"/>
        <v/>
      </c>
      <c r="G655" s="36" t="str">
        <f t="shared" si="45"/>
        <v>C</v>
      </c>
      <c r="H655" s="51" t="str">
        <f t="shared" si="43"/>
        <v/>
      </c>
      <c r="I655" s="51">
        <f t="shared" si="43"/>
        <v>5</v>
      </c>
      <c r="J655" s="51">
        <f t="shared" si="43"/>
        <v>3</v>
      </c>
      <c r="K655" s="37"/>
      <c r="L655" s="37" t="s">
        <v>47</v>
      </c>
      <c r="M655" s="37"/>
      <c r="N655" s="37"/>
      <c r="O655" s="37" t="s">
        <v>47</v>
      </c>
      <c r="P655" s="37"/>
      <c r="Q655" s="37"/>
      <c r="R655" s="37" t="s">
        <v>47</v>
      </c>
      <c r="S655" s="37"/>
      <c r="T655" s="37"/>
      <c r="U655" s="37" t="s">
        <v>47</v>
      </c>
      <c r="V655" s="37"/>
      <c r="W655" s="37"/>
      <c r="X655" s="84"/>
      <c r="Y655" s="37" t="s">
        <v>47</v>
      </c>
      <c r="Z655" s="37"/>
      <c r="AA655" s="37"/>
      <c r="AB655" s="37" t="s">
        <v>47</v>
      </c>
      <c r="AC655" s="37"/>
      <c r="AD655" s="37"/>
      <c r="AE655" s="37" t="s">
        <v>47</v>
      </c>
      <c r="AF655" s="37"/>
      <c r="AG655" s="37" t="s">
        <v>47</v>
      </c>
      <c r="AH655" s="37"/>
      <c r="AI655" s="37"/>
      <c r="AJ655" s="37"/>
      <c r="AK655" s="37"/>
      <c r="AM655" s="38"/>
      <c r="AN655" s="38"/>
      <c r="AO655" s="38"/>
      <c r="AP655" s="38"/>
      <c r="AQ655" s="38"/>
      <c r="AR655" s="38"/>
      <c r="AS655" s="38" t="s">
        <v>47</v>
      </c>
      <c r="AT655" s="38"/>
      <c r="AU655" s="38"/>
      <c r="AV655" s="38"/>
      <c r="AW655" s="38" t="s">
        <v>47</v>
      </c>
      <c r="AX655" s="38"/>
      <c r="AY655" s="38"/>
      <c r="AZ655" s="38"/>
      <c r="BA655" s="38"/>
      <c r="BB655" s="38"/>
      <c r="BC655" s="38"/>
      <c r="BD655" s="38"/>
      <c r="BE655" s="77">
        <f t="shared" si="46"/>
        <v>2</v>
      </c>
      <c r="BF655" s="38"/>
    </row>
    <row r="656" spans="1:58" ht="22.5" hidden="1" customHeight="1">
      <c r="A656" s="33" t="str">
        <f>IF(OR(ISBLANK(E656),ISBLANK(C656)),"",IF(COUNTIF($E$8:E656,E656)&gt;1,"",(MAX($A$7:A655)+1)))</f>
        <v/>
      </c>
      <c r="B656" s="34">
        <f>IF(ISBLANK(C656),"",SUBTOTAL(3,$C$8:C656))</f>
        <v>44</v>
      </c>
      <c r="C656" s="81" t="s">
        <v>1389</v>
      </c>
      <c r="D656" s="55" t="s">
        <v>1390</v>
      </c>
      <c r="E656" s="50" t="s">
        <v>1378</v>
      </c>
      <c r="F656" s="35" t="str">
        <f t="shared" si="44"/>
        <v/>
      </c>
      <c r="G656" s="36" t="str">
        <f t="shared" si="45"/>
        <v>C</v>
      </c>
      <c r="H656" s="51" t="str">
        <f t="shared" si="43"/>
        <v/>
      </c>
      <c r="I656" s="51">
        <f t="shared" si="43"/>
        <v>2</v>
      </c>
      <c r="J656" s="51">
        <f t="shared" si="43"/>
        <v>6</v>
      </c>
      <c r="K656" s="37"/>
      <c r="L656" s="37" t="s">
        <v>47</v>
      </c>
      <c r="M656" s="37"/>
      <c r="N656" s="37"/>
      <c r="O656" s="37"/>
      <c r="P656" s="37" t="s">
        <v>47</v>
      </c>
      <c r="Q656" s="37"/>
      <c r="R656" s="37"/>
      <c r="S656" s="37" t="s">
        <v>47</v>
      </c>
      <c r="T656" s="37"/>
      <c r="U656" s="37"/>
      <c r="V656" s="37" t="s">
        <v>47</v>
      </c>
      <c r="W656" s="37"/>
      <c r="X656" s="84"/>
      <c r="Y656" s="37" t="s">
        <v>47</v>
      </c>
      <c r="Z656" s="37"/>
      <c r="AA656" s="37"/>
      <c r="AB656" s="37" t="s">
        <v>47</v>
      </c>
      <c r="AC656" s="37"/>
      <c r="AD656" s="37"/>
      <c r="AE656" s="37" t="s">
        <v>47</v>
      </c>
      <c r="AF656" s="37"/>
      <c r="AG656" s="37" t="s">
        <v>47</v>
      </c>
      <c r="AH656" s="37"/>
      <c r="AI656" s="37"/>
      <c r="AJ656" s="37"/>
      <c r="AK656" s="37"/>
      <c r="AM656" s="38"/>
      <c r="AN656" s="38"/>
      <c r="AO656" s="38"/>
      <c r="AP656" s="38"/>
      <c r="AQ656" s="38"/>
      <c r="AR656" s="38" t="s">
        <v>47</v>
      </c>
      <c r="AS656" s="38" t="s">
        <v>47</v>
      </c>
      <c r="AT656" s="38"/>
      <c r="AU656" s="38"/>
      <c r="AV656" s="38"/>
      <c r="AW656" s="38"/>
      <c r="AX656" s="38"/>
      <c r="AY656" s="38"/>
      <c r="AZ656" s="38"/>
      <c r="BA656" s="38"/>
      <c r="BB656" s="38"/>
      <c r="BC656" s="38"/>
      <c r="BD656" s="38"/>
      <c r="BE656" s="77">
        <f t="shared" si="46"/>
        <v>2</v>
      </c>
      <c r="BF656" s="38"/>
    </row>
    <row r="657" spans="1:58" ht="22.5" hidden="1" customHeight="1">
      <c r="A657" s="33" t="str">
        <f>IF(OR(ISBLANK(E657),ISBLANK(C657)),"",IF(COUNTIF($E$8:E657,E657)&gt;1,"",(MAX($A$7:A656)+1)))</f>
        <v/>
      </c>
      <c r="B657" s="34">
        <f>IF(ISBLANK(C657),"",SUBTOTAL(3,$C$8:C657))</f>
        <v>44</v>
      </c>
      <c r="C657" s="81" t="s">
        <v>1391</v>
      </c>
      <c r="D657" s="55" t="s">
        <v>1392</v>
      </c>
      <c r="E657" s="50" t="s">
        <v>1378</v>
      </c>
      <c r="F657" s="35" t="str">
        <f t="shared" si="44"/>
        <v/>
      </c>
      <c r="G657" s="36" t="str">
        <f t="shared" si="45"/>
        <v>C</v>
      </c>
      <c r="H657" s="51" t="str">
        <f t="shared" si="43"/>
        <v/>
      </c>
      <c r="I657" s="51">
        <f t="shared" si="43"/>
        <v>2</v>
      </c>
      <c r="J657" s="51">
        <f t="shared" si="43"/>
        <v>6</v>
      </c>
      <c r="K657" s="37"/>
      <c r="L657" s="37" t="s">
        <v>47</v>
      </c>
      <c r="M657" s="37"/>
      <c r="N657" s="37"/>
      <c r="O657" s="37"/>
      <c r="P657" s="37" t="s">
        <v>47</v>
      </c>
      <c r="Q657" s="37"/>
      <c r="R657" s="37"/>
      <c r="S657" s="37" t="s">
        <v>47</v>
      </c>
      <c r="T657" s="37"/>
      <c r="U657" s="37"/>
      <c r="V657" s="37" t="s">
        <v>47</v>
      </c>
      <c r="W657" s="37"/>
      <c r="X657" s="84"/>
      <c r="Y657" s="37" t="s">
        <v>47</v>
      </c>
      <c r="Z657" s="37"/>
      <c r="AA657" s="37"/>
      <c r="AB657" s="37" t="s">
        <v>47</v>
      </c>
      <c r="AC657" s="37"/>
      <c r="AD657" s="37"/>
      <c r="AE657" s="37" t="s">
        <v>47</v>
      </c>
      <c r="AF657" s="37"/>
      <c r="AG657" s="37" t="s">
        <v>47</v>
      </c>
      <c r="AH657" s="37"/>
      <c r="AI657" s="37"/>
      <c r="AJ657" s="37"/>
      <c r="AK657" s="37"/>
      <c r="AM657" s="38"/>
      <c r="AN657" s="38"/>
      <c r="AO657" s="38"/>
      <c r="AP657" s="38"/>
      <c r="AQ657" s="38"/>
      <c r="AR657" s="38"/>
      <c r="AS657" s="38"/>
      <c r="AT657" s="38"/>
      <c r="AU657" s="38"/>
      <c r="AV657" s="38"/>
      <c r="AW657" s="38" t="s">
        <v>47</v>
      </c>
      <c r="AX657" s="38"/>
      <c r="AY657" s="38" t="s">
        <v>47</v>
      </c>
      <c r="AZ657" s="38"/>
      <c r="BA657" s="38"/>
      <c r="BB657" s="38"/>
      <c r="BC657" s="38"/>
      <c r="BD657" s="38"/>
      <c r="BE657" s="77">
        <f t="shared" si="46"/>
        <v>2</v>
      </c>
      <c r="BF657" s="38"/>
    </row>
    <row r="658" spans="1:58" ht="22.5" hidden="1" customHeight="1">
      <c r="A658" s="33" t="str">
        <f>IF(OR(ISBLANK(E658),ISBLANK(C658)),"",IF(COUNTIF($E$8:E658,E658)&gt;1,"",(MAX($A$7:A657)+1)))</f>
        <v/>
      </c>
      <c r="B658" s="34">
        <f>IF(ISBLANK(C658),"",SUBTOTAL(3,$C$8:C658))</f>
        <v>44</v>
      </c>
      <c r="C658" s="81" t="s">
        <v>1393</v>
      </c>
      <c r="D658" s="55" t="s">
        <v>1394</v>
      </c>
      <c r="E658" s="50" t="s">
        <v>1378</v>
      </c>
      <c r="F658" s="35" t="str">
        <f t="shared" si="44"/>
        <v/>
      </c>
      <c r="G658" s="36" t="str">
        <f t="shared" si="45"/>
        <v>C</v>
      </c>
      <c r="H658" s="51" t="str">
        <f t="shared" si="43"/>
        <v/>
      </c>
      <c r="I658" s="51">
        <f t="shared" si="43"/>
        <v>3</v>
      </c>
      <c r="J658" s="51">
        <f t="shared" si="43"/>
        <v>5</v>
      </c>
      <c r="K658" s="37"/>
      <c r="L658" s="37" t="s">
        <v>47</v>
      </c>
      <c r="M658" s="37"/>
      <c r="N658" s="37"/>
      <c r="O658" s="37"/>
      <c r="P658" s="37" t="s">
        <v>47</v>
      </c>
      <c r="Q658" s="37"/>
      <c r="R658" s="37" t="s">
        <v>47</v>
      </c>
      <c r="S658" s="37"/>
      <c r="T658" s="37"/>
      <c r="U658" s="37"/>
      <c r="V658" s="37" t="s">
        <v>47</v>
      </c>
      <c r="W658" s="37"/>
      <c r="X658" s="84"/>
      <c r="Y658" s="37" t="s">
        <v>47</v>
      </c>
      <c r="Z658" s="37"/>
      <c r="AA658" s="37"/>
      <c r="AB658" s="37" t="s">
        <v>47</v>
      </c>
      <c r="AC658" s="37"/>
      <c r="AD658" s="37"/>
      <c r="AE658" s="37" t="s">
        <v>47</v>
      </c>
      <c r="AF658" s="37"/>
      <c r="AG658" s="37" t="s">
        <v>47</v>
      </c>
      <c r="AH658" s="37"/>
      <c r="AI658" s="37"/>
      <c r="AJ658" s="37"/>
      <c r="AK658" s="37"/>
      <c r="AM658" s="38"/>
      <c r="AN658" s="38"/>
      <c r="AO658" s="38"/>
      <c r="AP658" s="38"/>
      <c r="AQ658" s="38"/>
      <c r="AR658" s="38" t="s">
        <v>47</v>
      </c>
      <c r="AS658" s="38" t="s">
        <v>47</v>
      </c>
      <c r="AT658" s="38"/>
      <c r="AU658" s="38"/>
      <c r="AV658" s="38"/>
      <c r="AW658" s="38"/>
      <c r="AX658" s="38"/>
      <c r="AY658" s="38"/>
      <c r="AZ658" s="38"/>
      <c r="BA658" s="38"/>
      <c r="BB658" s="38"/>
      <c r="BC658" s="38"/>
      <c r="BD658" s="38"/>
      <c r="BE658" s="77">
        <f t="shared" si="46"/>
        <v>2</v>
      </c>
      <c r="BF658" s="38"/>
    </row>
    <row r="659" spans="1:58" ht="22.5" hidden="1" customHeight="1">
      <c r="A659" s="33" t="str">
        <f>IF(OR(ISBLANK(E659),ISBLANK(C659)),"",IF(COUNTIF($E$8:E659,E659)&gt;1,"",(MAX($A$7:A658)+1)))</f>
        <v/>
      </c>
      <c r="B659" s="34">
        <f>IF(ISBLANK(C659),"",SUBTOTAL(3,$C$8:C659))</f>
        <v>44</v>
      </c>
      <c r="C659" s="81" t="s">
        <v>1395</v>
      </c>
      <c r="D659" s="55" t="s">
        <v>1396</v>
      </c>
      <c r="E659" s="50" t="s">
        <v>1378</v>
      </c>
      <c r="F659" s="35" t="str">
        <f t="shared" si="44"/>
        <v/>
      </c>
      <c r="G659" s="36" t="str">
        <f t="shared" si="45"/>
        <v>C</v>
      </c>
      <c r="H659" s="51" t="str">
        <f t="shared" si="43"/>
        <v/>
      </c>
      <c r="I659" s="51">
        <f t="shared" si="43"/>
        <v>5</v>
      </c>
      <c r="J659" s="51">
        <f t="shared" si="43"/>
        <v>3</v>
      </c>
      <c r="K659" s="37"/>
      <c r="L659" s="37" t="s">
        <v>47</v>
      </c>
      <c r="M659" s="37"/>
      <c r="N659" s="37"/>
      <c r="O659" s="37" t="s">
        <v>47</v>
      </c>
      <c r="P659" s="37"/>
      <c r="Q659" s="37"/>
      <c r="R659" s="37" t="s">
        <v>47</v>
      </c>
      <c r="S659" s="37"/>
      <c r="T659" s="37"/>
      <c r="U659" s="37" t="s">
        <v>47</v>
      </c>
      <c r="V659" s="37"/>
      <c r="W659" s="37"/>
      <c r="X659" s="84"/>
      <c r="Y659" s="37" t="s">
        <v>47</v>
      </c>
      <c r="Z659" s="37"/>
      <c r="AA659" s="37"/>
      <c r="AB659" s="37" t="s">
        <v>47</v>
      </c>
      <c r="AC659" s="37"/>
      <c r="AD659" s="37"/>
      <c r="AE659" s="37" t="s">
        <v>47</v>
      </c>
      <c r="AF659" s="37"/>
      <c r="AG659" s="37" t="s">
        <v>47</v>
      </c>
      <c r="AH659" s="37"/>
      <c r="AI659" s="37"/>
      <c r="AJ659" s="37"/>
      <c r="AK659" s="37"/>
      <c r="AM659" s="38"/>
      <c r="AN659" s="38"/>
      <c r="AO659" s="38"/>
      <c r="AP659" s="38"/>
      <c r="AQ659" s="38"/>
      <c r="AR659" s="38"/>
      <c r="AS659" s="38" t="s">
        <v>47</v>
      </c>
      <c r="AT659" s="38"/>
      <c r="AU659" s="38" t="s">
        <v>47</v>
      </c>
      <c r="AV659" s="38"/>
      <c r="AW659" s="38" t="s">
        <v>47</v>
      </c>
      <c r="AX659" s="38"/>
      <c r="AY659" s="38"/>
      <c r="AZ659" s="38"/>
      <c r="BA659" s="38"/>
      <c r="BB659" s="38"/>
      <c r="BC659" s="38"/>
      <c r="BD659" s="38"/>
      <c r="BE659" s="77">
        <f t="shared" si="46"/>
        <v>3</v>
      </c>
      <c r="BF659" s="38"/>
    </row>
    <row r="660" spans="1:58" ht="22.5" hidden="1" customHeight="1">
      <c r="A660" s="33" t="str">
        <f>IF(OR(ISBLANK(E660),ISBLANK(C660)),"",IF(COUNTIF($E$8:E660,E660)&gt;1,"",(MAX($A$7:A659)+1)))</f>
        <v/>
      </c>
      <c r="B660" s="34">
        <f>IF(ISBLANK(C660),"",SUBTOTAL(3,$C$8:C660))</f>
        <v>44</v>
      </c>
      <c r="C660" s="81" t="s">
        <v>1397</v>
      </c>
      <c r="D660" s="55" t="s">
        <v>1398</v>
      </c>
      <c r="E660" s="50" t="s">
        <v>1378</v>
      </c>
      <c r="F660" s="35" t="str">
        <f t="shared" si="44"/>
        <v/>
      </c>
      <c r="G660" s="36" t="str">
        <f t="shared" si="45"/>
        <v>B</v>
      </c>
      <c r="H660" s="51">
        <f t="shared" si="43"/>
        <v>1</v>
      </c>
      <c r="I660" s="51">
        <f t="shared" si="43"/>
        <v>4</v>
      </c>
      <c r="J660" s="51">
        <f t="shared" si="43"/>
        <v>3</v>
      </c>
      <c r="K660" s="37" t="s">
        <v>47</v>
      </c>
      <c r="L660" s="37"/>
      <c r="M660" s="37"/>
      <c r="N660" s="37"/>
      <c r="O660" s="37" t="s">
        <v>47</v>
      </c>
      <c r="P660" s="37"/>
      <c r="Q660" s="37"/>
      <c r="R660" s="37" t="s">
        <v>47</v>
      </c>
      <c r="S660" s="37"/>
      <c r="T660" s="37"/>
      <c r="U660" s="37" t="s">
        <v>47</v>
      </c>
      <c r="V660" s="37"/>
      <c r="W660" s="37"/>
      <c r="X660" s="84"/>
      <c r="Y660" s="37" t="s">
        <v>47</v>
      </c>
      <c r="Z660" s="37"/>
      <c r="AA660" s="37"/>
      <c r="AB660" s="37" t="s">
        <v>47</v>
      </c>
      <c r="AC660" s="37"/>
      <c r="AD660" s="37"/>
      <c r="AE660" s="37" t="s">
        <v>47</v>
      </c>
      <c r="AF660" s="37"/>
      <c r="AG660" s="37" t="s">
        <v>47</v>
      </c>
      <c r="AH660" s="37"/>
      <c r="AI660" s="37"/>
      <c r="AJ660" s="37"/>
      <c r="AK660" s="37"/>
      <c r="AM660" s="38"/>
      <c r="AN660" s="38"/>
      <c r="AO660" s="38"/>
      <c r="AP660" s="38"/>
      <c r="AQ660" s="38"/>
      <c r="AR660" s="38"/>
      <c r="AS660" s="38" t="s">
        <v>47</v>
      </c>
      <c r="AT660" s="38" t="s">
        <v>47</v>
      </c>
      <c r="AU660" s="38" t="s">
        <v>47</v>
      </c>
      <c r="AV660" s="38"/>
      <c r="AW660" s="38"/>
      <c r="AX660" s="38"/>
      <c r="AY660" s="38" t="s">
        <v>47</v>
      </c>
      <c r="AZ660" s="38" t="s">
        <v>47</v>
      </c>
      <c r="BA660" s="38"/>
      <c r="BB660" s="38"/>
      <c r="BC660" s="38"/>
      <c r="BD660" s="38"/>
      <c r="BE660" s="77">
        <f t="shared" si="46"/>
        <v>5</v>
      </c>
      <c r="BF660" s="38"/>
    </row>
    <row r="661" spans="1:58" ht="22.5" hidden="1" customHeight="1">
      <c r="A661" s="33" t="str">
        <f>IF(OR(ISBLANK(E661),ISBLANK(C661)),"",IF(COUNTIF($E$8:E661,E661)&gt;1,"",(MAX($A$7:A660)+1)))</f>
        <v/>
      </c>
      <c r="B661" s="34">
        <f>IF(ISBLANK(C661),"",SUBTOTAL(3,$C$8:C661))</f>
        <v>44</v>
      </c>
      <c r="C661" s="81" t="s">
        <v>1399</v>
      </c>
      <c r="D661" s="55" t="s">
        <v>1400</v>
      </c>
      <c r="E661" s="50" t="s">
        <v>1378</v>
      </c>
      <c r="F661" s="35" t="str">
        <f t="shared" si="44"/>
        <v/>
      </c>
      <c r="G661" s="36" t="str">
        <f t="shared" si="45"/>
        <v>A</v>
      </c>
      <c r="H661" s="51">
        <f t="shared" si="43"/>
        <v>2</v>
      </c>
      <c r="I661" s="51">
        <f t="shared" si="43"/>
        <v>3</v>
      </c>
      <c r="J661" s="51">
        <f t="shared" si="43"/>
        <v>3</v>
      </c>
      <c r="K661" s="37" t="s">
        <v>47</v>
      </c>
      <c r="L661" s="37"/>
      <c r="M661" s="37"/>
      <c r="N661" s="37" t="s">
        <v>47</v>
      </c>
      <c r="O661" s="37"/>
      <c r="P661" s="37"/>
      <c r="Q661" s="37"/>
      <c r="R661" s="37" t="s">
        <v>47</v>
      </c>
      <c r="S661" s="37"/>
      <c r="T661" s="37"/>
      <c r="U661" s="37" t="s">
        <v>47</v>
      </c>
      <c r="V661" s="37"/>
      <c r="W661" s="37"/>
      <c r="X661" s="84"/>
      <c r="Y661" s="37" t="s">
        <v>47</v>
      </c>
      <c r="Z661" s="37"/>
      <c r="AA661" s="37"/>
      <c r="AB661" s="37" t="s">
        <v>47</v>
      </c>
      <c r="AC661" s="37"/>
      <c r="AD661" s="37"/>
      <c r="AE661" s="37" t="s">
        <v>47</v>
      </c>
      <c r="AF661" s="37"/>
      <c r="AG661" s="37" t="s">
        <v>47</v>
      </c>
      <c r="AH661" s="37"/>
      <c r="AI661" s="37"/>
      <c r="AJ661" s="37"/>
      <c r="AK661" s="37"/>
      <c r="AM661" s="38"/>
      <c r="AN661" s="38"/>
      <c r="AO661" s="38"/>
      <c r="AP661" s="38"/>
      <c r="AQ661" s="38"/>
      <c r="AR661" s="38"/>
      <c r="AS661" s="38" t="s">
        <v>47</v>
      </c>
      <c r="AT661" s="38" t="s">
        <v>47</v>
      </c>
      <c r="AU661" s="38" t="s">
        <v>47</v>
      </c>
      <c r="AV661" s="38"/>
      <c r="AW661" s="38" t="s">
        <v>47</v>
      </c>
      <c r="AX661" s="38"/>
      <c r="AY661" s="38" t="s">
        <v>47</v>
      </c>
      <c r="AZ661" s="38" t="s">
        <v>47</v>
      </c>
      <c r="BA661" s="38"/>
      <c r="BB661" s="38"/>
      <c r="BC661" s="38"/>
      <c r="BD661" s="38"/>
      <c r="BE661" s="77">
        <f t="shared" si="46"/>
        <v>6</v>
      </c>
      <c r="BF661" s="38"/>
    </row>
    <row r="662" spans="1:58" ht="22.5" hidden="1" customHeight="1">
      <c r="A662" s="33" t="str">
        <f>IF(OR(ISBLANK(E662),ISBLANK(C662)),"",IF(COUNTIF($E$8:E662,E662)&gt;1,"",(MAX($A$7:A661)+1)))</f>
        <v/>
      </c>
      <c r="B662" s="34">
        <f>IF(ISBLANK(C662),"",SUBTOTAL(3,$C$8:C662))</f>
        <v>44</v>
      </c>
      <c r="C662" s="81" t="s">
        <v>1401</v>
      </c>
      <c r="D662" s="55" t="s">
        <v>1402</v>
      </c>
      <c r="E662" s="50" t="s">
        <v>1378</v>
      </c>
      <c r="F662" s="35" t="str">
        <f t="shared" si="44"/>
        <v/>
      </c>
      <c r="G662" s="36" t="str">
        <f t="shared" si="45"/>
        <v>C</v>
      </c>
      <c r="H662" s="51" t="str">
        <f t="shared" si="43"/>
        <v/>
      </c>
      <c r="I662" s="51">
        <f t="shared" si="43"/>
        <v>3</v>
      </c>
      <c r="J662" s="51">
        <f t="shared" si="43"/>
        <v>5</v>
      </c>
      <c r="K662" s="37"/>
      <c r="L662" s="37" t="s">
        <v>47</v>
      </c>
      <c r="M662" s="37"/>
      <c r="N662" s="37"/>
      <c r="O662" s="37" t="s">
        <v>47</v>
      </c>
      <c r="P662" s="37"/>
      <c r="Q662" s="37"/>
      <c r="R662" s="37"/>
      <c r="S662" s="37" t="s">
        <v>47</v>
      </c>
      <c r="T662" s="37"/>
      <c r="U662" s="37"/>
      <c r="V662" s="37" t="s">
        <v>47</v>
      </c>
      <c r="W662" s="37"/>
      <c r="X662" s="84"/>
      <c r="Y662" s="37" t="s">
        <v>47</v>
      </c>
      <c r="Z662" s="37"/>
      <c r="AA662" s="37"/>
      <c r="AB662" s="37" t="s">
        <v>47</v>
      </c>
      <c r="AC662" s="37"/>
      <c r="AD662" s="37"/>
      <c r="AE662" s="37" t="s">
        <v>47</v>
      </c>
      <c r="AF662" s="37"/>
      <c r="AG662" s="37" t="s">
        <v>47</v>
      </c>
      <c r="AH662" s="37"/>
      <c r="AI662" s="37"/>
      <c r="AJ662" s="37"/>
      <c r="AK662" s="37"/>
      <c r="AM662" s="38"/>
      <c r="AN662" s="38"/>
      <c r="AO662" s="38"/>
      <c r="AP662" s="38"/>
      <c r="AQ662" s="38"/>
      <c r="AR662" s="38" t="s">
        <v>47</v>
      </c>
      <c r="AS662" s="38" t="s">
        <v>47</v>
      </c>
      <c r="AT662" s="38"/>
      <c r="AU662" s="38"/>
      <c r="AV662" s="38"/>
      <c r="AW662" s="38" t="s">
        <v>47</v>
      </c>
      <c r="AX662" s="38"/>
      <c r="AY662" s="38" t="s">
        <v>47</v>
      </c>
      <c r="AZ662" s="38"/>
      <c r="BA662" s="38"/>
      <c r="BB662" s="38"/>
      <c r="BC662" s="38"/>
      <c r="BD662" s="38"/>
      <c r="BE662" s="77">
        <f t="shared" si="46"/>
        <v>4</v>
      </c>
      <c r="BF662" s="38"/>
    </row>
    <row r="663" spans="1:58" ht="22.5" hidden="1" customHeight="1">
      <c r="A663" s="33" t="str">
        <f>IF(OR(ISBLANK(E663),ISBLANK(C663)),"",IF(COUNTIF($E$8:E663,E663)&gt;1,"",(MAX($A$7:A662)+1)))</f>
        <v/>
      </c>
      <c r="B663" s="34">
        <f>IF(ISBLANK(C663),"",SUBTOTAL(3,$C$8:C663))</f>
        <v>44</v>
      </c>
      <c r="C663" s="81" t="s">
        <v>1403</v>
      </c>
      <c r="D663" s="55" t="s">
        <v>1404</v>
      </c>
      <c r="E663" s="50" t="s">
        <v>1378</v>
      </c>
      <c r="F663" s="35" t="str">
        <f t="shared" si="44"/>
        <v/>
      </c>
      <c r="G663" s="36" t="str">
        <f t="shared" si="45"/>
        <v>C</v>
      </c>
      <c r="H663" s="51" t="str">
        <f t="shared" si="43"/>
        <v/>
      </c>
      <c r="I663" s="51">
        <f t="shared" si="43"/>
        <v>2</v>
      </c>
      <c r="J663" s="51">
        <f t="shared" si="43"/>
        <v>6</v>
      </c>
      <c r="K663" s="37"/>
      <c r="L663" s="37" t="s">
        <v>47</v>
      </c>
      <c r="M663" s="37"/>
      <c r="N663" s="37"/>
      <c r="O663" s="37"/>
      <c r="P663" s="37" t="s">
        <v>47</v>
      </c>
      <c r="Q663" s="37"/>
      <c r="R663" s="37"/>
      <c r="S663" s="37" t="s">
        <v>47</v>
      </c>
      <c r="T663" s="37"/>
      <c r="U663" s="37"/>
      <c r="V663" s="37" t="s">
        <v>47</v>
      </c>
      <c r="W663" s="37"/>
      <c r="X663" s="84"/>
      <c r="Y663" s="37" t="s">
        <v>47</v>
      </c>
      <c r="Z663" s="37"/>
      <c r="AA663" s="37"/>
      <c r="AB663" s="37" t="s">
        <v>47</v>
      </c>
      <c r="AC663" s="37"/>
      <c r="AD663" s="37"/>
      <c r="AE663" s="37" t="s">
        <v>47</v>
      </c>
      <c r="AF663" s="37"/>
      <c r="AG663" s="37" t="s">
        <v>47</v>
      </c>
      <c r="AH663" s="37"/>
      <c r="AI663" s="37"/>
      <c r="AJ663" s="37"/>
      <c r="AK663" s="37"/>
      <c r="AM663" s="38"/>
      <c r="AN663" s="38"/>
      <c r="AO663" s="38"/>
      <c r="AP663" s="38"/>
      <c r="AQ663" s="38"/>
      <c r="AR663" s="38"/>
      <c r="AS663" s="38" t="s">
        <v>47</v>
      </c>
      <c r="AT663" s="38"/>
      <c r="AU663" s="38"/>
      <c r="AV663" s="38"/>
      <c r="AW663" s="38"/>
      <c r="AX663" s="38"/>
      <c r="AY663" s="38" t="s">
        <v>47</v>
      </c>
      <c r="AZ663" s="38"/>
      <c r="BA663" s="38"/>
      <c r="BB663" s="38"/>
      <c r="BC663" s="38"/>
      <c r="BD663" s="38"/>
      <c r="BE663" s="77">
        <f t="shared" si="46"/>
        <v>2</v>
      </c>
      <c r="BF663" s="38"/>
    </row>
    <row r="664" spans="1:58" ht="22.5" hidden="1" customHeight="1">
      <c r="A664" s="33" t="str">
        <f>IF(OR(ISBLANK(E664),ISBLANK(C664)),"",IF(COUNTIF($E$8:E664,E664)&gt;1,"",(MAX($A$7:A663)+1)))</f>
        <v/>
      </c>
      <c r="B664" s="34">
        <f>IF(ISBLANK(C664),"",SUBTOTAL(3,$C$8:C664))</f>
        <v>44</v>
      </c>
      <c r="C664" s="81" t="s">
        <v>1405</v>
      </c>
      <c r="D664" s="55" t="s">
        <v>1406</v>
      </c>
      <c r="E664" s="50" t="s">
        <v>1378</v>
      </c>
      <c r="F664" s="35" t="str">
        <f t="shared" si="44"/>
        <v/>
      </c>
      <c r="G664" s="36" t="str">
        <f t="shared" si="45"/>
        <v>C</v>
      </c>
      <c r="H664" s="51" t="str">
        <f t="shared" ref="H664:J727" si="47">IF(OR(ISBLANK($C664),COUNTIFS($K664:$AH664,"X",$K$7:$AH$7,H$7)=0,),"",COUNTIFS($K664:$AH664,"X",$K$7:$AH$7,H$7))</f>
        <v/>
      </c>
      <c r="I664" s="51">
        <f t="shared" si="47"/>
        <v>2</v>
      </c>
      <c r="J664" s="51">
        <f t="shared" si="47"/>
        <v>6</v>
      </c>
      <c r="K664" s="37"/>
      <c r="L664" s="37" t="s">
        <v>47</v>
      </c>
      <c r="M664" s="37"/>
      <c r="N664" s="37"/>
      <c r="O664" s="37"/>
      <c r="P664" s="37" t="s">
        <v>47</v>
      </c>
      <c r="Q664" s="37"/>
      <c r="R664" s="37"/>
      <c r="S664" s="37" t="s">
        <v>47</v>
      </c>
      <c r="T664" s="37"/>
      <c r="U664" s="37"/>
      <c r="V664" s="37" t="s">
        <v>47</v>
      </c>
      <c r="W664" s="37"/>
      <c r="X664" s="84"/>
      <c r="Y664" s="37" t="s">
        <v>47</v>
      </c>
      <c r="Z664" s="37"/>
      <c r="AA664" s="37"/>
      <c r="AB664" s="37" t="s">
        <v>47</v>
      </c>
      <c r="AC664" s="37"/>
      <c r="AD664" s="37"/>
      <c r="AE664" s="37" t="s">
        <v>47</v>
      </c>
      <c r="AF664" s="37"/>
      <c r="AG664" s="37" t="s">
        <v>47</v>
      </c>
      <c r="AH664" s="37"/>
      <c r="AI664" s="37"/>
      <c r="AJ664" s="37"/>
      <c r="AK664" s="37"/>
      <c r="AM664" s="38"/>
      <c r="AN664" s="38" t="s">
        <v>47</v>
      </c>
      <c r="AO664" s="38"/>
      <c r="AP664" s="38"/>
      <c r="AQ664" s="38"/>
      <c r="AR664" s="38" t="s">
        <v>47</v>
      </c>
      <c r="AS664" s="38" t="s">
        <v>47</v>
      </c>
      <c r="AT664" s="38"/>
      <c r="AU664" s="38"/>
      <c r="AV664" s="38"/>
      <c r="AW664" s="38"/>
      <c r="AX664" s="38"/>
      <c r="AY664" s="38"/>
      <c r="AZ664" s="38"/>
      <c r="BA664" s="38"/>
      <c r="BB664" s="38"/>
      <c r="BC664" s="38"/>
      <c r="BD664" s="38"/>
      <c r="BE664" s="77">
        <f t="shared" si="46"/>
        <v>3</v>
      </c>
      <c r="BF664" s="38"/>
    </row>
    <row r="665" spans="1:58" ht="22.5" hidden="1" customHeight="1">
      <c r="A665" s="33" t="str">
        <f>IF(OR(ISBLANK(E665),ISBLANK(C665)),"",IF(COUNTIF($E$8:E665,E665)&gt;1,"",(MAX($A$7:A664)+1)))</f>
        <v/>
      </c>
      <c r="B665" s="34">
        <f>IF(ISBLANK(C665),"",SUBTOTAL(3,$C$8:C665))</f>
        <v>44</v>
      </c>
      <c r="C665" s="81" t="s">
        <v>1407</v>
      </c>
      <c r="D665" s="55" t="s">
        <v>1408</v>
      </c>
      <c r="E665" s="50" t="s">
        <v>1378</v>
      </c>
      <c r="F665" s="35" t="str">
        <f t="shared" si="44"/>
        <v/>
      </c>
      <c r="G665" s="36" t="str">
        <f t="shared" si="45"/>
        <v>B</v>
      </c>
      <c r="H665" s="51">
        <f t="shared" si="47"/>
        <v>1</v>
      </c>
      <c r="I665" s="51">
        <f t="shared" si="47"/>
        <v>4</v>
      </c>
      <c r="J665" s="51">
        <f t="shared" si="47"/>
        <v>3</v>
      </c>
      <c r="K665" s="37" t="s">
        <v>47</v>
      </c>
      <c r="L665" s="37"/>
      <c r="M665" s="37"/>
      <c r="N665" s="37"/>
      <c r="O665" s="37" t="s">
        <v>47</v>
      </c>
      <c r="P665" s="37"/>
      <c r="Q665" s="37"/>
      <c r="R665" s="37" t="s">
        <v>47</v>
      </c>
      <c r="S665" s="37"/>
      <c r="T665" s="37"/>
      <c r="U665" s="37" t="s">
        <v>47</v>
      </c>
      <c r="V665" s="37"/>
      <c r="W665" s="37"/>
      <c r="X665" s="84"/>
      <c r="Y665" s="37" t="s">
        <v>47</v>
      </c>
      <c r="Z665" s="37"/>
      <c r="AA665" s="37"/>
      <c r="AB665" s="37" t="s">
        <v>47</v>
      </c>
      <c r="AC665" s="37"/>
      <c r="AD665" s="37"/>
      <c r="AE665" s="37" t="s">
        <v>47</v>
      </c>
      <c r="AF665" s="37"/>
      <c r="AG665" s="37" t="s">
        <v>47</v>
      </c>
      <c r="AH665" s="37"/>
      <c r="AI665" s="37"/>
      <c r="AJ665" s="37"/>
      <c r="AK665" s="37"/>
      <c r="AM665" s="38"/>
      <c r="AN665" s="38"/>
      <c r="AO665" s="38"/>
      <c r="AP665" s="38"/>
      <c r="AQ665" s="38"/>
      <c r="AR665" s="38"/>
      <c r="AS665" s="38"/>
      <c r="AT665" s="38"/>
      <c r="AU665" s="38"/>
      <c r="AV665" s="38"/>
      <c r="AW665" s="38"/>
      <c r="AX665" s="38"/>
      <c r="AY665" s="38" t="s">
        <v>47</v>
      </c>
      <c r="AZ665" s="38"/>
      <c r="BA665" s="38"/>
      <c r="BB665" s="38" t="s">
        <v>47</v>
      </c>
      <c r="BC665" s="38" t="s">
        <v>47</v>
      </c>
      <c r="BD665" s="38"/>
      <c r="BE665" s="77">
        <f t="shared" si="46"/>
        <v>3</v>
      </c>
      <c r="BF665" s="38"/>
    </row>
    <row r="666" spans="1:58" ht="22.5" hidden="1" customHeight="1">
      <c r="A666" s="33" t="str">
        <f>IF(OR(ISBLANK(E666),ISBLANK(C666)),"",IF(COUNTIF($E$8:E666,E666)&gt;1,"",(MAX($A$7:A665)+1)))</f>
        <v/>
      </c>
      <c r="B666" s="34">
        <f>IF(ISBLANK(C666),"",SUBTOTAL(3,$C$8:C666))</f>
        <v>44</v>
      </c>
      <c r="C666" s="81" t="s">
        <v>1409</v>
      </c>
      <c r="D666" s="55" t="s">
        <v>1410</v>
      </c>
      <c r="E666" s="50" t="s">
        <v>1378</v>
      </c>
      <c r="F666" s="35" t="str">
        <f t="shared" si="44"/>
        <v/>
      </c>
      <c r="G666" s="36" t="str">
        <f t="shared" si="45"/>
        <v>B</v>
      </c>
      <c r="H666" s="51">
        <f t="shared" si="47"/>
        <v>1</v>
      </c>
      <c r="I666" s="51">
        <f t="shared" si="47"/>
        <v>2</v>
      </c>
      <c r="J666" s="51">
        <f t="shared" si="47"/>
        <v>5</v>
      </c>
      <c r="K666" s="37" t="s">
        <v>47</v>
      </c>
      <c r="L666" s="37"/>
      <c r="M666" s="37"/>
      <c r="N666" s="37"/>
      <c r="O666" s="37"/>
      <c r="P666" s="37" t="s">
        <v>47</v>
      </c>
      <c r="Q666" s="37"/>
      <c r="R666" s="37" t="s">
        <v>47</v>
      </c>
      <c r="S666" s="37"/>
      <c r="T666" s="37"/>
      <c r="U666" s="37"/>
      <c r="V666" s="37" t="s">
        <v>47</v>
      </c>
      <c r="W666" s="37"/>
      <c r="X666" s="84"/>
      <c r="Y666" s="37" t="s">
        <v>47</v>
      </c>
      <c r="Z666" s="37"/>
      <c r="AA666" s="37"/>
      <c r="AB666" s="37" t="s">
        <v>47</v>
      </c>
      <c r="AC666" s="37"/>
      <c r="AD666" s="37"/>
      <c r="AE666" s="37" t="s">
        <v>47</v>
      </c>
      <c r="AF666" s="37"/>
      <c r="AG666" s="37" t="s">
        <v>47</v>
      </c>
      <c r="AH666" s="37"/>
      <c r="AI666" s="37"/>
      <c r="AJ666" s="37"/>
      <c r="AK666" s="37"/>
      <c r="AM666" s="38"/>
      <c r="AN666" s="38"/>
      <c r="AO666" s="38"/>
      <c r="AP666" s="38"/>
      <c r="AQ666" s="38"/>
      <c r="AR666" s="38"/>
      <c r="AS666" s="38" t="s">
        <v>47</v>
      </c>
      <c r="AT666" s="38" t="s">
        <v>47</v>
      </c>
      <c r="AU666" s="38"/>
      <c r="AV666" s="38"/>
      <c r="AW666" s="38" t="s">
        <v>47</v>
      </c>
      <c r="AX666" s="38"/>
      <c r="AY666" s="38"/>
      <c r="AZ666" s="38" t="s">
        <v>47</v>
      </c>
      <c r="BA666" s="38"/>
      <c r="BB666" s="38"/>
      <c r="BC666" s="38"/>
      <c r="BD666" s="38"/>
      <c r="BE666" s="77">
        <f t="shared" si="46"/>
        <v>4</v>
      </c>
      <c r="BF666" s="38"/>
    </row>
    <row r="667" spans="1:58" ht="22.5" hidden="1" customHeight="1">
      <c r="A667" s="33" t="str">
        <f>IF(OR(ISBLANK(E667),ISBLANK(C667)),"",IF(COUNTIF($E$8:E667,E667)&gt;1,"",(MAX($A$7:A666)+1)))</f>
        <v/>
      </c>
      <c r="B667" s="34">
        <f>IF(ISBLANK(C667),"",SUBTOTAL(3,$C$8:C667))</f>
        <v>44</v>
      </c>
      <c r="C667" s="81" t="s">
        <v>1411</v>
      </c>
      <c r="D667" s="55" t="s">
        <v>1412</v>
      </c>
      <c r="E667" s="50" t="s">
        <v>1378</v>
      </c>
      <c r="F667" s="35" t="str">
        <f t="shared" si="44"/>
        <v/>
      </c>
      <c r="G667" s="36" t="str">
        <f t="shared" si="45"/>
        <v>B</v>
      </c>
      <c r="H667" s="51">
        <f t="shared" si="47"/>
        <v>1</v>
      </c>
      <c r="I667" s="51">
        <f t="shared" si="47"/>
        <v>2</v>
      </c>
      <c r="J667" s="51">
        <f t="shared" si="47"/>
        <v>5</v>
      </c>
      <c r="K667" s="37"/>
      <c r="L667" s="37" t="s">
        <v>47</v>
      </c>
      <c r="M667" s="37"/>
      <c r="N667" s="37"/>
      <c r="O667" s="37"/>
      <c r="P667" s="37" t="s">
        <v>47</v>
      </c>
      <c r="Q667" s="37"/>
      <c r="R667" s="37"/>
      <c r="S667" s="37" t="s">
        <v>47</v>
      </c>
      <c r="T667" s="37"/>
      <c r="U667" s="37"/>
      <c r="V667" s="37"/>
      <c r="W667" s="37" t="s">
        <v>47</v>
      </c>
      <c r="X667" s="84"/>
      <c r="Y667" s="37" t="s">
        <v>47</v>
      </c>
      <c r="Z667" s="37"/>
      <c r="AA667" s="37"/>
      <c r="AB667" s="37" t="s">
        <v>47</v>
      </c>
      <c r="AC667" s="37"/>
      <c r="AD667" s="37"/>
      <c r="AE667" s="37" t="s">
        <v>47</v>
      </c>
      <c r="AF667" s="37"/>
      <c r="AG667" s="37" t="s">
        <v>47</v>
      </c>
      <c r="AH667" s="37"/>
      <c r="AI667" s="37"/>
      <c r="AJ667" s="37"/>
      <c r="AK667" s="37"/>
      <c r="AM667" s="38"/>
      <c r="AN667" s="38"/>
      <c r="AO667" s="38"/>
      <c r="AP667" s="38"/>
      <c r="AQ667" s="38"/>
      <c r="AR667" s="38" t="s">
        <v>47</v>
      </c>
      <c r="AS667" s="38" t="s">
        <v>47</v>
      </c>
      <c r="AT667" s="38"/>
      <c r="AU667" s="38"/>
      <c r="AV667" s="38"/>
      <c r="AW667" s="38"/>
      <c r="AX667" s="38"/>
      <c r="AY667" s="38" t="s">
        <v>47</v>
      </c>
      <c r="AZ667" s="38"/>
      <c r="BA667" s="38"/>
      <c r="BB667" s="38"/>
      <c r="BC667" s="38"/>
      <c r="BD667" s="38"/>
      <c r="BE667" s="77">
        <f t="shared" si="46"/>
        <v>3</v>
      </c>
      <c r="BF667" s="38"/>
    </row>
    <row r="668" spans="1:58" ht="22.5" hidden="1" customHeight="1">
      <c r="A668" s="33" t="str">
        <f>IF(OR(ISBLANK(E668),ISBLANK(C668)),"",IF(COUNTIF($E$8:E668,E668)&gt;1,"",(MAX($A$7:A667)+1)))</f>
        <v/>
      </c>
      <c r="B668" s="34">
        <f>IF(ISBLANK(C668),"",SUBTOTAL(3,$C$8:C668))</f>
        <v>44</v>
      </c>
      <c r="C668" s="79" t="s">
        <v>1413</v>
      </c>
      <c r="D668" s="50" t="s">
        <v>1414</v>
      </c>
      <c r="E668" s="50" t="s">
        <v>1378</v>
      </c>
      <c r="F668" s="35" t="str">
        <f t="shared" si="44"/>
        <v/>
      </c>
      <c r="G668" s="36" t="str">
        <f t="shared" si="45"/>
        <v>D</v>
      </c>
      <c r="H668" s="51" t="str">
        <f t="shared" si="47"/>
        <v/>
      </c>
      <c r="I668" s="51" t="str">
        <f t="shared" si="47"/>
        <v/>
      </c>
      <c r="J668" s="51">
        <f t="shared" si="47"/>
        <v>8</v>
      </c>
      <c r="K668" s="37"/>
      <c r="L668" s="37"/>
      <c r="M668" s="37" t="s">
        <v>47</v>
      </c>
      <c r="N668" s="37"/>
      <c r="O668" s="37"/>
      <c r="P668" s="37" t="s">
        <v>47</v>
      </c>
      <c r="Q668" s="37"/>
      <c r="R668" s="37"/>
      <c r="S668" s="37" t="s">
        <v>47</v>
      </c>
      <c r="T668" s="37"/>
      <c r="U668" s="37"/>
      <c r="V668" s="37" t="s">
        <v>47</v>
      </c>
      <c r="W668" s="37"/>
      <c r="X668" s="84"/>
      <c r="Y668" s="37" t="s">
        <v>47</v>
      </c>
      <c r="Z668" s="37"/>
      <c r="AA668" s="37"/>
      <c r="AB668" s="37" t="s">
        <v>47</v>
      </c>
      <c r="AC668" s="37"/>
      <c r="AD668" s="37"/>
      <c r="AE668" s="37" t="s">
        <v>47</v>
      </c>
      <c r="AF668" s="37"/>
      <c r="AG668" s="37"/>
      <c r="AH668" s="37" t="s">
        <v>47</v>
      </c>
      <c r="AI668" s="37"/>
      <c r="AJ668" s="37"/>
      <c r="AK668" s="37"/>
      <c r="AM668" s="38"/>
      <c r="AN668" s="38" t="s">
        <v>47</v>
      </c>
      <c r="AO668" s="38"/>
      <c r="AP668" s="38"/>
      <c r="AQ668" s="38"/>
      <c r="AR668" s="38"/>
      <c r="AS668" s="38"/>
      <c r="AT668" s="38"/>
      <c r="AU668" s="38"/>
      <c r="AV668" s="38"/>
      <c r="AW668" s="38"/>
      <c r="AX668" s="38"/>
      <c r="AY668" s="38"/>
      <c r="AZ668" s="38"/>
      <c r="BA668" s="38"/>
      <c r="BB668" s="38"/>
      <c r="BC668" s="38"/>
      <c r="BD668" s="38"/>
      <c r="BE668" s="77">
        <f t="shared" si="46"/>
        <v>1</v>
      </c>
      <c r="BF668" s="38"/>
    </row>
    <row r="669" spans="1:58" ht="22.5" hidden="1" customHeight="1">
      <c r="A669" s="33" t="str">
        <f>IF(OR(ISBLANK(E669),ISBLANK(C669)),"",IF(COUNTIF($E$8:E669,E669)&gt;1,"",(MAX($A$7:A668)+1)))</f>
        <v/>
      </c>
      <c r="B669" s="34">
        <f>IF(ISBLANK(C669),"",SUBTOTAL(3,$C$8:C669))</f>
        <v>44</v>
      </c>
      <c r="C669" s="83" t="s">
        <v>1415</v>
      </c>
      <c r="D669" s="55" t="s">
        <v>933</v>
      </c>
      <c r="E669" s="50" t="s">
        <v>1378</v>
      </c>
      <c r="F669" s="35" t="str">
        <f t="shared" si="44"/>
        <v/>
      </c>
      <c r="G669" s="36" t="str">
        <f t="shared" si="45"/>
        <v>C</v>
      </c>
      <c r="H669" s="51" t="str">
        <f t="shared" si="47"/>
        <v/>
      </c>
      <c r="I669" s="51">
        <f t="shared" si="47"/>
        <v>3</v>
      </c>
      <c r="J669" s="51">
        <f t="shared" si="47"/>
        <v>5</v>
      </c>
      <c r="K669" s="37"/>
      <c r="L669" s="37" t="s">
        <v>47</v>
      </c>
      <c r="M669" s="37"/>
      <c r="N669" s="37"/>
      <c r="O669" s="37"/>
      <c r="P669" s="37" t="s">
        <v>47</v>
      </c>
      <c r="Q669" s="37"/>
      <c r="R669" s="37" t="s">
        <v>47</v>
      </c>
      <c r="S669" s="37"/>
      <c r="T669" s="37"/>
      <c r="U669" s="37"/>
      <c r="V669" s="37" t="s">
        <v>47</v>
      </c>
      <c r="W669" s="37"/>
      <c r="X669" s="84"/>
      <c r="Y669" s="37" t="s">
        <v>47</v>
      </c>
      <c r="Z669" s="37"/>
      <c r="AA669" s="37"/>
      <c r="AB669" s="37" t="s">
        <v>47</v>
      </c>
      <c r="AC669" s="37"/>
      <c r="AD669" s="37"/>
      <c r="AE669" s="37" t="s">
        <v>47</v>
      </c>
      <c r="AF669" s="37"/>
      <c r="AG669" s="37" t="s">
        <v>47</v>
      </c>
      <c r="AH669" s="37"/>
      <c r="AI669" s="37"/>
      <c r="AJ669" s="37"/>
      <c r="AK669" s="37"/>
      <c r="AM669" s="38"/>
      <c r="AN669" s="38" t="s">
        <v>47</v>
      </c>
      <c r="AO669" s="38"/>
      <c r="AP669" s="38"/>
      <c r="AQ669" s="38"/>
      <c r="AR669" s="38"/>
      <c r="AS669" s="38" t="s">
        <v>47</v>
      </c>
      <c r="AT669" s="38"/>
      <c r="AU669" s="38"/>
      <c r="AV669" s="38"/>
      <c r="AW669" s="38"/>
      <c r="AX669" s="38"/>
      <c r="AY669" s="38"/>
      <c r="AZ669" s="38"/>
      <c r="BA669" s="38"/>
      <c r="BB669" s="38"/>
      <c r="BC669" s="38"/>
      <c r="BD669" s="38"/>
      <c r="BE669" s="77">
        <f t="shared" si="46"/>
        <v>2</v>
      </c>
      <c r="BF669" s="38"/>
    </row>
    <row r="670" spans="1:58" ht="22.5" hidden="1" customHeight="1">
      <c r="A670" s="33" t="str">
        <f>IF(OR(ISBLANK(E670),ISBLANK(C670)),"",IF(COUNTIF($E$8:E670,E670)&gt;1,"",(MAX($A$7:A669)+1)))</f>
        <v/>
      </c>
      <c r="B670" s="34">
        <f>IF(ISBLANK(C670),"",SUBTOTAL(3,$C$8:C670))</f>
        <v>44</v>
      </c>
      <c r="C670" s="83" t="s">
        <v>1416</v>
      </c>
      <c r="D670" s="55" t="s">
        <v>1417</v>
      </c>
      <c r="E670" s="50" t="s">
        <v>1378</v>
      </c>
      <c r="F670" s="35" t="str">
        <f t="shared" si="44"/>
        <v/>
      </c>
      <c r="G670" s="36" t="str">
        <f t="shared" si="45"/>
        <v>C</v>
      </c>
      <c r="H670" s="51" t="str">
        <f t="shared" si="47"/>
        <v/>
      </c>
      <c r="I670" s="51">
        <f t="shared" si="47"/>
        <v>3</v>
      </c>
      <c r="J670" s="51">
        <f t="shared" si="47"/>
        <v>5</v>
      </c>
      <c r="K670" s="37"/>
      <c r="L670" s="37" t="s">
        <v>47</v>
      </c>
      <c r="M670" s="37"/>
      <c r="N670" s="37"/>
      <c r="O670" s="37"/>
      <c r="P670" s="37" t="s">
        <v>47</v>
      </c>
      <c r="Q670" s="37"/>
      <c r="R670" s="37" t="s">
        <v>47</v>
      </c>
      <c r="S670" s="37"/>
      <c r="T670" s="37"/>
      <c r="U670" s="37"/>
      <c r="V670" s="37" t="s">
        <v>47</v>
      </c>
      <c r="W670" s="37"/>
      <c r="X670" s="84"/>
      <c r="Y670" s="37" t="s">
        <v>47</v>
      </c>
      <c r="Z670" s="37"/>
      <c r="AA670" s="37"/>
      <c r="AB670" s="37" t="s">
        <v>47</v>
      </c>
      <c r="AC670" s="37"/>
      <c r="AD670" s="37"/>
      <c r="AE670" s="37" t="s">
        <v>47</v>
      </c>
      <c r="AF670" s="37"/>
      <c r="AG670" s="37" t="s">
        <v>47</v>
      </c>
      <c r="AH670" s="37"/>
      <c r="AI670" s="37"/>
      <c r="AJ670" s="37"/>
      <c r="AK670" s="37"/>
      <c r="AM670" s="38"/>
      <c r="AN670" s="38"/>
      <c r="AO670" s="38"/>
      <c r="AP670" s="38"/>
      <c r="AQ670" s="38"/>
      <c r="AR670" s="38"/>
      <c r="AS670" s="38" t="s">
        <v>47</v>
      </c>
      <c r="AT670" s="38"/>
      <c r="AU670" s="38"/>
      <c r="AV670" s="38"/>
      <c r="AW670" s="38"/>
      <c r="AX670" s="38"/>
      <c r="AY670" s="38"/>
      <c r="AZ670" s="38"/>
      <c r="BA670" s="38"/>
      <c r="BB670" s="38"/>
      <c r="BC670" s="38"/>
      <c r="BD670" s="38"/>
      <c r="BE670" s="77">
        <f t="shared" si="46"/>
        <v>1</v>
      </c>
      <c r="BF670" s="38"/>
    </row>
    <row r="671" spans="1:58" ht="22.5" hidden="1" customHeight="1">
      <c r="A671" s="33" t="str">
        <f>IF(OR(ISBLANK(E671),ISBLANK(C671)),"",IF(COUNTIF($E$8:E671,E671)&gt;1,"",(MAX($A$7:A670)+1)))</f>
        <v/>
      </c>
      <c r="B671" s="34">
        <f>IF(ISBLANK(C671),"",SUBTOTAL(3,$C$8:C671))</f>
        <v>44</v>
      </c>
      <c r="C671" s="81" t="s">
        <v>1418</v>
      </c>
      <c r="D671" s="55" t="s">
        <v>1419</v>
      </c>
      <c r="E671" s="50" t="s">
        <v>1378</v>
      </c>
      <c r="F671" s="35" t="str">
        <f t="shared" si="44"/>
        <v/>
      </c>
      <c r="G671" s="36" t="str">
        <f t="shared" si="45"/>
        <v>C</v>
      </c>
      <c r="H671" s="51" t="str">
        <f t="shared" si="47"/>
        <v/>
      </c>
      <c r="I671" s="51">
        <f t="shared" si="47"/>
        <v>4</v>
      </c>
      <c r="J671" s="51">
        <f t="shared" si="47"/>
        <v>4</v>
      </c>
      <c r="K671" s="37"/>
      <c r="L671" s="37" t="s">
        <v>47</v>
      </c>
      <c r="M671" s="37"/>
      <c r="N671" s="37"/>
      <c r="O671" s="37" t="s">
        <v>47</v>
      </c>
      <c r="P671" s="37"/>
      <c r="Q671" s="37"/>
      <c r="R671" s="37" t="s">
        <v>47</v>
      </c>
      <c r="S671" s="37"/>
      <c r="T671" s="37"/>
      <c r="U671" s="37"/>
      <c r="V671" s="37" t="s">
        <v>47</v>
      </c>
      <c r="W671" s="37"/>
      <c r="X671" s="84"/>
      <c r="Y671" s="37" t="s">
        <v>47</v>
      </c>
      <c r="Z671" s="37"/>
      <c r="AA671" s="37"/>
      <c r="AB671" s="37" t="s">
        <v>47</v>
      </c>
      <c r="AC671" s="37"/>
      <c r="AD671" s="37"/>
      <c r="AE671" s="37" t="s">
        <v>47</v>
      </c>
      <c r="AF671" s="37"/>
      <c r="AG671" s="37" t="s">
        <v>47</v>
      </c>
      <c r="AH671" s="37"/>
      <c r="AI671" s="37"/>
      <c r="AJ671" s="37"/>
      <c r="AK671" s="37"/>
      <c r="AM671" s="38"/>
      <c r="AN671" s="38"/>
      <c r="AO671" s="38"/>
      <c r="AP671" s="38"/>
      <c r="AQ671" s="38"/>
      <c r="AR671" s="38" t="s">
        <v>47</v>
      </c>
      <c r="AS671" s="38" t="s">
        <v>47</v>
      </c>
      <c r="AT671" s="38" t="s">
        <v>47</v>
      </c>
      <c r="AU671" s="38"/>
      <c r="AV671" s="38"/>
      <c r="AW671" s="38" t="s">
        <v>47</v>
      </c>
      <c r="AX671" s="38"/>
      <c r="AY671" s="38"/>
      <c r="AZ671" s="38"/>
      <c r="BA671" s="38"/>
      <c r="BB671" s="38"/>
      <c r="BC671" s="38"/>
      <c r="BD671" s="38"/>
      <c r="BE671" s="77">
        <f t="shared" si="46"/>
        <v>4</v>
      </c>
      <c r="BF671" s="38"/>
    </row>
    <row r="672" spans="1:58" ht="22.5" hidden="1" customHeight="1">
      <c r="A672" s="33" t="str">
        <f>IF(OR(ISBLANK(E672),ISBLANK(C672)),"",IF(COUNTIF($E$8:E672,E672)&gt;1,"",(MAX($A$7:A671)+1)))</f>
        <v/>
      </c>
      <c r="B672" s="34">
        <f>IF(ISBLANK(C672),"",SUBTOTAL(3,$C$8:C672))</f>
        <v>44</v>
      </c>
      <c r="C672" s="83" t="s">
        <v>1420</v>
      </c>
      <c r="D672" s="55" t="s">
        <v>1421</v>
      </c>
      <c r="E672" s="50" t="s">
        <v>1378</v>
      </c>
      <c r="F672" s="35" t="str">
        <f t="shared" si="44"/>
        <v/>
      </c>
      <c r="G672" s="36" t="str">
        <f t="shared" si="45"/>
        <v>C</v>
      </c>
      <c r="H672" s="51" t="str">
        <f t="shared" si="47"/>
        <v/>
      </c>
      <c r="I672" s="51">
        <f t="shared" si="47"/>
        <v>3</v>
      </c>
      <c r="J672" s="51">
        <f t="shared" si="47"/>
        <v>5</v>
      </c>
      <c r="K672" s="37"/>
      <c r="L672" s="37" t="s">
        <v>47</v>
      </c>
      <c r="M672" s="37"/>
      <c r="N672" s="37"/>
      <c r="O672" s="37"/>
      <c r="P672" s="37" t="s">
        <v>47</v>
      </c>
      <c r="Q672" s="37"/>
      <c r="R672" s="37" t="s">
        <v>47</v>
      </c>
      <c r="S672" s="37"/>
      <c r="T672" s="37"/>
      <c r="U672" s="37"/>
      <c r="V672" s="37" t="s">
        <v>47</v>
      </c>
      <c r="W672" s="37"/>
      <c r="X672" s="84"/>
      <c r="Y672" s="37" t="s">
        <v>47</v>
      </c>
      <c r="Z672" s="37"/>
      <c r="AA672" s="37" t="s">
        <v>47</v>
      </c>
      <c r="AB672" s="37"/>
      <c r="AC672" s="37"/>
      <c r="AD672" s="37"/>
      <c r="AE672" s="37" t="s">
        <v>47</v>
      </c>
      <c r="AF672" s="37"/>
      <c r="AG672" s="37"/>
      <c r="AH672" s="37" t="s">
        <v>47</v>
      </c>
      <c r="AI672" s="37"/>
      <c r="AJ672" s="37"/>
      <c r="AK672" s="37"/>
      <c r="AM672" s="38"/>
      <c r="AN672" s="38"/>
      <c r="AO672" s="38"/>
      <c r="AP672" s="38"/>
      <c r="AQ672" s="38"/>
      <c r="AR672" s="38"/>
      <c r="AS672" s="38" t="s">
        <v>47</v>
      </c>
      <c r="AT672" s="38"/>
      <c r="AU672" s="38"/>
      <c r="AV672" s="38"/>
      <c r="AW672" s="38"/>
      <c r="AX672" s="38"/>
      <c r="AY672" s="38"/>
      <c r="AZ672" s="38"/>
      <c r="BA672" s="38"/>
      <c r="BB672" s="38"/>
      <c r="BC672" s="38"/>
      <c r="BD672" s="38"/>
      <c r="BE672" s="77">
        <f t="shared" si="46"/>
        <v>1</v>
      </c>
      <c r="BF672" s="38"/>
    </row>
    <row r="673" spans="1:58" ht="22.5" hidden="1" customHeight="1">
      <c r="A673" s="33" t="str">
        <f>IF(OR(ISBLANK(E673),ISBLANK(C673)),"",IF(COUNTIF($E$8:E673,E673)&gt;1,"",(MAX($A$7:A672)+1)))</f>
        <v/>
      </c>
      <c r="B673" s="34">
        <f>IF(ISBLANK(C673),"",SUBTOTAL(3,$C$8:C673))</f>
        <v>44</v>
      </c>
      <c r="C673" s="83" t="s">
        <v>1422</v>
      </c>
      <c r="D673" s="55" t="s">
        <v>1423</v>
      </c>
      <c r="E673" s="50" t="s">
        <v>1378</v>
      </c>
      <c r="F673" s="35" t="str">
        <f t="shared" si="44"/>
        <v/>
      </c>
      <c r="G673" s="36" t="str">
        <f t="shared" si="45"/>
        <v>C</v>
      </c>
      <c r="H673" s="51" t="str">
        <f t="shared" si="47"/>
        <v/>
      </c>
      <c r="I673" s="51">
        <f t="shared" si="47"/>
        <v>2</v>
      </c>
      <c r="J673" s="51">
        <f t="shared" si="47"/>
        <v>6</v>
      </c>
      <c r="K673" s="37"/>
      <c r="L673" s="37" t="s">
        <v>47</v>
      </c>
      <c r="M673" s="37"/>
      <c r="N673" s="37"/>
      <c r="O673" s="37"/>
      <c r="P673" s="37" t="s">
        <v>47</v>
      </c>
      <c r="Q673" s="37"/>
      <c r="R673" s="37"/>
      <c r="S673" s="37" t="s">
        <v>47</v>
      </c>
      <c r="T673" s="37"/>
      <c r="U673" s="37"/>
      <c r="V673" s="37" t="s">
        <v>47</v>
      </c>
      <c r="W673" s="37"/>
      <c r="X673" s="84"/>
      <c r="Y673" s="37" t="s">
        <v>47</v>
      </c>
      <c r="Z673" s="37"/>
      <c r="AA673" s="37"/>
      <c r="AB673" s="37" t="s">
        <v>47</v>
      </c>
      <c r="AC673" s="37"/>
      <c r="AD673" s="37"/>
      <c r="AE673" s="37" t="s">
        <v>47</v>
      </c>
      <c r="AF673" s="37"/>
      <c r="AG673" s="37" t="s">
        <v>47</v>
      </c>
      <c r="AH673" s="37"/>
      <c r="AI673" s="37"/>
      <c r="AJ673" s="37"/>
      <c r="AK673" s="37"/>
      <c r="AM673" s="38"/>
      <c r="AN673" s="38"/>
      <c r="AO673" s="38" t="s">
        <v>47</v>
      </c>
      <c r="AP673" s="38"/>
      <c r="AQ673" s="38"/>
      <c r="AR673" s="38"/>
      <c r="AS673" s="38" t="s">
        <v>47</v>
      </c>
      <c r="AT673" s="38"/>
      <c r="AU673" s="38"/>
      <c r="AV673" s="38"/>
      <c r="AW673" s="38"/>
      <c r="AX673" s="38"/>
      <c r="AY673" s="38" t="s">
        <v>47</v>
      </c>
      <c r="AZ673" s="38"/>
      <c r="BA673" s="38"/>
      <c r="BB673" s="38"/>
      <c r="BC673" s="38"/>
      <c r="BD673" s="38"/>
      <c r="BE673" s="77">
        <f t="shared" si="46"/>
        <v>3</v>
      </c>
      <c r="BF673" s="38"/>
    </row>
    <row r="674" spans="1:58" ht="22.5" hidden="1" customHeight="1">
      <c r="A674" s="33" t="str">
        <f>IF(OR(ISBLANK(E674),ISBLANK(C674)),"",IF(COUNTIF($E$8:E674,E674)&gt;1,"",(MAX($A$7:A673)+1)))</f>
        <v/>
      </c>
      <c r="B674" s="34">
        <f>IF(ISBLANK(C674),"",SUBTOTAL(3,$C$8:C674))</f>
        <v>44</v>
      </c>
      <c r="C674" s="85" t="s">
        <v>1424</v>
      </c>
      <c r="D674" s="55" t="s">
        <v>1425</v>
      </c>
      <c r="E674" s="50" t="s">
        <v>1378</v>
      </c>
      <c r="F674" s="35" t="str">
        <f t="shared" si="44"/>
        <v/>
      </c>
      <c r="G674" s="36" t="str">
        <f t="shared" si="45"/>
        <v>D</v>
      </c>
      <c r="H674" s="51" t="str">
        <f t="shared" si="47"/>
        <v/>
      </c>
      <c r="I674" s="51">
        <f t="shared" si="47"/>
        <v>1</v>
      </c>
      <c r="J674" s="51">
        <f t="shared" si="47"/>
        <v>7</v>
      </c>
      <c r="K674" s="37"/>
      <c r="L674" s="37"/>
      <c r="M674" s="37" t="s">
        <v>47</v>
      </c>
      <c r="N674" s="37"/>
      <c r="O674" s="37"/>
      <c r="P674" s="37" t="s">
        <v>47</v>
      </c>
      <c r="Q674" s="37"/>
      <c r="R674" s="37"/>
      <c r="S674" s="37" t="s">
        <v>47</v>
      </c>
      <c r="T674" s="37"/>
      <c r="U674" s="37"/>
      <c r="V674" s="37" t="s">
        <v>47</v>
      </c>
      <c r="W674" s="37"/>
      <c r="X674" s="84"/>
      <c r="Y674" s="37" t="s">
        <v>47</v>
      </c>
      <c r="Z674" s="37"/>
      <c r="AA674" s="37" t="s">
        <v>47</v>
      </c>
      <c r="AB674" s="37"/>
      <c r="AC674" s="37"/>
      <c r="AD674" s="37"/>
      <c r="AE674" s="37" t="s">
        <v>47</v>
      </c>
      <c r="AF674" s="37"/>
      <c r="AG674" s="37"/>
      <c r="AH674" s="37" t="s">
        <v>47</v>
      </c>
      <c r="AI674" s="37"/>
      <c r="AJ674" s="37"/>
      <c r="AK674" s="37"/>
      <c r="AM674" s="38"/>
      <c r="AN674" s="38"/>
      <c r="AO674" s="38"/>
      <c r="AP674" s="38" t="s">
        <v>47</v>
      </c>
      <c r="AQ674" s="38"/>
      <c r="AR674" s="38"/>
      <c r="AS674" s="38"/>
      <c r="AT674" s="38"/>
      <c r="AU674" s="38"/>
      <c r="AV674" s="38"/>
      <c r="AW674" s="38"/>
      <c r="AX674" s="38"/>
      <c r="AY674" s="38"/>
      <c r="AZ674" s="38"/>
      <c r="BA674" s="38"/>
      <c r="BB674" s="38"/>
      <c r="BC674" s="38"/>
      <c r="BD674" s="38"/>
      <c r="BE674" s="77">
        <f t="shared" si="46"/>
        <v>1</v>
      </c>
      <c r="BF674" s="38"/>
    </row>
    <row r="675" spans="1:58" ht="22.5" hidden="1" customHeight="1">
      <c r="A675" s="33" t="str">
        <f>IF(OR(ISBLANK(E675),ISBLANK(C675)),"",IF(COUNTIF($E$8:E675,E675)&gt;1,"",(MAX($A$7:A674)+1)))</f>
        <v/>
      </c>
      <c r="B675" s="34">
        <f>IF(ISBLANK(C675),"",SUBTOTAL(3,$C$8:C675))</f>
        <v>44</v>
      </c>
      <c r="C675" s="85" t="s">
        <v>1426</v>
      </c>
      <c r="D675" s="55" t="s">
        <v>1427</v>
      </c>
      <c r="E675" s="50" t="s">
        <v>1378</v>
      </c>
      <c r="F675" s="35" t="str">
        <f t="shared" si="44"/>
        <v/>
      </c>
      <c r="G675" s="36" t="str">
        <f t="shared" si="45"/>
        <v>C</v>
      </c>
      <c r="H675" s="51" t="str">
        <f t="shared" si="47"/>
        <v/>
      </c>
      <c r="I675" s="51">
        <f t="shared" si="47"/>
        <v>4</v>
      </c>
      <c r="J675" s="51">
        <f t="shared" si="47"/>
        <v>4</v>
      </c>
      <c r="K675" s="37"/>
      <c r="L675" s="37" t="s">
        <v>47</v>
      </c>
      <c r="M675" s="37"/>
      <c r="N675" s="37"/>
      <c r="O675" s="37" t="s">
        <v>47</v>
      </c>
      <c r="P675" s="37"/>
      <c r="Q675" s="37"/>
      <c r="R675" s="37" t="s">
        <v>47</v>
      </c>
      <c r="S675" s="37"/>
      <c r="T675" s="37"/>
      <c r="U675" s="37"/>
      <c r="V675" s="37" t="s">
        <v>47</v>
      </c>
      <c r="W675" s="37"/>
      <c r="X675" s="84"/>
      <c r="Y675" s="37" t="s">
        <v>47</v>
      </c>
      <c r="Z675" s="37"/>
      <c r="AA675" s="37"/>
      <c r="AB675" s="37" t="s">
        <v>47</v>
      </c>
      <c r="AC675" s="37"/>
      <c r="AD675" s="37"/>
      <c r="AE675" s="37" t="s">
        <v>47</v>
      </c>
      <c r="AF675" s="37"/>
      <c r="AG675" s="37" t="s">
        <v>47</v>
      </c>
      <c r="AH675" s="37"/>
      <c r="AI675" s="37"/>
      <c r="AJ675" s="37"/>
      <c r="AK675" s="37"/>
      <c r="AM675" s="38"/>
      <c r="AN675" s="38"/>
      <c r="AO675" s="38"/>
      <c r="AP675" s="38"/>
      <c r="AQ675" s="38"/>
      <c r="AR675" s="38"/>
      <c r="AS675" s="38" t="s">
        <v>47</v>
      </c>
      <c r="AT675" s="38"/>
      <c r="AU675" s="38"/>
      <c r="AV675" s="38"/>
      <c r="AW675" s="38"/>
      <c r="AX675" s="38"/>
      <c r="AY675" s="38"/>
      <c r="AZ675" s="38"/>
      <c r="BA675" s="38"/>
      <c r="BB675" s="38"/>
      <c r="BC675" s="38"/>
      <c r="BD675" s="38"/>
      <c r="BE675" s="77">
        <f t="shared" si="46"/>
        <v>1</v>
      </c>
      <c r="BF675" s="38"/>
    </row>
    <row r="676" spans="1:58" ht="22.5" hidden="1" customHeight="1">
      <c r="A676" s="33" t="str">
        <f>IF(OR(ISBLANK(E676),ISBLANK(C676)),"",IF(COUNTIF($E$8:E676,E676)&gt;1,"",(MAX($A$7:A675)+1)))</f>
        <v/>
      </c>
      <c r="B676" s="34">
        <f>IF(ISBLANK(C676),"",SUBTOTAL(3,$C$8:C676))</f>
        <v>44</v>
      </c>
      <c r="C676" s="85" t="s">
        <v>1428</v>
      </c>
      <c r="D676" s="55" t="s">
        <v>1429</v>
      </c>
      <c r="E676" s="50" t="s">
        <v>1378</v>
      </c>
      <c r="F676" s="35" t="str">
        <f t="shared" si="44"/>
        <v/>
      </c>
      <c r="G676" s="36" t="str">
        <f t="shared" si="45"/>
        <v>B</v>
      </c>
      <c r="H676" s="51">
        <f t="shared" si="47"/>
        <v>1</v>
      </c>
      <c r="I676" s="51">
        <f t="shared" si="47"/>
        <v>2</v>
      </c>
      <c r="J676" s="51">
        <f t="shared" si="47"/>
        <v>5</v>
      </c>
      <c r="K676" s="37"/>
      <c r="L676" s="37"/>
      <c r="M676" s="37" t="s">
        <v>47</v>
      </c>
      <c r="N676" s="37"/>
      <c r="O676" s="37"/>
      <c r="P676" s="37" t="s">
        <v>47</v>
      </c>
      <c r="Q676" s="37"/>
      <c r="R676" s="37" t="s">
        <v>47</v>
      </c>
      <c r="S676" s="37"/>
      <c r="T676" s="37"/>
      <c r="U676" s="37"/>
      <c r="V676" s="37" t="s">
        <v>47</v>
      </c>
      <c r="W676" s="37"/>
      <c r="X676" s="84"/>
      <c r="Y676" s="37" t="s">
        <v>47</v>
      </c>
      <c r="Z676" s="37" t="s">
        <v>47</v>
      </c>
      <c r="AA676" s="37"/>
      <c r="AB676" s="37"/>
      <c r="AC676" s="37"/>
      <c r="AD676" s="37"/>
      <c r="AE676" s="37" t="s">
        <v>47</v>
      </c>
      <c r="AF676" s="37"/>
      <c r="AG676" s="37" t="s">
        <v>47</v>
      </c>
      <c r="AH676" s="37"/>
      <c r="AI676" s="37"/>
      <c r="AJ676" s="37"/>
      <c r="AK676" s="37"/>
      <c r="AM676" s="38"/>
      <c r="AN676" s="38"/>
      <c r="AO676" s="38" t="s">
        <v>47</v>
      </c>
      <c r="AP676" s="38"/>
      <c r="AQ676" s="38"/>
      <c r="AR676" s="38"/>
      <c r="AS676" s="38" t="s">
        <v>47</v>
      </c>
      <c r="AT676" s="38"/>
      <c r="AU676" s="38"/>
      <c r="AV676" s="38"/>
      <c r="AW676" s="38"/>
      <c r="AX676" s="38"/>
      <c r="AY676" s="38"/>
      <c r="AZ676" s="38"/>
      <c r="BA676" s="38"/>
      <c r="BB676" s="38"/>
      <c r="BC676" s="38"/>
      <c r="BD676" s="38"/>
      <c r="BE676" s="77">
        <f t="shared" si="46"/>
        <v>2</v>
      </c>
      <c r="BF676" s="38"/>
    </row>
    <row r="677" spans="1:58" ht="22.5" hidden="1" customHeight="1">
      <c r="A677" s="33" t="str">
        <f>IF(OR(ISBLANK(E677),ISBLANK(C677)),"",IF(COUNTIF($E$8:E677,E677)&gt;1,"",(MAX($A$7:A676)+1)))</f>
        <v/>
      </c>
      <c r="B677" s="34">
        <f>IF(ISBLANK(C677),"",SUBTOTAL(3,$C$8:C677))</f>
        <v>44</v>
      </c>
      <c r="C677" s="85" t="s">
        <v>1430</v>
      </c>
      <c r="D677" s="55" t="s">
        <v>1431</v>
      </c>
      <c r="E677" s="50" t="s">
        <v>1378</v>
      </c>
      <c r="F677" s="35" t="str">
        <f t="shared" si="44"/>
        <v/>
      </c>
      <c r="G677" s="36" t="str">
        <f t="shared" si="45"/>
        <v>B</v>
      </c>
      <c r="H677" s="51">
        <f t="shared" si="47"/>
        <v>1</v>
      </c>
      <c r="I677" s="51">
        <f t="shared" si="47"/>
        <v>2</v>
      </c>
      <c r="J677" s="51">
        <f t="shared" si="47"/>
        <v>5</v>
      </c>
      <c r="K677" s="37"/>
      <c r="L677" s="37" t="s">
        <v>47</v>
      </c>
      <c r="M677" s="37"/>
      <c r="N677" s="37"/>
      <c r="O677" s="37"/>
      <c r="P677" s="37" t="s">
        <v>47</v>
      </c>
      <c r="Q677" s="37" t="s">
        <v>47</v>
      </c>
      <c r="R677" s="37"/>
      <c r="S677" s="37"/>
      <c r="T677" s="37"/>
      <c r="U677" s="37"/>
      <c r="V677" s="37" t="s">
        <v>47</v>
      </c>
      <c r="W677" s="37"/>
      <c r="X677" s="37"/>
      <c r="Y677" s="37" t="s">
        <v>47</v>
      </c>
      <c r="Z677" s="37"/>
      <c r="AA677" s="37"/>
      <c r="AB677" s="37" t="s">
        <v>47</v>
      </c>
      <c r="AC677" s="37"/>
      <c r="AD677" s="37"/>
      <c r="AE677" s="37" t="s">
        <v>47</v>
      </c>
      <c r="AF677" s="37"/>
      <c r="AG677" s="37" t="s">
        <v>47</v>
      </c>
      <c r="AH677" s="37"/>
      <c r="AI677" s="37"/>
      <c r="AJ677" s="37"/>
      <c r="AK677" s="37"/>
      <c r="AM677" s="38"/>
      <c r="AN677" s="38"/>
      <c r="AO677" s="38"/>
      <c r="AP677" s="38"/>
      <c r="AQ677" s="38"/>
      <c r="AR677" s="38"/>
      <c r="AS677" s="38" t="s">
        <v>47</v>
      </c>
      <c r="AT677" s="38"/>
      <c r="AU677" s="38"/>
      <c r="AV677" s="38"/>
      <c r="AW677" s="38"/>
      <c r="AX677" s="38" t="s">
        <v>47</v>
      </c>
      <c r="AY677" s="38"/>
      <c r="AZ677" s="38"/>
      <c r="BA677" s="38"/>
      <c r="BB677" s="38"/>
      <c r="BC677" s="38"/>
      <c r="BD677" s="38"/>
      <c r="BE677" s="77">
        <f t="shared" si="46"/>
        <v>2</v>
      </c>
      <c r="BF677" s="38"/>
    </row>
    <row r="678" spans="1:58" ht="22.5" hidden="1" customHeight="1">
      <c r="A678" s="33" t="str">
        <f>IF(OR(ISBLANK(E678),ISBLANK(C678)),"",IF(COUNTIF($E$8:E678,E678)&gt;1,"",(MAX($A$7:A677)+1)))</f>
        <v/>
      </c>
      <c r="B678" s="34">
        <f>IF(ISBLANK(C678),"",SUBTOTAL(3,$C$8:C678))</f>
        <v>44</v>
      </c>
      <c r="C678" s="85" t="s">
        <v>1432</v>
      </c>
      <c r="D678" s="55" t="s">
        <v>1433</v>
      </c>
      <c r="E678" s="50" t="s">
        <v>1378</v>
      </c>
      <c r="F678" s="35" t="str">
        <f t="shared" si="44"/>
        <v/>
      </c>
      <c r="G678" s="36" t="str">
        <f t="shared" si="45"/>
        <v>C</v>
      </c>
      <c r="H678" s="51" t="str">
        <f t="shared" si="47"/>
        <v/>
      </c>
      <c r="I678" s="51">
        <f t="shared" si="47"/>
        <v>3</v>
      </c>
      <c r="J678" s="51">
        <f t="shared" si="47"/>
        <v>5</v>
      </c>
      <c r="K678" s="37"/>
      <c r="L678" s="37" t="s">
        <v>47</v>
      </c>
      <c r="M678" s="37"/>
      <c r="N678" s="37"/>
      <c r="O678" s="37"/>
      <c r="P678" s="37" t="s">
        <v>47</v>
      </c>
      <c r="Q678" s="37"/>
      <c r="R678" s="37" t="s">
        <v>47</v>
      </c>
      <c r="S678" s="37"/>
      <c r="T678" s="37"/>
      <c r="U678" s="37"/>
      <c r="V678" s="37" t="s">
        <v>47</v>
      </c>
      <c r="W678" s="37"/>
      <c r="X678" s="37"/>
      <c r="Y678" s="37" t="s">
        <v>47</v>
      </c>
      <c r="Z678" s="37"/>
      <c r="AA678" s="37"/>
      <c r="AB678" s="37" t="s">
        <v>47</v>
      </c>
      <c r="AC678" s="37"/>
      <c r="AD678" s="37"/>
      <c r="AE678" s="37" t="s">
        <v>47</v>
      </c>
      <c r="AF678" s="37"/>
      <c r="AG678" s="37" t="s">
        <v>47</v>
      </c>
      <c r="AH678" s="37"/>
      <c r="AI678" s="37"/>
      <c r="AJ678" s="37"/>
      <c r="AK678" s="37"/>
      <c r="AM678" s="38"/>
      <c r="AN678" s="38"/>
      <c r="AO678" s="38"/>
      <c r="AP678" s="38"/>
      <c r="AQ678" s="38"/>
      <c r="AR678" s="38" t="s">
        <v>47</v>
      </c>
      <c r="AS678" s="38" t="s">
        <v>47</v>
      </c>
      <c r="AT678" s="38"/>
      <c r="AU678" s="38"/>
      <c r="AV678" s="38"/>
      <c r="AW678" s="38"/>
      <c r="AX678" s="38"/>
      <c r="AY678" s="38" t="s">
        <v>47</v>
      </c>
      <c r="AZ678" s="38"/>
      <c r="BA678" s="38"/>
      <c r="BB678" s="38"/>
      <c r="BC678" s="38"/>
      <c r="BD678" s="38"/>
      <c r="BE678" s="77">
        <f t="shared" si="46"/>
        <v>3</v>
      </c>
      <c r="BF678" s="38"/>
    </row>
    <row r="679" spans="1:58" ht="22.5" hidden="1" customHeight="1">
      <c r="A679" s="33" t="str">
        <f>IF(OR(ISBLANK(E679),ISBLANK(C679)),"",IF(COUNTIF($E$8:E679,E679)&gt;1,"",(MAX($A$7:A678)+1)))</f>
        <v/>
      </c>
      <c r="B679" s="34">
        <f>IF(ISBLANK(C679),"",SUBTOTAL(3,$C$8:C679))</f>
        <v>44</v>
      </c>
      <c r="C679" s="85" t="s">
        <v>1434</v>
      </c>
      <c r="D679" s="50" t="s">
        <v>1435</v>
      </c>
      <c r="E679" s="50" t="s">
        <v>1378</v>
      </c>
      <c r="F679" s="35" t="str">
        <f t="shared" si="44"/>
        <v/>
      </c>
      <c r="G679" s="36" t="str">
        <f t="shared" si="45"/>
        <v>C</v>
      </c>
      <c r="H679" s="51" t="str">
        <f t="shared" si="47"/>
        <v/>
      </c>
      <c r="I679" s="51">
        <f t="shared" si="47"/>
        <v>4</v>
      </c>
      <c r="J679" s="51">
        <f t="shared" si="47"/>
        <v>4</v>
      </c>
      <c r="K679" s="37"/>
      <c r="L679" s="37" t="s">
        <v>47</v>
      </c>
      <c r="M679" s="37"/>
      <c r="N679" s="37"/>
      <c r="O679" s="37" t="s">
        <v>47</v>
      </c>
      <c r="P679" s="37"/>
      <c r="Q679" s="37"/>
      <c r="R679" s="37" t="s">
        <v>47</v>
      </c>
      <c r="S679" s="37"/>
      <c r="T679" s="37"/>
      <c r="U679" s="37"/>
      <c r="V679" s="37" t="s">
        <v>47</v>
      </c>
      <c r="W679" s="37"/>
      <c r="X679" s="37"/>
      <c r="Y679" s="37" t="s">
        <v>47</v>
      </c>
      <c r="Z679" s="37"/>
      <c r="AA679" s="37"/>
      <c r="AB679" s="37" t="s">
        <v>47</v>
      </c>
      <c r="AC679" s="37"/>
      <c r="AD679" s="37"/>
      <c r="AE679" s="37" t="s">
        <v>47</v>
      </c>
      <c r="AF679" s="37"/>
      <c r="AG679" s="37" t="s">
        <v>47</v>
      </c>
      <c r="AH679" s="37"/>
      <c r="AI679" s="37"/>
      <c r="AJ679" s="37"/>
      <c r="AK679" s="37"/>
      <c r="AM679" s="38"/>
      <c r="AN679" s="38"/>
      <c r="AO679" s="38"/>
      <c r="AP679" s="38"/>
      <c r="AQ679" s="38"/>
      <c r="AR679" s="38"/>
      <c r="AS679" s="38" t="s">
        <v>47</v>
      </c>
      <c r="AT679" s="38"/>
      <c r="AU679" s="38"/>
      <c r="AV679" s="38"/>
      <c r="AW679" s="38" t="s">
        <v>47</v>
      </c>
      <c r="AX679" s="38"/>
      <c r="AY679" s="38" t="s">
        <v>47</v>
      </c>
      <c r="AZ679" s="38"/>
      <c r="BA679" s="38"/>
      <c r="BB679" s="38"/>
      <c r="BC679" s="38"/>
      <c r="BD679" s="38"/>
      <c r="BE679" s="77">
        <f t="shared" si="46"/>
        <v>3</v>
      </c>
      <c r="BF679" s="38"/>
    </row>
    <row r="680" spans="1:58" ht="22.5" hidden="1" customHeight="1">
      <c r="A680" s="33" t="str">
        <f>IF(OR(ISBLANK(E680),ISBLANK(C680)),"",IF(COUNTIF($E$8:E680,E680)&gt;1,"",(MAX($A$7:A679)+1)))</f>
        <v/>
      </c>
      <c r="B680" s="34">
        <f>IF(ISBLANK(C680),"",SUBTOTAL(3,$C$8:C680))</f>
        <v>44</v>
      </c>
      <c r="C680" s="85" t="s">
        <v>1436</v>
      </c>
      <c r="D680" s="50" t="s">
        <v>1437</v>
      </c>
      <c r="E680" s="50" t="s">
        <v>1378</v>
      </c>
      <c r="F680" s="35" t="str">
        <f t="shared" si="44"/>
        <v/>
      </c>
      <c r="G680" s="36" t="str">
        <f t="shared" si="45"/>
        <v>C</v>
      </c>
      <c r="H680" s="51" t="str">
        <f t="shared" si="47"/>
        <v/>
      </c>
      <c r="I680" s="51">
        <f t="shared" si="47"/>
        <v>4</v>
      </c>
      <c r="J680" s="51">
        <f t="shared" si="47"/>
        <v>4</v>
      </c>
      <c r="K680" s="37"/>
      <c r="L680" s="37" t="s">
        <v>47</v>
      </c>
      <c r="M680" s="37"/>
      <c r="N680" s="37"/>
      <c r="O680" s="37"/>
      <c r="P680" s="37" t="s">
        <v>47</v>
      </c>
      <c r="Q680" s="37"/>
      <c r="R680" s="37" t="s">
        <v>47</v>
      </c>
      <c r="S680" s="37"/>
      <c r="T680" s="37"/>
      <c r="U680" s="37" t="s">
        <v>47</v>
      </c>
      <c r="V680" s="37"/>
      <c r="W680" s="37"/>
      <c r="X680" s="37"/>
      <c r="Y680" s="37" t="s">
        <v>47</v>
      </c>
      <c r="Z680" s="37"/>
      <c r="AA680" s="37"/>
      <c r="AB680" s="37" t="s">
        <v>47</v>
      </c>
      <c r="AC680" s="37"/>
      <c r="AD680" s="37"/>
      <c r="AE680" s="37" t="s">
        <v>47</v>
      </c>
      <c r="AF680" s="37"/>
      <c r="AG680" s="37" t="s">
        <v>47</v>
      </c>
      <c r="AH680" s="37"/>
      <c r="AI680" s="37"/>
      <c r="AJ680" s="37"/>
      <c r="AK680" s="37"/>
      <c r="AM680" s="38"/>
      <c r="AN680" s="38"/>
      <c r="AO680" s="38"/>
      <c r="AP680" s="38"/>
      <c r="AQ680" s="38"/>
      <c r="AR680" s="38"/>
      <c r="AS680" s="38"/>
      <c r="AT680" s="38"/>
      <c r="AU680" s="38"/>
      <c r="AV680" s="38"/>
      <c r="AW680" s="38"/>
      <c r="AX680" s="38"/>
      <c r="AY680" s="38"/>
      <c r="AZ680" s="38"/>
      <c r="BA680" s="38"/>
      <c r="BB680" s="38" t="s">
        <v>47</v>
      </c>
      <c r="BC680" s="38"/>
      <c r="BD680" s="38"/>
      <c r="BE680" s="77">
        <f t="shared" si="46"/>
        <v>1</v>
      </c>
      <c r="BF680" s="38"/>
    </row>
    <row r="681" spans="1:58" ht="22.5" hidden="1" customHeight="1">
      <c r="A681" s="33" t="str">
        <f>IF(OR(ISBLANK(E681),ISBLANK(C681)),"",IF(COUNTIF($E$8:E681,E681)&gt;1,"",(MAX($A$7:A680)+1)))</f>
        <v/>
      </c>
      <c r="B681" s="34">
        <f>IF(ISBLANK(C681),"",SUBTOTAL(3,$C$8:C681))</f>
        <v>44</v>
      </c>
      <c r="C681" s="81" t="s">
        <v>1438</v>
      </c>
      <c r="D681" s="52" t="s">
        <v>1439</v>
      </c>
      <c r="E681" s="50" t="s">
        <v>1378</v>
      </c>
      <c r="F681" s="35" t="str">
        <f t="shared" si="44"/>
        <v/>
      </c>
      <c r="G681" s="36" t="str">
        <f t="shared" si="45"/>
        <v>A</v>
      </c>
      <c r="H681" s="51">
        <f t="shared" si="47"/>
        <v>4</v>
      </c>
      <c r="I681" s="51">
        <f t="shared" si="47"/>
        <v>2</v>
      </c>
      <c r="J681" s="51">
        <f t="shared" si="47"/>
        <v>2</v>
      </c>
      <c r="K681" s="37" t="s">
        <v>47</v>
      </c>
      <c r="L681" s="37"/>
      <c r="M681" s="37"/>
      <c r="N681" s="37" t="s">
        <v>47</v>
      </c>
      <c r="O681" s="37"/>
      <c r="P681" s="37"/>
      <c r="Q681" s="37"/>
      <c r="R681" s="37" t="s">
        <v>47</v>
      </c>
      <c r="S681" s="37"/>
      <c r="T681" s="37" t="s">
        <v>47</v>
      </c>
      <c r="U681" s="37"/>
      <c r="V681" s="37"/>
      <c r="W681" s="37" t="s">
        <v>47</v>
      </c>
      <c r="X681" s="37"/>
      <c r="Y681" s="37"/>
      <c r="Z681" s="37"/>
      <c r="AA681" s="37"/>
      <c r="AB681" s="37" t="s">
        <v>47</v>
      </c>
      <c r="AC681" s="37"/>
      <c r="AD681" s="37"/>
      <c r="AE681" s="37" t="s">
        <v>47</v>
      </c>
      <c r="AF681" s="37"/>
      <c r="AG681" s="37" t="s">
        <v>47</v>
      </c>
      <c r="AH681" s="37"/>
      <c r="AI681" s="37"/>
      <c r="AJ681" s="37"/>
      <c r="AK681" s="37"/>
      <c r="AM681" s="38"/>
      <c r="AN681" s="38"/>
      <c r="AO681" s="38"/>
      <c r="AP681" s="38"/>
      <c r="AQ681" s="38"/>
      <c r="AR681" s="38"/>
      <c r="AS681" s="38"/>
      <c r="AT681" s="38"/>
      <c r="AU681" s="38"/>
      <c r="AV681" s="38"/>
      <c r="AW681" s="38"/>
      <c r="AX681" s="38"/>
      <c r="AY681" s="38"/>
      <c r="AZ681" s="38"/>
      <c r="BA681" s="38"/>
      <c r="BB681" s="38" t="s">
        <v>47</v>
      </c>
      <c r="BC681" s="38"/>
      <c r="BD681" s="38"/>
      <c r="BE681" s="77">
        <f t="shared" si="46"/>
        <v>1</v>
      </c>
      <c r="BF681" s="38"/>
    </row>
    <row r="682" spans="1:58" ht="22.5" hidden="1" customHeight="1">
      <c r="A682" s="33" t="str">
        <f>IF(OR(ISBLANK(E682),ISBLANK(C682)),"",IF(COUNTIF($E$8:E682,E682)&gt;1,"",(MAX($A$7:A681)+1)))</f>
        <v/>
      </c>
      <c r="B682" s="34">
        <f>IF(ISBLANK(C682),"",SUBTOTAL(3,$C$8:C682))</f>
        <v>44</v>
      </c>
      <c r="C682" s="81" t="s">
        <v>1440</v>
      </c>
      <c r="D682" s="52" t="s">
        <v>1441</v>
      </c>
      <c r="E682" s="50" t="s">
        <v>1378</v>
      </c>
      <c r="F682" s="35" t="str">
        <f t="shared" si="44"/>
        <v/>
      </c>
      <c r="G682" s="36" t="str">
        <f t="shared" si="45"/>
        <v>C</v>
      </c>
      <c r="H682" s="51" t="str">
        <f t="shared" si="47"/>
        <v/>
      </c>
      <c r="I682" s="51">
        <f t="shared" si="47"/>
        <v>2</v>
      </c>
      <c r="J682" s="51">
        <f t="shared" si="47"/>
        <v>6</v>
      </c>
      <c r="K682" s="37"/>
      <c r="L682" s="37"/>
      <c r="M682" s="37" t="s">
        <v>47</v>
      </c>
      <c r="N682" s="37"/>
      <c r="O682" s="37"/>
      <c r="P682" s="37" t="s">
        <v>47</v>
      </c>
      <c r="Q682" s="37"/>
      <c r="R682" s="37" t="s">
        <v>47</v>
      </c>
      <c r="S682" s="37"/>
      <c r="T682" s="37"/>
      <c r="U682" s="37"/>
      <c r="V682" s="37" t="s">
        <v>47</v>
      </c>
      <c r="W682" s="37"/>
      <c r="X682" s="37"/>
      <c r="Y682" s="37" t="s">
        <v>47</v>
      </c>
      <c r="Z682" s="37"/>
      <c r="AA682" s="37"/>
      <c r="AB682" s="37" t="s">
        <v>47</v>
      </c>
      <c r="AC682" s="37"/>
      <c r="AD682" s="37"/>
      <c r="AE682" s="37" t="s">
        <v>47</v>
      </c>
      <c r="AF682" s="37"/>
      <c r="AG682" s="37" t="s">
        <v>47</v>
      </c>
      <c r="AH682" s="37"/>
      <c r="AI682" s="37"/>
      <c r="AJ682" s="37"/>
      <c r="AK682" s="37"/>
      <c r="AM682" s="38"/>
      <c r="AN682" s="38"/>
      <c r="AO682" s="38"/>
      <c r="AP682" s="38"/>
      <c r="AQ682" s="38"/>
      <c r="AR682" s="38"/>
      <c r="AS682" s="38" t="s">
        <v>47</v>
      </c>
      <c r="AT682" s="38"/>
      <c r="AU682" s="38"/>
      <c r="AV682" s="38"/>
      <c r="AW682" s="38"/>
      <c r="AX682" s="38"/>
      <c r="AY682" s="38"/>
      <c r="AZ682" s="38"/>
      <c r="BA682" s="38"/>
      <c r="BB682" s="38"/>
      <c r="BC682" s="38"/>
      <c r="BD682" s="38"/>
      <c r="BE682" s="77">
        <f t="shared" si="46"/>
        <v>1</v>
      </c>
      <c r="BF682" s="38"/>
    </row>
    <row r="683" spans="1:58" ht="22.5" hidden="1" customHeight="1">
      <c r="A683" s="33" t="str">
        <f>IF(OR(ISBLANK(E683),ISBLANK(C683)),"",IF(COUNTIF($E$8:E683,E683)&gt;1,"",(MAX($A$7:A682)+1)))</f>
        <v/>
      </c>
      <c r="B683" s="34">
        <f>IF(ISBLANK(C683),"",SUBTOTAL(3,$C$8:C683))</f>
        <v>44</v>
      </c>
      <c r="C683" s="80" t="s">
        <v>1442</v>
      </c>
      <c r="D683" s="50" t="s">
        <v>1443</v>
      </c>
      <c r="E683" s="50" t="s">
        <v>1378</v>
      </c>
      <c r="F683" s="35" t="str">
        <f t="shared" si="44"/>
        <v/>
      </c>
      <c r="G683" s="36" t="str">
        <f t="shared" si="45"/>
        <v>C</v>
      </c>
      <c r="H683" s="51" t="str">
        <f t="shared" si="47"/>
        <v/>
      </c>
      <c r="I683" s="51">
        <f t="shared" si="47"/>
        <v>4</v>
      </c>
      <c r="J683" s="51">
        <f t="shared" si="47"/>
        <v>4</v>
      </c>
      <c r="K683" s="37"/>
      <c r="L683" s="37" t="s">
        <v>47</v>
      </c>
      <c r="M683" s="37"/>
      <c r="N683" s="37"/>
      <c r="O683" s="37" t="s">
        <v>47</v>
      </c>
      <c r="P683" s="37"/>
      <c r="Q683" s="37"/>
      <c r="R683" s="37" t="s">
        <v>47</v>
      </c>
      <c r="S683" s="37"/>
      <c r="T683" s="37"/>
      <c r="U683" s="37"/>
      <c r="V683" s="37" t="s">
        <v>47</v>
      </c>
      <c r="W683" s="37"/>
      <c r="X683" s="37"/>
      <c r="Y683" s="37" t="s">
        <v>47</v>
      </c>
      <c r="Z683" s="37"/>
      <c r="AA683" s="37"/>
      <c r="AB683" s="37" t="s">
        <v>47</v>
      </c>
      <c r="AC683" s="37"/>
      <c r="AD683" s="37"/>
      <c r="AE683" s="37" t="s">
        <v>47</v>
      </c>
      <c r="AF683" s="37"/>
      <c r="AG683" s="37" t="s">
        <v>47</v>
      </c>
      <c r="AH683" s="37"/>
      <c r="AI683" s="37"/>
      <c r="AJ683" s="37"/>
      <c r="AK683" s="37"/>
      <c r="AM683" s="38"/>
      <c r="AN683" s="38"/>
      <c r="AO683" s="38"/>
      <c r="AP683" s="38"/>
      <c r="AQ683" s="38"/>
      <c r="AR683" s="38"/>
      <c r="AS683" s="38" t="s">
        <v>47</v>
      </c>
      <c r="AT683" s="38"/>
      <c r="AU683" s="38"/>
      <c r="AV683" s="38"/>
      <c r="AW683" s="38" t="s">
        <v>47</v>
      </c>
      <c r="AX683" s="38"/>
      <c r="AY683" s="38"/>
      <c r="AZ683" s="38"/>
      <c r="BA683" s="38"/>
      <c r="BB683" s="38"/>
      <c r="BC683" s="38"/>
      <c r="BD683" s="38"/>
      <c r="BE683" s="77">
        <f t="shared" si="46"/>
        <v>2</v>
      </c>
      <c r="BF683" s="38"/>
    </row>
    <row r="684" spans="1:58" ht="22.5" hidden="1" customHeight="1">
      <c r="A684" s="33" t="str">
        <f>IF(OR(ISBLANK(E684),ISBLANK(C684)),"",IF(COUNTIF($E$8:E684,E684)&gt;1,"",(MAX($A$7:A683)+1)))</f>
        <v/>
      </c>
      <c r="B684" s="34">
        <f>IF(ISBLANK(C684),"",SUBTOTAL(3,$C$8:C684))</f>
        <v>44</v>
      </c>
      <c r="C684" s="81" t="s">
        <v>1444</v>
      </c>
      <c r="D684" s="50" t="s">
        <v>1445</v>
      </c>
      <c r="E684" s="50" t="s">
        <v>1378</v>
      </c>
      <c r="F684" s="35" t="str">
        <f t="shared" si="44"/>
        <v/>
      </c>
      <c r="G684" s="36" t="str">
        <f t="shared" si="45"/>
        <v>C</v>
      </c>
      <c r="H684" s="51" t="str">
        <f t="shared" si="47"/>
        <v/>
      </c>
      <c r="I684" s="51">
        <f t="shared" si="47"/>
        <v>3</v>
      </c>
      <c r="J684" s="51">
        <f t="shared" si="47"/>
        <v>5</v>
      </c>
      <c r="K684" s="37"/>
      <c r="L684" s="37" t="s">
        <v>47</v>
      </c>
      <c r="M684" s="37"/>
      <c r="N684" s="37"/>
      <c r="O684" s="37"/>
      <c r="P684" s="37" t="s">
        <v>47</v>
      </c>
      <c r="Q684" s="37"/>
      <c r="R684" s="37"/>
      <c r="S684" s="37" t="s">
        <v>47</v>
      </c>
      <c r="T684" s="37"/>
      <c r="U684" s="37"/>
      <c r="V684" s="37" t="s">
        <v>47</v>
      </c>
      <c r="W684" s="37"/>
      <c r="X684" s="37"/>
      <c r="Y684" s="37" t="s">
        <v>47</v>
      </c>
      <c r="Z684" s="37"/>
      <c r="AA684" s="37" t="s">
        <v>47</v>
      </c>
      <c r="AB684" s="37"/>
      <c r="AC684" s="37"/>
      <c r="AD684" s="37"/>
      <c r="AE684" s="37" t="s">
        <v>47</v>
      </c>
      <c r="AF684" s="37"/>
      <c r="AG684" s="37" t="s">
        <v>47</v>
      </c>
      <c r="AH684" s="37"/>
      <c r="AI684" s="37"/>
      <c r="AJ684" s="37"/>
      <c r="AK684" s="37"/>
      <c r="AM684" s="38"/>
      <c r="AN684" s="38"/>
      <c r="AO684" s="38"/>
      <c r="AP684" s="38"/>
      <c r="AQ684" s="38"/>
      <c r="AR684" s="38"/>
      <c r="AS684" s="38" t="s">
        <v>47</v>
      </c>
      <c r="AT684" s="38"/>
      <c r="AU684" s="38"/>
      <c r="AV684" s="38"/>
      <c r="AW684" s="38"/>
      <c r="AX684" s="38"/>
      <c r="AY684" s="38"/>
      <c r="AZ684" s="38"/>
      <c r="BA684" s="38"/>
      <c r="BB684" s="38"/>
      <c r="BC684" s="38"/>
      <c r="BD684" s="38"/>
      <c r="BE684" s="77">
        <f t="shared" si="46"/>
        <v>1</v>
      </c>
      <c r="BF684" s="38"/>
    </row>
    <row r="685" spans="1:58" ht="22.5" hidden="1" customHeight="1">
      <c r="A685" s="33" t="str">
        <f>IF(OR(ISBLANK(E685),ISBLANK(C685)),"",IF(COUNTIF($E$8:E685,E685)&gt;1,"",(MAX($A$7:A684)+1)))</f>
        <v/>
      </c>
      <c r="B685" s="34">
        <f>IF(ISBLANK(C685),"",SUBTOTAL(3,$C$8:C685))</f>
        <v>44</v>
      </c>
      <c r="C685" s="81" t="s">
        <v>1446</v>
      </c>
      <c r="D685" s="50" t="s">
        <v>1447</v>
      </c>
      <c r="E685" s="50" t="s">
        <v>1378</v>
      </c>
      <c r="F685" s="35" t="str">
        <f t="shared" si="44"/>
        <v/>
      </c>
      <c r="G685" s="36" t="str">
        <f t="shared" si="45"/>
        <v>C</v>
      </c>
      <c r="H685" s="51" t="str">
        <f t="shared" si="47"/>
        <v/>
      </c>
      <c r="I685" s="51">
        <f t="shared" si="47"/>
        <v>2</v>
      </c>
      <c r="J685" s="51">
        <f t="shared" si="47"/>
        <v>6</v>
      </c>
      <c r="K685" s="37"/>
      <c r="L685" s="37" t="s">
        <v>47</v>
      </c>
      <c r="M685" s="37"/>
      <c r="N685" s="37"/>
      <c r="O685" s="37"/>
      <c r="P685" s="37" t="s">
        <v>47</v>
      </c>
      <c r="Q685" s="37"/>
      <c r="R685" s="37"/>
      <c r="S685" s="37" t="s">
        <v>47</v>
      </c>
      <c r="T685" s="37"/>
      <c r="U685" s="37"/>
      <c r="V685" s="37" t="s">
        <v>47</v>
      </c>
      <c r="W685" s="37"/>
      <c r="X685" s="37"/>
      <c r="Y685" s="37" t="s">
        <v>47</v>
      </c>
      <c r="Z685" s="37"/>
      <c r="AA685" s="37"/>
      <c r="AB685" s="37" t="s">
        <v>47</v>
      </c>
      <c r="AC685" s="37"/>
      <c r="AD685" s="37"/>
      <c r="AE685" s="37" t="s">
        <v>47</v>
      </c>
      <c r="AF685" s="37"/>
      <c r="AG685" s="37" t="s">
        <v>47</v>
      </c>
      <c r="AH685" s="37"/>
      <c r="AI685" s="37"/>
      <c r="AJ685" s="37"/>
      <c r="AK685" s="37"/>
      <c r="AM685" s="38"/>
      <c r="AN685" s="38"/>
      <c r="AO685" s="38"/>
      <c r="AP685" s="38"/>
      <c r="AQ685" s="38"/>
      <c r="AR685" s="38" t="s">
        <v>47</v>
      </c>
      <c r="AS685" s="38" t="s">
        <v>47</v>
      </c>
      <c r="AT685" s="38"/>
      <c r="AU685" s="38"/>
      <c r="AV685" s="38"/>
      <c r="AW685" s="38"/>
      <c r="AX685" s="38"/>
      <c r="AY685" s="38"/>
      <c r="AZ685" s="38"/>
      <c r="BA685" s="38"/>
      <c r="BB685" s="38"/>
      <c r="BC685" s="38"/>
      <c r="BD685" s="38"/>
      <c r="BE685" s="77">
        <f t="shared" si="46"/>
        <v>2</v>
      </c>
      <c r="BF685" s="38"/>
    </row>
    <row r="686" spans="1:58" ht="22.5" hidden="1" customHeight="1">
      <c r="A686" s="33">
        <f>IF(OR(ISBLANK(E686),ISBLANK(C686)),"",IF(COUNTIF($E$8:E686,E686)&gt;1,"",(MAX($A$7:A685)+1)))</f>
        <v>18</v>
      </c>
      <c r="B686" s="34">
        <f>IF(ISBLANK(C686),"",SUBTOTAL(3,$C$8:C686))</f>
        <v>44</v>
      </c>
      <c r="C686" s="83" t="s">
        <v>1448</v>
      </c>
      <c r="D686" s="50" t="s">
        <v>1449</v>
      </c>
      <c r="E686" s="50" t="s">
        <v>1450</v>
      </c>
      <c r="F686" s="35" t="str">
        <f t="shared" si="44"/>
        <v/>
      </c>
      <c r="G686" s="36" t="str">
        <f t="shared" si="45"/>
        <v>D</v>
      </c>
      <c r="H686" s="51" t="str">
        <f t="shared" si="47"/>
        <v/>
      </c>
      <c r="I686" s="51">
        <f t="shared" si="47"/>
        <v>1</v>
      </c>
      <c r="J686" s="51" t="str">
        <f t="shared" si="47"/>
        <v/>
      </c>
      <c r="K686" s="37"/>
      <c r="L686" s="37" t="s">
        <v>47</v>
      </c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  <c r="AK686" s="37"/>
      <c r="AM686" s="38"/>
      <c r="AN686" s="38" t="s">
        <v>47</v>
      </c>
      <c r="AO686" s="38"/>
      <c r="AP686" s="38"/>
      <c r="AQ686" s="38"/>
      <c r="AR686" s="38"/>
      <c r="AS686" s="38"/>
      <c r="AT686" s="38"/>
      <c r="AU686" s="38"/>
      <c r="AV686" s="38"/>
      <c r="AW686" s="38"/>
      <c r="AX686" s="38"/>
      <c r="AY686" s="38"/>
      <c r="AZ686" s="38"/>
      <c r="BA686" s="38"/>
      <c r="BB686" s="38"/>
      <c r="BC686" s="38"/>
      <c r="BD686" s="38"/>
      <c r="BE686" s="77">
        <f t="shared" si="46"/>
        <v>1</v>
      </c>
      <c r="BF686" s="38"/>
    </row>
    <row r="687" spans="1:58" ht="22.5" hidden="1" customHeight="1">
      <c r="A687" s="33" t="str">
        <f>IF(OR(ISBLANK(E687),ISBLANK(C687)),"",IF(COUNTIF($E$8:E687,E687)&gt;1,"",(MAX($A$7:A686)+1)))</f>
        <v/>
      </c>
      <c r="B687" s="34">
        <f>IF(ISBLANK(C687),"",SUBTOTAL(3,$C$8:C687))</f>
        <v>44</v>
      </c>
      <c r="C687" s="81" t="s">
        <v>1451</v>
      </c>
      <c r="D687" s="50" t="s">
        <v>1452</v>
      </c>
      <c r="E687" s="50" t="s">
        <v>1450</v>
      </c>
      <c r="F687" s="35" t="str">
        <f t="shared" si="44"/>
        <v/>
      </c>
      <c r="G687" s="36" t="str">
        <f t="shared" si="45"/>
        <v/>
      </c>
      <c r="H687" s="51" t="str">
        <f t="shared" si="47"/>
        <v/>
      </c>
      <c r="I687" s="51" t="str">
        <f t="shared" si="47"/>
        <v/>
      </c>
      <c r="J687" s="51" t="str">
        <f t="shared" si="47"/>
        <v/>
      </c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  <c r="AJ687" s="37"/>
      <c r="AK687" s="37"/>
      <c r="AM687" s="38"/>
      <c r="AN687" s="38"/>
      <c r="AO687" s="38"/>
      <c r="AP687" s="38"/>
      <c r="AQ687" s="38"/>
      <c r="AR687" s="38"/>
      <c r="AS687" s="38"/>
      <c r="AT687" s="38"/>
      <c r="AU687" s="38"/>
      <c r="AV687" s="38"/>
      <c r="AW687" s="38"/>
      <c r="AX687" s="38"/>
      <c r="AY687" s="38"/>
      <c r="AZ687" s="38"/>
      <c r="BA687" s="38"/>
      <c r="BB687" s="38"/>
      <c r="BC687" s="38"/>
      <c r="BD687" s="38"/>
      <c r="BE687" s="77">
        <f t="shared" si="46"/>
        <v>0</v>
      </c>
      <c r="BF687" s="38"/>
    </row>
    <row r="688" spans="1:58" ht="22.5" hidden="1" customHeight="1">
      <c r="A688" s="33" t="str">
        <f>IF(OR(ISBLANK(E688),ISBLANK(C688)),"",IF(COUNTIF($E$8:E688,E688)&gt;1,"",(MAX($A$7:A687)+1)))</f>
        <v/>
      </c>
      <c r="B688" s="34">
        <f>IF(ISBLANK(C688),"",SUBTOTAL(3,$C$8:C688))</f>
        <v>44</v>
      </c>
      <c r="C688" s="81" t="s">
        <v>1453</v>
      </c>
      <c r="D688" s="50" t="s">
        <v>1454</v>
      </c>
      <c r="E688" s="50" t="s">
        <v>1450</v>
      </c>
      <c r="F688" s="35" t="str">
        <f t="shared" si="44"/>
        <v/>
      </c>
      <c r="G688" s="36" t="str">
        <f t="shared" si="45"/>
        <v>A</v>
      </c>
      <c r="H688" s="51">
        <f t="shared" si="47"/>
        <v>3</v>
      </c>
      <c r="I688" s="51">
        <f t="shared" si="47"/>
        <v>1</v>
      </c>
      <c r="J688" s="51" t="str">
        <f t="shared" si="47"/>
        <v/>
      </c>
      <c r="K688" s="37" t="s">
        <v>47</v>
      </c>
      <c r="L688" s="37"/>
      <c r="M688" s="37"/>
      <c r="N688" s="37" t="s">
        <v>47</v>
      </c>
      <c r="O688" s="37"/>
      <c r="P688" s="37"/>
      <c r="Q688" s="37"/>
      <c r="R688" s="37" t="s">
        <v>47</v>
      </c>
      <c r="S688" s="37"/>
      <c r="T688" s="37"/>
      <c r="U688" s="37"/>
      <c r="V688" s="37"/>
      <c r="W688" s="37" t="s">
        <v>47</v>
      </c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  <c r="AJ688" s="37"/>
      <c r="AK688" s="37"/>
      <c r="AM688" s="38"/>
      <c r="AN688" s="38"/>
      <c r="AO688" s="38"/>
      <c r="AP688" s="38"/>
      <c r="AQ688" s="38"/>
      <c r="AR688" s="38"/>
      <c r="AS688" s="38"/>
      <c r="AT688" s="38" t="s">
        <v>47</v>
      </c>
      <c r="AU688" s="38"/>
      <c r="AV688" s="38"/>
      <c r="AW688" s="38" t="s">
        <v>47</v>
      </c>
      <c r="AX688" s="38"/>
      <c r="AY688" s="38" t="s">
        <v>47</v>
      </c>
      <c r="AZ688" s="38"/>
      <c r="BA688" s="38" t="s">
        <v>47</v>
      </c>
      <c r="BB688" s="38" t="s">
        <v>47</v>
      </c>
      <c r="BC688" s="38"/>
      <c r="BD688" s="38"/>
      <c r="BE688" s="77">
        <f t="shared" si="46"/>
        <v>5</v>
      </c>
      <c r="BF688" s="38"/>
    </row>
    <row r="689" spans="1:58" ht="22.5" hidden="1" customHeight="1">
      <c r="A689" s="33" t="str">
        <f>IF(OR(ISBLANK(E689),ISBLANK(C689)),"",IF(COUNTIF($E$8:E689,E689)&gt;1,"",(MAX($A$7:A688)+1)))</f>
        <v/>
      </c>
      <c r="B689" s="34">
        <f>IF(ISBLANK(C689),"",SUBTOTAL(3,$C$8:C689))</f>
        <v>44</v>
      </c>
      <c r="C689" s="80" t="s">
        <v>1455</v>
      </c>
      <c r="D689" s="50" t="s">
        <v>1456</v>
      </c>
      <c r="E689" s="50" t="s">
        <v>1450</v>
      </c>
      <c r="F689" s="35" t="str">
        <f t="shared" si="44"/>
        <v/>
      </c>
      <c r="G689" s="36" t="str">
        <f t="shared" si="45"/>
        <v>D</v>
      </c>
      <c r="H689" s="51" t="str">
        <f t="shared" si="47"/>
        <v/>
      </c>
      <c r="I689" s="51">
        <f t="shared" si="47"/>
        <v>1</v>
      </c>
      <c r="J689" s="51" t="str">
        <f t="shared" si="47"/>
        <v/>
      </c>
      <c r="K689" s="37"/>
      <c r="L689" s="37" t="s">
        <v>47</v>
      </c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37"/>
      <c r="AJ689" s="37"/>
      <c r="AK689" s="37"/>
      <c r="AM689" s="38"/>
      <c r="AN689" s="38"/>
      <c r="AO689" s="38"/>
      <c r="AP689" s="38"/>
      <c r="AQ689" s="38"/>
      <c r="AR689" s="38"/>
      <c r="AS689" s="38"/>
      <c r="AT689" s="38"/>
      <c r="AU689" s="38" t="s">
        <v>47</v>
      </c>
      <c r="AV689" s="38"/>
      <c r="AW689" s="38"/>
      <c r="AX689" s="38"/>
      <c r="AY689" s="38"/>
      <c r="AZ689" s="38"/>
      <c r="BA689" s="38"/>
      <c r="BB689" s="38"/>
      <c r="BC689" s="38"/>
      <c r="BD689" s="38"/>
      <c r="BE689" s="77">
        <f t="shared" si="46"/>
        <v>1</v>
      </c>
      <c r="BF689" s="38"/>
    </row>
    <row r="690" spans="1:58" ht="22.5" hidden="1" customHeight="1">
      <c r="A690" s="33" t="str">
        <f>IF(OR(ISBLANK(E690),ISBLANK(C690)),"",IF(COUNTIF($E$8:E690,E690)&gt;1,"",(MAX($A$7:A689)+1)))</f>
        <v/>
      </c>
      <c r="B690" s="34">
        <f>IF(ISBLANK(C690),"",SUBTOTAL(3,$C$8:C690))</f>
        <v>44</v>
      </c>
      <c r="C690" s="81" t="s">
        <v>1457</v>
      </c>
      <c r="D690" s="50" t="s">
        <v>1458</v>
      </c>
      <c r="E690" s="50" t="s">
        <v>1450</v>
      </c>
      <c r="F690" s="35" t="str">
        <f t="shared" si="44"/>
        <v/>
      </c>
      <c r="G690" s="36" t="str">
        <f t="shared" si="45"/>
        <v>D</v>
      </c>
      <c r="H690" s="51" t="str">
        <f t="shared" si="47"/>
        <v/>
      </c>
      <c r="I690" s="51">
        <f t="shared" si="47"/>
        <v>1</v>
      </c>
      <c r="J690" s="51" t="str">
        <f t="shared" si="47"/>
        <v/>
      </c>
      <c r="K690" s="37"/>
      <c r="L690" s="37" t="s">
        <v>47</v>
      </c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7"/>
      <c r="AK690" s="37"/>
      <c r="AM690" s="38"/>
      <c r="AN690" s="38"/>
      <c r="AO690" s="38"/>
      <c r="AP690" s="38"/>
      <c r="AQ690" s="38"/>
      <c r="AR690" s="38"/>
      <c r="AS690" s="38" t="s">
        <v>47</v>
      </c>
      <c r="AT690" s="38"/>
      <c r="AU690" s="38"/>
      <c r="AV690" s="38"/>
      <c r="AW690" s="38"/>
      <c r="AX690" s="38"/>
      <c r="AY690" s="38"/>
      <c r="AZ690" s="38"/>
      <c r="BA690" s="38"/>
      <c r="BB690" s="38"/>
      <c r="BC690" s="38"/>
      <c r="BD690" s="38"/>
      <c r="BE690" s="77">
        <f t="shared" si="46"/>
        <v>1</v>
      </c>
      <c r="BF690" s="38"/>
    </row>
    <row r="691" spans="1:58" ht="22.5" hidden="1" customHeight="1">
      <c r="A691" s="33" t="str">
        <f>IF(OR(ISBLANK(E691),ISBLANK(C691)),"",IF(COUNTIF($E$8:E691,E691)&gt;1,"",(MAX($A$7:A690)+1)))</f>
        <v/>
      </c>
      <c r="B691" s="34">
        <f>IF(ISBLANK(C691),"",SUBTOTAL(3,$C$8:C691))</f>
        <v>44</v>
      </c>
      <c r="C691" s="81" t="s">
        <v>1459</v>
      </c>
      <c r="D691" s="50" t="s">
        <v>496</v>
      </c>
      <c r="E691" s="50" t="s">
        <v>1450</v>
      </c>
      <c r="F691" s="35" t="str">
        <f t="shared" si="44"/>
        <v/>
      </c>
      <c r="G691" s="36" t="str">
        <f t="shared" si="45"/>
        <v>C</v>
      </c>
      <c r="H691" s="51">
        <f t="shared" si="47"/>
        <v>1</v>
      </c>
      <c r="I691" s="51" t="str">
        <f t="shared" si="47"/>
        <v/>
      </c>
      <c r="J691" s="51">
        <f t="shared" si="47"/>
        <v>1</v>
      </c>
      <c r="K691" s="37"/>
      <c r="L691" s="37"/>
      <c r="M691" s="37" t="s">
        <v>47</v>
      </c>
      <c r="N691" s="37"/>
      <c r="O691" s="37"/>
      <c r="P691" s="37"/>
      <c r="Q691" s="37" t="s">
        <v>47</v>
      </c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  <c r="AK691" s="37"/>
      <c r="AM691" s="38"/>
      <c r="AN691" s="38"/>
      <c r="AO691" s="38"/>
      <c r="AP691" s="38"/>
      <c r="AQ691" s="38"/>
      <c r="AR691" s="38"/>
      <c r="AS691" s="38"/>
      <c r="AT691" s="38"/>
      <c r="AU691" s="38"/>
      <c r="AV691" s="38" t="s">
        <v>47</v>
      </c>
      <c r="AW691" s="38"/>
      <c r="AX691" s="38"/>
      <c r="AY691" s="38"/>
      <c r="AZ691" s="38"/>
      <c r="BA691" s="38"/>
      <c r="BB691" s="38"/>
      <c r="BC691" s="38"/>
      <c r="BD691" s="38"/>
      <c r="BE691" s="77">
        <f t="shared" si="46"/>
        <v>1</v>
      </c>
      <c r="BF691" s="38"/>
    </row>
    <row r="692" spans="1:58" ht="22.5" hidden="1" customHeight="1">
      <c r="A692" s="33" t="str">
        <f>IF(OR(ISBLANK(E692),ISBLANK(C692)),"",IF(COUNTIF($E$8:E692,E692)&gt;1,"",(MAX($A$7:A691)+1)))</f>
        <v/>
      </c>
      <c r="B692" s="34">
        <f>IF(ISBLANK(C692),"",SUBTOTAL(3,$C$8:C692))</f>
        <v>44</v>
      </c>
      <c r="C692" s="81" t="s">
        <v>1460</v>
      </c>
      <c r="D692" s="50" t="s">
        <v>1461</v>
      </c>
      <c r="E692" s="50" t="s">
        <v>1450</v>
      </c>
      <c r="F692" s="35" t="str">
        <f t="shared" si="44"/>
        <v/>
      </c>
      <c r="G692" s="36" t="str">
        <f t="shared" si="45"/>
        <v>C</v>
      </c>
      <c r="H692" s="51">
        <f t="shared" si="47"/>
        <v>1</v>
      </c>
      <c r="I692" s="51">
        <f t="shared" si="47"/>
        <v>1</v>
      </c>
      <c r="J692" s="51" t="str">
        <f t="shared" si="47"/>
        <v/>
      </c>
      <c r="K692" s="37"/>
      <c r="L692" s="37" t="s">
        <v>47</v>
      </c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 t="s">
        <v>47</v>
      </c>
      <c r="AA692" s="37"/>
      <c r="AB692" s="37"/>
      <c r="AC692" s="37"/>
      <c r="AD692" s="37"/>
      <c r="AE692" s="37"/>
      <c r="AF692" s="37"/>
      <c r="AG692" s="37"/>
      <c r="AH692" s="37"/>
      <c r="AI692" s="37"/>
      <c r="AJ692" s="37"/>
      <c r="AK692" s="37"/>
      <c r="AM692" s="38"/>
      <c r="AN692" s="38"/>
      <c r="AO692" s="38" t="s">
        <v>47</v>
      </c>
      <c r="AP692" s="38"/>
      <c r="AQ692" s="38"/>
      <c r="AR692" s="38"/>
      <c r="AS692" s="38"/>
      <c r="AT692" s="38"/>
      <c r="AU692" s="38"/>
      <c r="AV692" s="38"/>
      <c r="AW692" s="38"/>
      <c r="AX692" s="38"/>
      <c r="AY692" s="38"/>
      <c r="AZ692" s="38"/>
      <c r="BA692" s="38"/>
      <c r="BB692" s="38"/>
      <c r="BC692" s="38"/>
      <c r="BD692" s="38"/>
      <c r="BE692" s="77">
        <f t="shared" si="46"/>
        <v>1</v>
      </c>
      <c r="BF692" s="38"/>
    </row>
    <row r="693" spans="1:58" ht="22.5" hidden="1" customHeight="1">
      <c r="A693" s="33" t="str">
        <f>IF(OR(ISBLANK(E693),ISBLANK(C693)),"",IF(COUNTIF($E$8:E693,E693)&gt;1,"",(MAX($A$7:A692)+1)))</f>
        <v/>
      </c>
      <c r="B693" s="34">
        <f>IF(ISBLANK(C693),"",SUBTOTAL(3,$C$8:C693))</f>
        <v>44</v>
      </c>
      <c r="C693" s="81" t="s">
        <v>1462</v>
      </c>
      <c r="D693" s="50" t="s">
        <v>1463</v>
      </c>
      <c r="E693" s="50" t="s">
        <v>1450</v>
      </c>
      <c r="F693" s="35" t="str">
        <f t="shared" si="44"/>
        <v/>
      </c>
      <c r="G693" s="36" t="str">
        <f t="shared" si="45"/>
        <v>D</v>
      </c>
      <c r="H693" s="51" t="str">
        <f t="shared" si="47"/>
        <v/>
      </c>
      <c r="I693" s="51">
        <f t="shared" si="47"/>
        <v>1</v>
      </c>
      <c r="J693" s="51" t="str">
        <f t="shared" si="47"/>
        <v/>
      </c>
      <c r="K693" s="37"/>
      <c r="L693" s="37" t="s">
        <v>47</v>
      </c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  <c r="AJ693" s="37"/>
      <c r="AK693" s="37"/>
      <c r="AM693" s="38"/>
      <c r="AN693" s="38"/>
      <c r="AO693" s="38"/>
      <c r="AP693" s="38"/>
      <c r="AQ693" s="38"/>
      <c r="AR693" s="38"/>
      <c r="AS693" s="38"/>
      <c r="AT693" s="38"/>
      <c r="AU693" s="38"/>
      <c r="AV693" s="38"/>
      <c r="AW693" s="38"/>
      <c r="AX693" s="38"/>
      <c r="AY693" s="38"/>
      <c r="AZ693" s="38" t="s">
        <v>47</v>
      </c>
      <c r="BA693" s="38"/>
      <c r="BB693" s="38"/>
      <c r="BC693" s="38"/>
      <c r="BD693" s="38"/>
      <c r="BE693" s="77">
        <f t="shared" si="46"/>
        <v>1</v>
      </c>
      <c r="BF693" s="38"/>
    </row>
    <row r="694" spans="1:58" ht="22.5" hidden="1" customHeight="1">
      <c r="A694" s="33" t="str">
        <f>IF(OR(ISBLANK(E694),ISBLANK(C694)),"",IF(COUNTIF($E$8:E694,E694)&gt;1,"",(MAX($A$7:A693)+1)))</f>
        <v/>
      </c>
      <c r="B694" s="34">
        <f>IF(ISBLANK(C694),"",SUBTOTAL(3,$C$8:C694))</f>
        <v>44</v>
      </c>
      <c r="C694" s="83" t="s">
        <v>1464</v>
      </c>
      <c r="D694" s="50" t="s">
        <v>1465</v>
      </c>
      <c r="E694" s="50" t="s">
        <v>1450</v>
      </c>
      <c r="F694" s="35" t="str">
        <f t="shared" si="44"/>
        <v/>
      </c>
      <c r="G694" s="36" t="str">
        <f t="shared" si="45"/>
        <v>D</v>
      </c>
      <c r="H694" s="51" t="str">
        <f t="shared" si="47"/>
        <v/>
      </c>
      <c r="I694" s="51">
        <f t="shared" si="47"/>
        <v>1</v>
      </c>
      <c r="J694" s="51" t="str">
        <f t="shared" si="47"/>
        <v/>
      </c>
      <c r="K694" s="37"/>
      <c r="L694" s="37" t="s">
        <v>47</v>
      </c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  <c r="AJ694" s="37"/>
      <c r="AK694" s="37"/>
      <c r="AM694" s="38"/>
      <c r="AN694" s="38"/>
      <c r="AO694" s="38"/>
      <c r="AP694" s="38"/>
      <c r="AQ694" s="38"/>
      <c r="AR694" s="38"/>
      <c r="AS694" s="38" t="s">
        <v>47</v>
      </c>
      <c r="AT694" s="38"/>
      <c r="AU694" s="38"/>
      <c r="AV694" s="38"/>
      <c r="AW694" s="38"/>
      <c r="AX694" s="38"/>
      <c r="AY694" s="38"/>
      <c r="AZ694" s="38"/>
      <c r="BA694" s="38"/>
      <c r="BB694" s="38"/>
      <c r="BC694" s="38"/>
      <c r="BD694" s="38"/>
      <c r="BE694" s="77">
        <f t="shared" si="46"/>
        <v>1</v>
      </c>
      <c r="BF694" s="38"/>
    </row>
    <row r="695" spans="1:58" ht="22.5" hidden="1" customHeight="1">
      <c r="A695" s="33" t="str">
        <f>IF(OR(ISBLANK(E695),ISBLANK(C695)),"",IF(COUNTIF($E$8:E695,E695)&gt;1,"",(MAX($A$7:A694)+1)))</f>
        <v/>
      </c>
      <c r="B695" s="34">
        <f>IF(ISBLANK(C695),"",SUBTOTAL(3,$C$8:C695))</f>
        <v>44</v>
      </c>
      <c r="C695" s="83" t="s">
        <v>1466</v>
      </c>
      <c r="D695" s="50" t="s">
        <v>1467</v>
      </c>
      <c r="E695" s="50" t="s">
        <v>1450</v>
      </c>
      <c r="F695" s="35" t="str">
        <f t="shared" si="44"/>
        <v/>
      </c>
      <c r="G695" s="36" t="str">
        <f t="shared" si="45"/>
        <v>D</v>
      </c>
      <c r="H695" s="51" t="str">
        <f t="shared" si="47"/>
        <v/>
      </c>
      <c r="I695" s="51">
        <f t="shared" si="47"/>
        <v>1</v>
      </c>
      <c r="J695" s="51" t="str">
        <f t="shared" si="47"/>
        <v/>
      </c>
      <c r="K695" s="37"/>
      <c r="L695" s="37" t="s">
        <v>47</v>
      </c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  <c r="AJ695" s="37"/>
      <c r="AK695" s="37"/>
      <c r="AM695" s="38"/>
      <c r="AN695" s="38"/>
      <c r="AO695" s="38"/>
      <c r="AP695" s="38"/>
      <c r="AQ695" s="38"/>
      <c r="AR695" s="38"/>
      <c r="AS695" s="38"/>
      <c r="AT695" s="38"/>
      <c r="AU695" s="38"/>
      <c r="AV695" s="38"/>
      <c r="AW695" s="38" t="s">
        <v>47</v>
      </c>
      <c r="AX695" s="38"/>
      <c r="AY695" s="38"/>
      <c r="AZ695" s="38" t="s">
        <v>47</v>
      </c>
      <c r="BA695" s="38"/>
      <c r="BB695" s="38"/>
      <c r="BC695" s="38"/>
      <c r="BD695" s="38"/>
      <c r="BE695" s="77">
        <f t="shared" si="46"/>
        <v>2</v>
      </c>
      <c r="BF695" s="38"/>
    </row>
    <row r="696" spans="1:58" ht="22.5" hidden="1" customHeight="1">
      <c r="A696" s="33" t="str">
        <f>IF(OR(ISBLANK(E696),ISBLANK(C696)),"",IF(COUNTIF($E$8:E696,E696)&gt;1,"",(MAX($A$7:A695)+1)))</f>
        <v/>
      </c>
      <c r="B696" s="34">
        <f>IF(ISBLANK(C696),"",SUBTOTAL(3,$C$8:C696))</f>
        <v>44</v>
      </c>
      <c r="C696" s="83" t="s">
        <v>1468</v>
      </c>
      <c r="D696" s="50" t="s">
        <v>1469</v>
      </c>
      <c r="E696" s="50" t="s">
        <v>1450</v>
      </c>
      <c r="F696" s="35" t="str">
        <f t="shared" si="44"/>
        <v/>
      </c>
      <c r="G696" s="36" t="str">
        <f t="shared" si="45"/>
        <v/>
      </c>
      <c r="H696" s="51" t="str">
        <f t="shared" si="47"/>
        <v/>
      </c>
      <c r="I696" s="51" t="str">
        <f t="shared" si="47"/>
        <v/>
      </c>
      <c r="J696" s="51" t="str">
        <f t="shared" si="47"/>
        <v/>
      </c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7"/>
      <c r="AK696" s="37"/>
      <c r="AM696" s="38"/>
      <c r="AN696" s="38"/>
      <c r="AO696" s="38"/>
      <c r="AP696" s="38"/>
      <c r="AQ696" s="38"/>
      <c r="AR696" s="38"/>
      <c r="AS696" s="38"/>
      <c r="AT696" s="38"/>
      <c r="AU696" s="38"/>
      <c r="AV696" s="38"/>
      <c r="AW696" s="38"/>
      <c r="AX696" s="38"/>
      <c r="AY696" s="38"/>
      <c r="AZ696" s="38"/>
      <c r="BA696" s="38"/>
      <c r="BB696" s="38"/>
      <c r="BC696" s="38"/>
      <c r="BD696" s="38"/>
      <c r="BE696" s="77">
        <f t="shared" si="46"/>
        <v>0</v>
      </c>
      <c r="BF696" s="38"/>
    </row>
    <row r="697" spans="1:58" ht="22.5" hidden="1" customHeight="1">
      <c r="A697" s="33" t="str">
        <f>IF(OR(ISBLANK(E697),ISBLANK(C697)),"",IF(COUNTIF($E$8:E697,E697)&gt;1,"",(MAX($A$7:A696)+1)))</f>
        <v/>
      </c>
      <c r="B697" s="34">
        <f>IF(ISBLANK(C697),"",SUBTOTAL(3,$C$8:C697))</f>
        <v>44</v>
      </c>
      <c r="C697" s="83" t="s">
        <v>1470</v>
      </c>
      <c r="D697" s="50" t="s">
        <v>1471</v>
      </c>
      <c r="E697" s="50" t="s">
        <v>1450</v>
      </c>
      <c r="F697" s="35" t="str">
        <f t="shared" si="44"/>
        <v/>
      </c>
      <c r="G697" s="36" t="str">
        <f t="shared" si="45"/>
        <v>D</v>
      </c>
      <c r="H697" s="51" t="str">
        <f t="shared" si="47"/>
        <v/>
      </c>
      <c r="I697" s="51" t="str">
        <f t="shared" si="47"/>
        <v/>
      </c>
      <c r="J697" s="51">
        <f t="shared" si="47"/>
        <v>1</v>
      </c>
      <c r="K697" s="37"/>
      <c r="L697" s="37"/>
      <c r="M697" s="37" t="s">
        <v>47</v>
      </c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  <c r="AJ697" s="37"/>
      <c r="AK697" s="37"/>
      <c r="AM697" s="38"/>
      <c r="AN697" s="38"/>
      <c r="AO697" s="38"/>
      <c r="AP697" s="38"/>
      <c r="AQ697" s="38"/>
      <c r="AR697" s="38"/>
      <c r="AS697" s="38" t="s">
        <v>47</v>
      </c>
      <c r="AT697" s="38"/>
      <c r="AU697" s="38"/>
      <c r="AV697" s="38"/>
      <c r="AW697" s="38"/>
      <c r="AX697" s="38"/>
      <c r="AY697" s="38"/>
      <c r="AZ697" s="38"/>
      <c r="BA697" s="38"/>
      <c r="BB697" s="38"/>
      <c r="BC697" s="38"/>
      <c r="BD697" s="38"/>
      <c r="BE697" s="77">
        <f t="shared" si="46"/>
        <v>1</v>
      </c>
      <c r="BF697" s="38"/>
    </row>
    <row r="698" spans="1:58" ht="22.5" hidden="1" customHeight="1">
      <c r="A698" s="33" t="str">
        <f>IF(OR(ISBLANK(E698),ISBLANK(C698)),"",IF(COUNTIF($E$8:E698,E698)&gt;1,"",(MAX($A$7:A697)+1)))</f>
        <v/>
      </c>
      <c r="B698" s="34">
        <f>IF(ISBLANK(C698),"",SUBTOTAL(3,$C$8:C698))</f>
        <v>44</v>
      </c>
      <c r="C698" s="85" t="s">
        <v>1472</v>
      </c>
      <c r="D698" s="50" t="s">
        <v>1473</v>
      </c>
      <c r="E698" s="50" t="s">
        <v>1450</v>
      </c>
      <c r="F698" s="35" t="str">
        <f t="shared" si="44"/>
        <v/>
      </c>
      <c r="G698" s="36" t="str">
        <f t="shared" si="45"/>
        <v>D</v>
      </c>
      <c r="H698" s="51" t="str">
        <f t="shared" si="47"/>
        <v/>
      </c>
      <c r="I698" s="51">
        <f t="shared" si="47"/>
        <v>1</v>
      </c>
      <c r="J698" s="51" t="str">
        <f t="shared" si="47"/>
        <v/>
      </c>
      <c r="K698" s="37"/>
      <c r="L698" s="37" t="s">
        <v>47</v>
      </c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7"/>
      <c r="AK698" s="37"/>
      <c r="AM698" s="38"/>
      <c r="AN698" s="38"/>
      <c r="AO698" s="38"/>
      <c r="AP698" s="38"/>
      <c r="AQ698" s="38"/>
      <c r="AR698" s="38"/>
      <c r="AS698" s="38"/>
      <c r="AT698" s="38"/>
      <c r="AU698" s="38"/>
      <c r="AV698" s="38"/>
      <c r="AW698" s="38"/>
      <c r="AX698" s="38"/>
      <c r="AY698" s="38"/>
      <c r="AZ698" s="38"/>
      <c r="BA698" s="38"/>
      <c r="BB698" s="38"/>
      <c r="BC698" s="38"/>
      <c r="BD698" s="38"/>
      <c r="BE698" s="77">
        <f t="shared" si="46"/>
        <v>0</v>
      </c>
      <c r="BF698" s="38"/>
    </row>
    <row r="699" spans="1:58" ht="22.5" hidden="1" customHeight="1">
      <c r="A699" s="33" t="str">
        <f>IF(OR(ISBLANK(E699),ISBLANK(C699)),"",IF(COUNTIF($E$8:E699,E699)&gt;1,"",(MAX($A$7:A698)+1)))</f>
        <v/>
      </c>
      <c r="B699" s="34">
        <f>IF(ISBLANK(C699),"",SUBTOTAL(3,$C$8:C699))</f>
        <v>44</v>
      </c>
      <c r="C699" s="85" t="s">
        <v>1474</v>
      </c>
      <c r="D699" s="50" t="s">
        <v>1475</v>
      </c>
      <c r="E699" s="50" t="s">
        <v>1450</v>
      </c>
      <c r="F699" s="35" t="str">
        <f t="shared" si="44"/>
        <v/>
      </c>
      <c r="G699" s="36" t="str">
        <f t="shared" si="45"/>
        <v>C</v>
      </c>
      <c r="H699" s="51" t="str">
        <f t="shared" si="47"/>
        <v/>
      </c>
      <c r="I699" s="51">
        <f t="shared" si="47"/>
        <v>2</v>
      </c>
      <c r="J699" s="51" t="str">
        <f t="shared" si="47"/>
        <v/>
      </c>
      <c r="K699" s="37"/>
      <c r="L699" s="37" t="s">
        <v>47</v>
      </c>
      <c r="M699" s="37"/>
      <c r="N699" s="37"/>
      <c r="O699" s="37"/>
      <c r="P699" s="37"/>
      <c r="Q699" s="37"/>
      <c r="R699" s="37" t="s">
        <v>47</v>
      </c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  <c r="AJ699" s="37"/>
      <c r="AK699" s="37"/>
      <c r="AM699" s="38"/>
      <c r="AN699" s="38"/>
      <c r="AO699" s="38"/>
      <c r="AP699" s="38"/>
      <c r="AQ699" s="38"/>
      <c r="AR699" s="38"/>
      <c r="AS699" s="38"/>
      <c r="AT699" s="38"/>
      <c r="AU699" s="38"/>
      <c r="AV699" s="38" t="s">
        <v>47</v>
      </c>
      <c r="AW699" s="38"/>
      <c r="AX699" s="38"/>
      <c r="AY699" s="38"/>
      <c r="AZ699" s="38"/>
      <c r="BA699" s="38"/>
      <c r="BB699" s="38"/>
      <c r="BC699" s="38"/>
      <c r="BD699" s="38"/>
      <c r="BE699" s="77">
        <f t="shared" si="46"/>
        <v>1</v>
      </c>
      <c r="BF699" s="38"/>
    </row>
    <row r="700" spans="1:58" ht="22.5" hidden="1" customHeight="1">
      <c r="A700" s="33" t="str">
        <f>IF(OR(ISBLANK(E700),ISBLANK(C700)),"",IF(COUNTIF($E$8:E700,E700)&gt;1,"",(MAX($A$7:A699)+1)))</f>
        <v/>
      </c>
      <c r="B700" s="34">
        <f>IF(ISBLANK(C700),"",SUBTOTAL(3,$C$8:C700))</f>
        <v>44</v>
      </c>
      <c r="C700" s="85" t="s">
        <v>1476</v>
      </c>
      <c r="D700" s="50" t="s">
        <v>1477</v>
      </c>
      <c r="E700" s="50" t="s">
        <v>1450</v>
      </c>
      <c r="F700" s="35" t="str">
        <f t="shared" si="44"/>
        <v/>
      </c>
      <c r="G700" s="36" t="str">
        <f t="shared" si="45"/>
        <v>D</v>
      </c>
      <c r="H700" s="51" t="str">
        <f t="shared" si="47"/>
        <v/>
      </c>
      <c r="I700" s="51">
        <f t="shared" si="47"/>
        <v>1</v>
      </c>
      <c r="J700" s="51">
        <f t="shared" si="47"/>
        <v>1</v>
      </c>
      <c r="K700" s="37"/>
      <c r="L700" s="37"/>
      <c r="M700" s="37" t="s">
        <v>47</v>
      </c>
      <c r="N700" s="37"/>
      <c r="O700" s="37"/>
      <c r="P700" s="37"/>
      <c r="Q700" s="37"/>
      <c r="R700" s="37" t="s">
        <v>47</v>
      </c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7"/>
      <c r="AK700" s="37"/>
      <c r="AM700" s="38"/>
      <c r="AN700" s="38"/>
      <c r="AO700" s="38"/>
      <c r="AP700" s="38"/>
      <c r="AQ700" s="38"/>
      <c r="AR700" s="38"/>
      <c r="AS700" s="38"/>
      <c r="AT700" s="38"/>
      <c r="AU700" s="38"/>
      <c r="AV700" s="38" t="s">
        <v>47</v>
      </c>
      <c r="AW700" s="38"/>
      <c r="AX700" s="38"/>
      <c r="AY700" s="38"/>
      <c r="AZ700" s="38"/>
      <c r="BA700" s="38"/>
      <c r="BB700" s="38"/>
      <c r="BC700" s="38"/>
      <c r="BD700" s="38"/>
      <c r="BE700" s="77">
        <f t="shared" si="46"/>
        <v>1</v>
      </c>
      <c r="BF700" s="38"/>
    </row>
    <row r="701" spans="1:58" ht="22.5" hidden="1" customHeight="1">
      <c r="A701" s="33" t="str">
        <f>IF(OR(ISBLANK(E701),ISBLANK(C701)),"",IF(COUNTIF($E$8:E701,E701)&gt;1,"",(MAX($A$7:A700)+1)))</f>
        <v/>
      </c>
      <c r="B701" s="34">
        <f>IF(ISBLANK(C701),"",SUBTOTAL(3,$C$8:C701))</f>
        <v>44</v>
      </c>
      <c r="C701" s="81" t="s">
        <v>1478</v>
      </c>
      <c r="D701" s="50" t="s">
        <v>1479</v>
      </c>
      <c r="E701" s="50" t="s">
        <v>1450</v>
      </c>
      <c r="F701" s="35" t="str">
        <f t="shared" si="44"/>
        <v/>
      </c>
      <c r="G701" s="36" t="str">
        <f t="shared" si="45"/>
        <v>C</v>
      </c>
      <c r="H701" s="51">
        <f t="shared" si="47"/>
        <v>1</v>
      </c>
      <c r="I701" s="51" t="str">
        <f t="shared" si="47"/>
        <v/>
      </c>
      <c r="J701" s="51" t="str">
        <f t="shared" si="47"/>
        <v/>
      </c>
      <c r="K701" s="37" t="s">
        <v>47</v>
      </c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7"/>
      <c r="AK701" s="37"/>
      <c r="AM701" s="38"/>
      <c r="AN701" s="38"/>
      <c r="AO701" s="38"/>
      <c r="AP701" s="38"/>
      <c r="AQ701" s="38"/>
      <c r="AR701" s="38"/>
      <c r="AS701" s="38"/>
      <c r="AT701" s="38" t="s">
        <v>47</v>
      </c>
      <c r="AU701" s="38"/>
      <c r="AV701" s="38"/>
      <c r="AW701" s="38" t="s">
        <v>47</v>
      </c>
      <c r="AX701" s="38"/>
      <c r="AY701" s="38"/>
      <c r="AZ701" s="38" t="s">
        <v>47</v>
      </c>
      <c r="BA701" s="38"/>
      <c r="BB701" s="38"/>
      <c r="BC701" s="38"/>
      <c r="BD701" s="38"/>
      <c r="BE701" s="77">
        <f t="shared" si="46"/>
        <v>3</v>
      </c>
      <c r="BF701" s="38"/>
    </row>
    <row r="702" spans="1:58" ht="22.5" hidden="1" customHeight="1">
      <c r="A702" s="33" t="str">
        <f>IF(OR(ISBLANK(E702),ISBLANK(C702)),"",IF(COUNTIF($E$8:E702,E702)&gt;1,"",(MAX($A$7:A701)+1)))</f>
        <v/>
      </c>
      <c r="B702" s="34">
        <f>IF(ISBLANK(C702),"",SUBTOTAL(3,$C$8:C702))</f>
        <v>44</v>
      </c>
      <c r="C702" s="81" t="s">
        <v>1480</v>
      </c>
      <c r="D702" s="50" t="s">
        <v>1481</v>
      </c>
      <c r="E702" s="50" t="s">
        <v>1450</v>
      </c>
      <c r="F702" s="35" t="str">
        <f t="shared" si="44"/>
        <v/>
      </c>
      <c r="G702" s="36" t="str">
        <f t="shared" si="45"/>
        <v>D</v>
      </c>
      <c r="H702" s="51" t="str">
        <f t="shared" si="47"/>
        <v/>
      </c>
      <c r="I702" s="51">
        <f t="shared" si="47"/>
        <v>1</v>
      </c>
      <c r="J702" s="51" t="str">
        <f t="shared" si="47"/>
        <v/>
      </c>
      <c r="K702" s="37"/>
      <c r="L702" s="37" t="s">
        <v>47</v>
      </c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  <c r="AK702" s="37"/>
      <c r="AM702" s="38"/>
      <c r="AN702" s="38" t="s">
        <v>47</v>
      </c>
      <c r="AO702" s="38"/>
      <c r="AP702" s="38"/>
      <c r="AQ702" s="38"/>
      <c r="AR702" s="38"/>
      <c r="AS702" s="38"/>
      <c r="AT702" s="38"/>
      <c r="AU702" s="38"/>
      <c r="AV702" s="38"/>
      <c r="AW702" s="38"/>
      <c r="AX702" s="38"/>
      <c r="AY702" s="38"/>
      <c r="AZ702" s="38"/>
      <c r="BA702" s="38"/>
      <c r="BB702" s="38"/>
      <c r="BC702" s="38"/>
      <c r="BD702" s="38"/>
      <c r="BE702" s="77">
        <f t="shared" si="46"/>
        <v>1</v>
      </c>
      <c r="BF702" s="38"/>
    </row>
    <row r="703" spans="1:58" ht="22.5" hidden="1" customHeight="1">
      <c r="A703" s="33" t="str">
        <f>IF(OR(ISBLANK(E703),ISBLANK(C703)),"",IF(COUNTIF($E$8:E703,E703)&gt;1,"",(MAX($A$7:A702)+1)))</f>
        <v/>
      </c>
      <c r="B703" s="34">
        <f>IF(ISBLANK(C703),"",SUBTOTAL(3,$C$8:C703))</f>
        <v>44</v>
      </c>
      <c r="C703" s="83" t="s">
        <v>1482</v>
      </c>
      <c r="D703" s="50" t="s">
        <v>1483</v>
      </c>
      <c r="E703" s="50" t="s">
        <v>1450</v>
      </c>
      <c r="F703" s="35" t="str">
        <f t="shared" si="44"/>
        <v/>
      </c>
      <c r="G703" s="36" t="str">
        <f t="shared" si="45"/>
        <v>B</v>
      </c>
      <c r="H703" s="51">
        <f t="shared" si="47"/>
        <v>2</v>
      </c>
      <c r="I703" s="51" t="str">
        <f t="shared" si="47"/>
        <v/>
      </c>
      <c r="J703" s="51" t="str">
        <f t="shared" si="47"/>
        <v/>
      </c>
      <c r="K703" s="37" t="s">
        <v>47</v>
      </c>
      <c r="L703" s="37"/>
      <c r="M703" s="37"/>
      <c r="N703" s="37"/>
      <c r="O703" s="37"/>
      <c r="P703" s="37"/>
      <c r="Q703" s="37" t="s">
        <v>47</v>
      </c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7"/>
      <c r="AK703" s="37"/>
      <c r="AM703" s="38"/>
      <c r="AN703" s="38"/>
      <c r="AO703" s="38"/>
      <c r="AP703" s="38"/>
      <c r="AQ703" s="38"/>
      <c r="AR703" s="38"/>
      <c r="AS703" s="38"/>
      <c r="AT703" s="38" t="s">
        <v>47</v>
      </c>
      <c r="AU703" s="38"/>
      <c r="AV703" s="38"/>
      <c r="AW703" s="38"/>
      <c r="AX703" s="38"/>
      <c r="AY703" s="38"/>
      <c r="AZ703" s="38"/>
      <c r="BA703" s="38"/>
      <c r="BB703" s="38"/>
      <c r="BC703" s="38"/>
      <c r="BD703" s="38"/>
      <c r="BE703" s="77">
        <f t="shared" si="46"/>
        <v>1</v>
      </c>
      <c r="BF703" s="38"/>
    </row>
    <row r="704" spans="1:58" ht="22.5" hidden="1" customHeight="1">
      <c r="A704" s="33" t="str">
        <f>IF(OR(ISBLANK(E704),ISBLANK(C704)),"",IF(COUNTIF($E$8:E704,E704)&gt;1,"",(MAX($A$7:A703)+1)))</f>
        <v/>
      </c>
      <c r="B704" s="34">
        <f>IF(ISBLANK(C704),"",SUBTOTAL(3,$C$8:C704))</f>
        <v>44</v>
      </c>
      <c r="C704" s="78" t="s">
        <v>1484</v>
      </c>
      <c r="D704" s="50" t="s">
        <v>1485</v>
      </c>
      <c r="E704" s="50" t="s">
        <v>1450</v>
      </c>
      <c r="F704" s="35" t="str">
        <f t="shared" si="44"/>
        <v/>
      </c>
      <c r="G704" s="36" t="str">
        <f t="shared" si="45"/>
        <v>D</v>
      </c>
      <c r="H704" s="51" t="str">
        <f t="shared" si="47"/>
        <v/>
      </c>
      <c r="I704" s="51">
        <f t="shared" si="47"/>
        <v>1</v>
      </c>
      <c r="J704" s="51" t="str">
        <f t="shared" si="47"/>
        <v/>
      </c>
      <c r="K704" s="37"/>
      <c r="L704" s="37" t="s">
        <v>47</v>
      </c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  <c r="AJ704" s="37"/>
      <c r="AK704" s="37"/>
      <c r="AM704" s="38"/>
      <c r="AN704" s="38"/>
      <c r="AO704" s="38"/>
      <c r="AP704" s="38"/>
      <c r="AQ704" s="38"/>
      <c r="AR704" s="38"/>
      <c r="AS704" s="38"/>
      <c r="AT704" s="38" t="s">
        <v>47</v>
      </c>
      <c r="AU704" s="38"/>
      <c r="AV704" s="38"/>
      <c r="AW704" s="38"/>
      <c r="AX704" s="38"/>
      <c r="AY704" s="38"/>
      <c r="AZ704" s="38"/>
      <c r="BA704" s="38"/>
      <c r="BB704" s="38"/>
      <c r="BC704" s="38"/>
      <c r="BD704" s="38"/>
      <c r="BE704" s="77">
        <f t="shared" si="46"/>
        <v>1</v>
      </c>
      <c r="BF704" s="38"/>
    </row>
    <row r="705" spans="1:58" ht="22.5" hidden="1" customHeight="1">
      <c r="A705" s="33" t="str">
        <f>IF(OR(ISBLANK(E705),ISBLANK(C705)),"",IF(COUNTIF($E$8:E705,E705)&gt;1,"",(MAX($A$7:A704)+1)))</f>
        <v/>
      </c>
      <c r="B705" s="34">
        <f>IF(ISBLANK(C705),"",SUBTOTAL(3,$C$8:C705))</f>
        <v>44</v>
      </c>
      <c r="C705" s="85" t="s">
        <v>1486</v>
      </c>
      <c r="D705" s="50" t="s">
        <v>1487</v>
      </c>
      <c r="E705" s="50" t="s">
        <v>1450</v>
      </c>
      <c r="F705" s="35" t="str">
        <f t="shared" si="44"/>
        <v/>
      </c>
      <c r="G705" s="36" t="str">
        <f t="shared" si="45"/>
        <v>D</v>
      </c>
      <c r="H705" s="51" t="str">
        <f t="shared" si="47"/>
        <v/>
      </c>
      <c r="I705" s="51">
        <f t="shared" si="47"/>
        <v>1</v>
      </c>
      <c r="J705" s="51" t="str">
        <f t="shared" si="47"/>
        <v/>
      </c>
      <c r="K705" s="37"/>
      <c r="L705" s="37" t="s">
        <v>47</v>
      </c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  <c r="AK705" s="37"/>
      <c r="AM705" s="38"/>
      <c r="AN705" s="38"/>
      <c r="AO705" s="38"/>
      <c r="AP705" s="38"/>
      <c r="AQ705" s="38"/>
      <c r="AR705" s="38"/>
      <c r="AS705" s="38"/>
      <c r="AT705" s="38"/>
      <c r="AU705" s="38"/>
      <c r="AV705" s="38"/>
      <c r="AW705" s="38" t="s">
        <v>47</v>
      </c>
      <c r="AX705" s="38"/>
      <c r="AY705" s="38"/>
      <c r="AZ705" s="38"/>
      <c r="BA705" s="38"/>
      <c r="BB705" s="38"/>
      <c r="BC705" s="38"/>
      <c r="BD705" s="38"/>
      <c r="BE705" s="77">
        <f t="shared" si="46"/>
        <v>1</v>
      </c>
      <c r="BF705" s="38"/>
    </row>
    <row r="706" spans="1:58" ht="22.5" hidden="1" customHeight="1">
      <c r="A706" s="33" t="str">
        <f>IF(OR(ISBLANK(E706),ISBLANK(C706)),"",IF(COUNTIF($E$8:E706,E706)&gt;1,"",(MAX($A$7:A705)+1)))</f>
        <v/>
      </c>
      <c r="B706" s="34">
        <f>IF(ISBLANK(C706),"",SUBTOTAL(3,$C$8:C706))</f>
        <v>44</v>
      </c>
      <c r="C706" s="85" t="s">
        <v>1488</v>
      </c>
      <c r="D706" s="50" t="s">
        <v>1489</v>
      </c>
      <c r="E706" s="50" t="s">
        <v>1450</v>
      </c>
      <c r="F706" s="35" t="str">
        <f t="shared" si="44"/>
        <v/>
      </c>
      <c r="G706" s="36" t="str">
        <f t="shared" si="45"/>
        <v>C</v>
      </c>
      <c r="H706" s="51">
        <f t="shared" si="47"/>
        <v>1</v>
      </c>
      <c r="I706" s="51" t="str">
        <f t="shared" si="47"/>
        <v/>
      </c>
      <c r="J706" s="51">
        <f t="shared" si="47"/>
        <v>1</v>
      </c>
      <c r="K706" s="37"/>
      <c r="L706" s="37"/>
      <c r="M706" s="37" t="s">
        <v>47</v>
      </c>
      <c r="N706" s="37"/>
      <c r="O706" s="37"/>
      <c r="P706" s="37"/>
      <c r="Q706" s="37" t="s">
        <v>47</v>
      </c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7"/>
      <c r="AK706" s="37"/>
      <c r="AM706" s="38"/>
      <c r="AN706" s="38"/>
      <c r="AO706" s="38"/>
      <c r="AP706" s="38"/>
      <c r="AQ706" s="38"/>
      <c r="AR706" s="38"/>
      <c r="AS706" s="38"/>
      <c r="AT706" s="38"/>
      <c r="AU706" s="38"/>
      <c r="AV706" s="38" t="s">
        <v>47</v>
      </c>
      <c r="AW706" s="38"/>
      <c r="AX706" s="38"/>
      <c r="AY706" s="38"/>
      <c r="AZ706" s="38"/>
      <c r="BA706" s="38"/>
      <c r="BB706" s="38"/>
      <c r="BC706" s="38"/>
      <c r="BD706" s="38"/>
      <c r="BE706" s="77">
        <f t="shared" si="46"/>
        <v>1</v>
      </c>
      <c r="BF706" s="38"/>
    </row>
    <row r="707" spans="1:58" ht="22.5" hidden="1" customHeight="1">
      <c r="A707" s="33" t="str">
        <f>IF(OR(ISBLANK(E707),ISBLANK(C707)),"",IF(COUNTIF($E$8:E707,E707)&gt;1,"",(MAX($A$7:A706)+1)))</f>
        <v/>
      </c>
      <c r="B707" s="34">
        <f>IF(ISBLANK(C707),"",SUBTOTAL(3,$C$8:C707))</f>
        <v>44</v>
      </c>
      <c r="C707" s="85" t="s">
        <v>1490</v>
      </c>
      <c r="D707" s="50" t="s">
        <v>1491</v>
      </c>
      <c r="E707" s="50" t="s">
        <v>1450</v>
      </c>
      <c r="F707" s="35" t="str">
        <f t="shared" si="44"/>
        <v/>
      </c>
      <c r="G707" s="36" t="str">
        <f t="shared" si="45"/>
        <v>D</v>
      </c>
      <c r="H707" s="51" t="str">
        <f t="shared" si="47"/>
        <v/>
      </c>
      <c r="I707" s="51">
        <f t="shared" si="47"/>
        <v>1</v>
      </c>
      <c r="J707" s="51" t="str">
        <f t="shared" si="47"/>
        <v/>
      </c>
      <c r="K707" s="37"/>
      <c r="L707" s="37" t="s">
        <v>47</v>
      </c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7"/>
      <c r="AK707" s="37"/>
      <c r="AM707" s="38"/>
      <c r="AN707" s="38"/>
      <c r="AO707" s="38"/>
      <c r="AP707" s="38"/>
      <c r="AQ707" s="38"/>
      <c r="AR707" s="38"/>
      <c r="AS707" s="38"/>
      <c r="AT707" s="38"/>
      <c r="AU707" s="38"/>
      <c r="AV707" s="38"/>
      <c r="AW707" s="38" t="s">
        <v>47</v>
      </c>
      <c r="AX707" s="38"/>
      <c r="AY707" s="38"/>
      <c r="AZ707" s="38"/>
      <c r="BA707" s="38"/>
      <c r="BB707" s="38"/>
      <c r="BC707" s="38"/>
      <c r="BD707" s="38"/>
      <c r="BE707" s="77">
        <f t="shared" si="46"/>
        <v>1</v>
      </c>
      <c r="BF707" s="38"/>
    </row>
    <row r="708" spans="1:58" ht="22.5" hidden="1" customHeight="1">
      <c r="A708" s="33" t="str">
        <f>IF(OR(ISBLANK(E708),ISBLANK(C708)),"",IF(COUNTIF($E$8:E708,E708)&gt;1,"",(MAX($A$7:A707)+1)))</f>
        <v/>
      </c>
      <c r="B708" s="34">
        <f>IF(ISBLANK(C708),"",SUBTOTAL(3,$C$8:C708))</f>
        <v>44</v>
      </c>
      <c r="C708" s="85" t="s">
        <v>1492</v>
      </c>
      <c r="D708" s="50" t="s">
        <v>1493</v>
      </c>
      <c r="E708" s="50" t="s">
        <v>1450</v>
      </c>
      <c r="F708" s="35" t="str">
        <f t="shared" si="44"/>
        <v/>
      </c>
      <c r="G708" s="36" t="str">
        <f t="shared" si="45"/>
        <v>C</v>
      </c>
      <c r="H708" s="51">
        <f t="shared" si="47"/>
        <v>1</v>
      </c>
      <c r="I708" s="51" t="str">
        <f t="shared" si="47"/>
        <v/>
      </c>
      <c r="J708" s="51" t="str">
        <f t="shared" si="47"/>
        <v/>
      </c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 t="s">
        <v>47</v>
      </c>
      <c r="AG708" s="37"/>
      <c r="AH708" s="37"/>
      <c r="AI708" s="37"/>
      <c r="AJ708" s="37"/>
      <c r="AK708" s="37"/>
      <c r="AM708" s="38"/>
      <c r="AN708" s="38"/>
      <c r="AO708" s="38"/>
      <c r="AP708" s="38" t="s">
        <v>47</v>
      </c>
      <c r="AQ708" s="38"/>
      <c r="AR708" s="38"/>
      <c r="AS708" s="38"/>
      <c r="AT708" s="38"/>
      <c r="AU708" s="38"/>
      <c r="AV708" s="38"/>
      <c r="AW708" s="38"/>
      <c r="AX708" s="38"/>
      <c r="AY708" s="38"/>
      <c r="AZ708" s="38"/>
      <c r="BA708" s="38"/>
      <c r="BB708" s="38"/>
      <c r="BC708" s="38"/>
      <c r="BD708" s="38"/>
      <c r="BE708" s="77">
        <f t="shared" si="46"/>
        <v>1</v>
      </c>
      <c r="BF708" s="38"/>
    </row>
    <row r="709" spans="1:58" ht="22.5" hidden="1" customHeight="1">
      <c r="A709" s="33" t="str">
        <f>IF(OR(ISBLANK(E709),ISBLANK(C709)),"",IF(COUNTIF($E$8:E709,E709)&gt;1,"",(MAX($A$7:A708)+1)))</f>
        <v/>
      </c>
      <c r="B709" s="34">
        <f>IF(ISBLANK(C709),"",SUBTOTAL(3,$C$8:C709))</f>
        <v>44</v>
      </c>
      <c r="C709" s="85" t="s">
        <v>1494</v>
      </c>
      <c r="D709" s="50" t="s">
        <v>1495</v>
      </c>
      <c r="E709" s="50" t="s">
        <v>1450</v>
      </c>
      <c r="F709" s="35" t="str">
        <f t="shared" si="44"/>
        <v/>
      </c>
      <c r="G709" s="36" t="str">
        <f t="shared" si="45"/>
        <v>D</v>
      </c>
      <c r="H709" s="51" t="str">
        <f t="shared" si="47"/>
        <v/>
      </c>
      <c r="I709" s="51">
        <f t="shared" si="47"/>
        <v>1</v>
      </c>
      <c r="J709" s="51" t="str">
        <f t="shared" si="47"/>
        <v/>
      </c>
      <c r="K709" s="37"/>
      <c r="L709" s="37" t="s">
        <v>47</v>
      </c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  <c r="AJ709" s="37"/>
      <c r="AK709" s="37"/>
      <c r="AM709" s="38"/>
      <c r="AN709" s="38"/>
      <c r="AO709" s="38"/>
      <c r="AP709" s="38"/>
      <c r="AQ709" s="38"/>
      <c r="AR709" s="38"/>
      <c r="AS709" s="38" t="s">
        <v>47</v>
      </c>
      <c r="AT709" s="38"/>
      <c r="AU709" s="38"/>
      <c r="AV709" s="38"/>
      <c r="AW709" s="38"/>
      <c r="AX709" s="38"/>
      <c r="AY709" s="38"/>
      <c r="AZ709" s="38"/>
      <c r="BA709" s="38"/>
      <c r="BB709" s="38"/>
      <c r="BC709" s="38"/>
      <c r="BD709" s="38"/>
      <c r="BE709" s="77">
        <f t="shared" si="46"/>
        <v>1</v>
      </c>
      <c r="BF709" s="38"/>
    </row>
    <row r="710" spans="1:58" ht="22.5" hidden="1" customHeight="1">
      <c r="A710" s="33" t="str">
        <f>IF(OR(ISBLANK(E710),ISBLANK(C710)),"",IF(COUNTIF($E$8:E710,E710)&gt;1,"",(MAX($A$7:A709)+1)))</f>
        <v/>
      </c>
      <c r="B710" s="34">
        <f>IF(ISBLANK(C710),"",SUBTOTAL(3,$C$8:C710))</f>
        <v>44</v>
      </c>
      <c r="C710" s="85" t="s">
        <v>1496</v>
      </c>
      <c r="D710" s="50" t="s">
        <v>1497</v>
      </c>
      <c r="E710" s="50" t="s">
        <v>1450</v>
      </c>
      <c r="F710" s="35" t="str">
        <f t="shared" si="44"/>
        <v/>
      </c>
      <c r="G710" s="36" t="str">
        <f t="shared" si="45"/>
        <v>D</v>
      </c>
      <c r="H710" s="51" t="str">
        <f t="shared" si="47"/>
        <v/>
      </c>
      <c r="I710" s="51">
        <f t="shared" si="47"/>
        <v>1</v>
      </c>
      <c r="J710" s="51" t="str">
        <f t="shared" si="47"/>
        <v/>
      </c>
      <c r="K710" s="37"/>
      <c r="L710" s="37" t="s">
        <v>47</v>
      </c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M710" s="38"/>
      <c r="AN710" s="38"/>
      <c r="AO710" s="38"/>
      <c r="AP710" s="38"/>
      <c r="AQ710" s="38"/>
      <c r="AR710" s="38"/>
      <c r="AS710" s="38" t="s">
        <v>47</v>
      </c>
      <c r="AT710" s="38"/>
      <c r="AU710" s="38"/>
      <c r="AV710" s="38"/>
      <c r="AW710" s="38"/>
      <c r="AX710" s="38"/>
      <c r="AY710" s="38"/>
      <c r="AZ710" s="38"/>
      <c r="BA710" s="38"/>
      <c r="BB710" s="38"/>
      <c r="BC710" s="38"/>
      <c r="BD710" s="38"/>
      <c r="BE710" s="77">
        <f t="shared" si="46"/>
        <v>1</v>
      </c>
      <c r="BF710" s="38"/>
    </row>
    <row r="711" spans="1:58" ht="22.5" hidden="1" customHeight="1">
      <c r="A711" s="33" t="str">
        <f>IF(OR(ISBLANK(E711),ISBLANK(C711)),"",IF(COUNTIF($E$8:E711,E711)&gt;1,"",(MAX($A$7:A710)+1)))</f>
        <v/>
      </c>
      <c r="B711" s="34">
        <f>IF(ISBLANK(C711),"",SUBTOTAL(3,$C$8:C711))</f>
        <v>44</v>
      </c>
      <c r="C711" s="85" t="s">
        <v>1498</v>
      </c>
      <c r="D711" s="50" t="s">
        <v>1499</v>
      </c>
      <c r="E711" s="50" t="s">
        <v>1450</v>
      </c>
      <c r="F711" s="35" t="str">
        <f t="shared" si="44"/>
        <v/>
      </c>
      <c r="G711" s="36" t="str">
        <f t="shared" si="45"/>
        <v>A</v>
      </c>
      <c r="H711" s="51">
        <f t="shared" si="47"/>
        <v>4</v>
      </c>
      <c r="I711" s="51" t="str">
        <f t="shared" si="47"/>
        <v/>
      </c>
      <c r="J711" s="51" t="str">
        <f t="shared" si="47"/>
        <v/>
      </c>
      <c r="K711" s="37" t="s">
        <v>47</v>
      </c>
      <c r="L711" s="37"/>
      <c r="M711" s="37"/>
      <c r="N711" s="37" t="s">
        <v>47</v>
      </c>
      <c r="O711" s="37"/>
      <c r="P711" s="37"/>
      <c r="Q711" s="37"/>
      <c r="R711" s="37"/>
      <c r="S711" s="37"/>
      <c r="T711" s="37"/>
      <c r="U711" s="37"/>
      <c r="V711" s="37"/>
      <c r="W711" s="37" t="s">
        <v>47</v>
      </c>
      <c r="X711" s="37"/>
      <c r="Y711" s="37"/>
      <c r="Z711" s="37"/>
      <c r="AA711" s="37"/>
      <c r="AB711" s="37"/>
      <c r="AC711" s="37" t="s">
        <v>47</v>
      </c>
      <c r="AD711" s="37"/>
      <c r="AE711" s="37"/>
      <c r="AF711" s="37"/>
      <c r="AG711" s="37"/>
      <c r="AH711" s="37"/>
      <c r="AI711" s="37"/>
      <c r="AJ711" s="37"/>
      <c r="AK711" s="37"/>
      <c r="AM711" s="38"/>
      <c r="AN711" s="38"/>
      <c r="AO711" s="38"/>
      <c r="AP711" s="38"/>
      <c r="AQ711" s="38"/>
      <c r="AR711" s="38"/>
      <c r="AS711" s="38"/>
      <c r="AT711" s="38"/>
      <c r="AU711" s="38"/>
      <c r="AV711" s="38"/>
      <c r="AW711" s="38" t="s">
        <v>47</v>
      </c>
      <c r="AX711" s="38" t="s">
        <v>47</v>
      </c>
      <c r="AY711" s="38" t="s">
        <v>47</v>
      </c>
      <c r="AZ711" s="38"/>
      <c r="BA711" s="38"/>
      <c r="BB711" s="38" t="s">
        <v>47</v>
      </c>
      <c r="BC711" s="38"/>
      <c r="BD711" s="38"/>
      <c r="BE711" s="77">
        <f t="shared" si="46"/>
        <v>4</v>
      </c>
      <c r="BF711" s="38"/>
    </row>
    <row r="712" spans="1:58" ht="22.5" hidden="1" customHeight="1">
      <c r="A712" s="33" t="str">
        <f>IF(OR(ISBLANK(E712),ISBLANK(C712)),"",IF(COUNTIF($E$8:E712,E712)&gt;1,"",(MAX($A$7:A711)+1)))</f>
        <v/>
      </c>
      <c r="B712" s="34">
        <f>IF(ISBLANK(C712),"",SUBTOTAL(3,$C$8:C712))</f>
        <v>44</v>
      </c>
      <c r="C712" s="85" t="s">
        <v>1500</v>
      </c>
      <c r="D712" s="50" t="s">
        <v>1135</v>
      </c>
      <c r="E712" s="50" t="s">
        <v>1450</v>
      </c>
      <c r="F712" s="35" t="str">
        <f t="shared" ref="F712:F775" si="48">IFERROR(IF(OR(ISBLANK($C712),B712=""),"",INDEX(Luonggio,MATCH($C712,MaNVLuong,0))),"")</f>
        <v/>
      </c>
      <c r="G712" s="36" t="str">
        <f t="shared" si="45"/>
        <v>C</v>
      </c>
      <c r="H712" s="51">
        <f t="shared" si="47"/>
        <v>1</v>
      </c>
      <c r="I712" s="51" t="str">
        <f t="shared" si="47"/>
        <v/>
      </c>
      <c r="J712" s="51" t="str">
        <f t="shared" si="47"/>
        <v/>
      </c>
      <c r="K712" s="37" t="s">
        <v>47</v>
      </c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  <c r="AJ712" s="37"/>
      <c r="AK712" s="37"/>
      <c r="AM712" s="38"/>
      <c r="AN712" s="38"/>
      <c r="AO712" s="38"/>
      <c r="AP712" s="38"/>
      <c r="AQ712" s="38"/>
      <c r="AR712" s="38"/>
      <c r="AS712" s="38"/>
      <c r="AT712" s="38"/>
      <c r="AU712" s="38"/>
      <c r="AV712" s="38"/>
      <c r="AW712" s="38" t="s">
        <v>47</v>
      </c>
      <c r="AX712" s="38"/>
      <c r="AY712" s="38"/>
      <c r="AZ712" s="38" t="s">
        <v>47</v>
      </c>
      <c r="BA712" s="38"/>
      <c r="BB712" s="38"/>
      <c r="BC712" s="38"/>
      <c r="BD712" s="38" t="s">
        <v>47</v>
      </c>
      <c r="BE712" s="77">
        <f t="shared" si="46"/>
        <v>3</v>
      </c>
      <c r="BF712" s="38"/>
    </row>
    <row r="713" spans="1:58" ht="22.5" hidden="1" customHeight="1">
      <c r="A713" s="33" t="str">
        <f>IF(OR(ISBLANK(E713),ISBLANK(C713)),"",IF(COUNTIF($E$8:E713,E713)&gt;1,"",(MAX($A$7:A712)+1)))</f>
        <v/>
      </c>
      <c r="B713" s="34">
        <f>IF(ISBLANK(C713),"",SUBTOTAL(3,$C$8:C713))</f>
        <v>44</v>
      </c>
      <c r="C713" s="85" t="s">
        <v>1501</v>
      </c>
      <c r="D713" s="50" t="s">
        <v>1502</v>
      </c>
      <c r="E713" s="50" t="s">
        <v>1450</v>
      </c>
      <c r="F713" s="35" t="str">
        <f t="shared" si="48"/>
        <v/>
      </c>
      <c r="G713" s="36" t="str">
        <f t="shared" ref="G713:G776" si="49">IF(COUNTIF(H713:J713,"&gt;0")=0,"",IF(AND(OR(OR(SUM(H713)&gt;=2)),SUM(H713:J713)&gt;=4,OR(OR(SUM(I713)&gt;=1))),"A",IF(OR(OR(SUM(H713)&gt;=3)),"A",IF(AND(SUM(I713)&gt;=2,SUM(H713)=1),"B",IF(AND(SUM(I713)&gt;=1,SUM(H713)=2),"B",IF(H713=2,"B",IF(SUM(I713)&gt;=2,"C",IF(H713=1,"C",IF(AND(H713=1,I713=1),"C",IF(AND(SUM(H713:I713)=0,SUM(J713)&lt;=1),"D","D"))))))))))</f>
        <v>C</v>
      </c>
      <c r="H713" s="51">
        <f t="shared" si="47"/>
        <v>1</v>
      </c>
      <c r="I713" s="51">
        <f t="shared" si="47"/>
        <v>1</v>
      </c>
      <c r="J713" s="51" t="str">
        <f t="shared" si="47"/>
        <v/>
      </c>
      <c r="K713" s="37" t="s">
        <v>47</v>
      </c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 t="s">
        <v>47</v>
      </c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37"/>
      <c r="AJ713" s="37"/>
      <c r="AK713" s="37"/>
      <c r="AM713" s="38"/>
      <c r="AN713" s="38"/>
      <c r="AO713" s="38"/>
      <c r="AP713" s="38"/>
      <c r="AQ713" s="38"/>
      <c r="AR713" s="38"/>
      <c r="AS713" s="38"/>
      <c r="AT713" s="38"/>
      <c r="AU713" s="38"/>
      <c r="AV713" s="38"/>
      <c r="AW713" s="38"/>
      <c r="AX713" s="38"/>
      <c r="AY713" s="38" t="s">
        <v>47</v>
      </c>
      <c r="AZ713" s="38"/>
      <c r="BA713" s="38" t="s">
        <v>47</v>
      </c>
      <c r="BB713" s="38" t="s">
        <v>47</v>
      </c>
      <c r="BC713" s="38"/>
      <c r="BD713" s="38" t="s">
        <v>47</v>
      </c>
      <c r="BE713" s="77">
        <f t="shared" ref="BE713:BE776" si="50">COUNTIF(AM713:BD713,"X")</f>
        <v>4</v>
      </c>
      <c r="BF713" s="38"/>
    </row>
    <row r="714" spans="1:58" ht="22.5" hidden="1" customHeight="1">
      <c r="A714" s="33" t="str">
        <f>IF(OR(ISBLANK(E714),ISBLANK(C714)),"",IF(COUNTIF($E$8:E714,E714)&gt;1,"",(MAX($A$7:A713)+1)))</f>
        <v/>
      </c>
      <c r="B714" s="34">
        <f>IF(ISBLANK(C714),"",SUBTOTAL(3,$C$8:C714))</f>
        <v>44</v>
      </c>
      <c r="C714" s="85" t="s">
        <v>1503</v>
      </c>
      <c r="D714" s="50" t="s">
        <v>1504</v>
      </c>
      <c r="E714" s="50" t="s">
        <v>1450</v>
      </c>
      <c r="F714" s="35" t="str">
        <f t="shared" si="48"/>
        <v/>
      </c>
      <c r="G714" s="36" t="str">
        <f t="shared" si="49"/>
        <v>D</v>
      </c>
      <c r="H714" s="51" t="str">
        <f t="shared" si="47"/>
        <v/>
      </c>
      <c r="I714" s="51">
        <f t="shared" si="47"/>
        <v>1</v>
      </c>
      <c r="J714" s="51" t="str">
        <f t="shared" si="47"/>
        <v/>
      </c>
      <c r="K714" s="37"/>
      <c r="L714" s="37" t="s">
        <v>47</v>
      </c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M714" s="38"/>
      <c r="AN714" s="38" t="s">
        <v>47</v>
      </c>
      <c r="AO714" s="38"/>
      <c r="AP714" s="38"/>
      <c r="AQ714" s="38"/>
      <c r="AR714" s="38"/>
      <c r="AS714" s="38"/>
      <c r="AT714" s="38"/>
      <c r="AU714" s="38"/>
      <c r="AV714" s="38"/>
      <c r="AW714" s="38"/>
      <c r="AX714" s="38"/>
      <c r="AY714" s="38"/>
      <c r="AZ714" s="38"/>
      <c r="BA714" s="38"/>
      <c r="BB714" s="38"/>
      <c r="BC714" s="38"/>
      <c r="BD714" s="38"/>
      <c r="BE714" s="77">
        <f t="shared" si="50"/>
        <v>1</v>
      </c>
      <c r="BF714" s="38"/>
    </row>
    <row r="715" spans="1:58" ht="22.5" hidden="1" customHeight="1">
      <c r="A715" s="33" t="str">
        <f>IF(OR(ISBLANK(E715),ISBLANK(C715)),"",IF(COUNTIF($E$8:E715,E715)&gt;1,"",(MAX($A$7:A714)+1)))</f>
        <v/>
      </c>
      <c r="B715" s="34">
        <f>IF(ISBLANK(C715),"",SUBTOTAL(3,$C$8:C715))</f>
        <v>44</v>
      </c>
      <c r="C715" s="78" t="s">
        <v>1505</v>
      </c>
      <c r="D715" s="50" t="s">
        <v>1506</v>
      </c>
      <c r="E715" s="50" t="s">
        <v>1450</v>
      </c>
      <c r="F715" s="35" t="str">
        <f t="shared" si="48"/>
        <v/>
      </c>
      <c r="G715" s="36" t="str">
        <f t="shared" si="49"/>
        <v>C</v>
      </c>
      <c r="H715" s="51">
        <f t="shared" si="47"/>
        <v>1</v>
      </c>
      <c r="I715" s="51" t="str">
        <f t="shared" si="47"/>
        <v/>
      </c>
      <c r="J715" s="51" t="str">
        <f t="shared" si="47"/>
        <v/>
      </c>
      <c r="K715" s="37" t="s">
        <v>47</v>
      </c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  <c r="AJ715" s="37"/>
      <c r="AK715" s="37"/>
      <c r="AM715" s="38"/>
      <c r="AN715" s="38"/>
      <c r="AO715" s="38"/>
      <c r="AP715" s="38"/>
      <c r="AQ715" s="38"/>
      <c r="AR715" s="38"/>
      <c r="AS715" s="38"/>
      <c r="AT715" s="38"/>
      <c r="AU715" s="38"/>
      <c r="AV715" s="38"/>
      <c r="AW715" s="38" t="s">
        <v>47</v>
      </c>
      <c r="AX715" s="38"/>
      <c r="AY715" s="38"/>
      <c r="AZ715" s="38"/>
      <c r="BA715" s="38"/>
      <c r="BB715" s="38"/>
      <c r="BC715" s="38"/>
      <c r="BD715" s="38"/>
      <c r="BE715" s="77">
        <f t="shared" si="50"/>
        <v>1</v>
      </c>
      <c r="BF715" s="38"/>
    </row>
    <row r="716" spans="1:58" ht="22.5" hidden="1" customHeight="1">
      <c r="A716" s="33" t="str">
        <f>IF(OR(ISBLANK(E716),ISBLANK(C716)),"",IF(COUNTIF($E$8:E716,E716)&gt;1,"",(MAX($A$7:A715)+1)))</f>
        <v/>
      </c>
      <c r="B716" s="34">
        <f>IF(ISBLANK(C716),"",SUBTOTAL(3,$C$8:C716))</f>
        <v>44</v>
      </c>
      <c r="C716" s="85" t="s">
        <v>1507</v>
      </c>
      <c r="D716" s="50" t="s">
        <v>1508</v>
      </c>
      <c r="E716" s="50" t="s">
        <v>1450</v>
      </c>
      <c r="F716" s="35" t="str">
        <f t="shared" si="48"/>
        <v/>
      </c>
      <c r="G716" s="36" t="str">
        <f t="shared" si="49"/>
        <v>C</v>
      </c>
      <c r="H716" s="51">
        <f t="shared" si="47"/>
        <v>1</v>
      </c>
      <c r="I716" s="51" t="str">
        <f t="shared" si="47"/>
        <v/>
      </c>
      <c r="J716" s="51" t="str">
        <f t="shared" si="47"/>
        <v/>
      </c>
      <c r="K716" s="37" t="s">
        <v>47</v>
      </c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7"/>
      <c r="AK716" s="37"/>
      <c r="AM716" s="38"/>
      <c r="AN716" s="38"/>
      <c r="AO716" s="38"/>
      <c r="AP716" s="38"/>
      <c r="AQ716" s="38"/>
      <c r="AR716" s="38"/>
      <c r="AS716" s="38"/>
      <c r="AT716" s="38"/>
      <c r="AU716" s="38"/>
      <c r="AV716" s="38"/>
      <c r="AW716" s="38"/>
      <c r="AX716" s="38"/>
      <c r="AY716" s="38"/>
      <c r="AZ716" s="38"/>
      <c r="BA716" s="38" t="s">
        <v>47</v>
      </c>
      <c r="BB716" s="38"/>
      <c r="BC716" s="38"/>
      <c r="BD716" s="38"/>
      <c r="BE716" s="77">
        <f t="shared" si="50"/>
        <v>1</v>
      </c>
      <c r="BF716" s="38"/>
    </row>
    <row r="717" spans="1:58" ht="22.5" hidden="1" customHeight="1">
      <c r="A717" s="33" t="str">
        <f>IF(OR(ISBLANK(E717),ISBLANK(C717)),"",IF(COUNTIF($E$8:E717,E717)&gt;1,"",(MAX($A$7:A716)+1)))</f>
        <v/>
      </c>
      <c r="B717" s="34">
        <f>IF(ISBLANK(C717),"",SUBTOTAL(3,$C$8:C717))</f>
        <v>44</v>
      </c>
      <c r="C717" s="85" t="s">
        <v>1509</v>
      </c>
      <c r="D717" s="50" t="s">
        <v>1510</v>
      </c>
      <c r="E717" s="50" t="s">
        <v>1450</v>
      </c>
      <c r="F717" s="35" t="str">
        <f t="shared" si="48"/>
        <v/>
      </c>
      <c r="G717" s="36" t="str">
        <f t="shared" si="49"/>
        <v>D</v>
      </c>
      <c r="H717" s="51" t="str">
        <f t="shared" si="47"/>
        <v/>
      </c>
      <c r="I717" s="51" t="str">
        <f t="shared" si="47"/>
        <v/>
      </c>
      <c r="J717" s="51">
        <f t="shared" si="47"/>
        <v>1</v>
      </c>
      <c r="K717" s="37"/>
      <c r="L717" s="37"/>
      <c r="M717" s="37" t="s">
        <v>47</v>
      </c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  <c r="AJ717" s="37"/>
      <c r="AK717" s="37"/>
      <c r="AM717" s="38"/>
      <c r="AN717" s="38"/>
      <c r="AO717" s="38"/>
      <c r="AP717" s="38"/>
      <c r="AQ717" s="38"/>
      <c r="AR717" s="38"/>
      <c r="AS717" s="38"/>
      <c r="AT717" s="38"/>
      <c r="AU717" s="38"/>
      <c r="AV717" s="38" t="s">
        <v>47</v>
      </c>
      <c r="AW717" s="38"/>
      <c r="AX717" s="38"/>
      <c r="AY717" s="38"/>
      <c r="AZ717" s="38"/>
      <c r="BA717" s="38"/>
      <c r="BB717" s="38"/>
      <c r="BC717" s="38"/>
      <c r="BD717" s="38"/>
      <c r="BE717" s="77">
        <f t="shared" si="50"/>
        <v>1</v>
      </c>
      <c r="BF717" s="38"/>
    </row>
    <row r="718" spans="1:58" ht="22.5" hidden="1" customHeight="1">
      <c r="A718" s="33" t="str">
        <f>IF(OR(ISBLANK(E718),ISBLANK(C718)),"",IF(COUNTIF($E$8:E718,E718)&gt;1,"",(MAX($A$7:A717)+1)))</f>
        <v/>
      </c>
      <c r="B718" s="34">
        <f>IF(ISBLANK(C718),"",SUBTOTAL(3,$C$8:C718))</f>
        <v>44</v>
      </c>
      <c r="C718" s="85" t="s">
        <v>1511</v>
      </c>
      <c r="D718" s="50" t="s">
        <v>1512</v>
      </c>
      <c r="E718" s="50" t="s">
        <v>1450</v>
      </c>
      <c r="F718" s="35" t="str">
        <f t="shared" si="48"/>
        <v/>
      </c>
      <c r="G718" s="36" t="str">
        <f t="shared" si="49"/>
        <v>D</v>
      </c>
      <c r="H718" s="51" t="str">
        <f t="shared" si="47"/>
        <v/>
      </c>
      <c r="I718" s="51">
        <f t="shared" si="47"/>
        <v>1</v>
      </c>
      <c r="J718" s="51" t="str">
        <f t="shared" si="47"/>
        <v/>
      </c>
      <c r="K718" s="37"/>
      <c r="L718" s="37" t="s">
        <v>47</v>
      </c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7"/>
      <c r="AK718" s="37"/>
      <c r="AM718" s="38"/>
      <c r="AN718" s="38"/>
      <c r="AO718" s="38"/>
      <c r="AP718" s="38"/>
      <c r="AQ718" s="38"/>
      <c r="AR718" s="38"/>
      <c r="AS718" s="38" t="s">
        <v>47</v>
      </c>
      <c r="AT718" s="38"/>
      <c r="AU718" s="38"/>
      <c r="AV718" s="38"/>
      <c r="AW718" s="38"/>
      <c r="AX718" s="38"/>
      <c r="AY718" s="38"/>
      <c r="AZ718" s="38"/>
      <c r="BA718" s="38"/>
      <c r="BB718" s="38"/>
      <c r="BC718" s="38"/>
      <c r="BD718" s="38"/>
      <c r="BE718" s="77">
        <f t="shared" si="50"/>
        <v>1</v>
      </c>
      <c r="BF718" s="38"/>
    </row>
    <row r="719" spans="1:58" ht="22.5" hidden="1" customHeight="1">
      <c r="A719" s="33" t="str">
        <f>IF(OR(ISBLANK(E719),ISBLANK(C719)),"",IF(COUNTIF($E$8:E719,E719)&gt;1,"",(MAX($A$7:A718)+1)))</f>
        <v/>
      </c>
      <c r="B719" s="34">
        <f>IF(ISBLANK(C719),"",SUBTOTAL(3,$C$8:C719))</f>
        <v>44</v>
      </c>
      <c r="C719" s="85" t="s">
        <v>1513</v>
      </c>
      <c r="D719" s="50" t="s">
        <v>1514</v>
      </c>
      <c r="E719" s="50" t="s">
        <v>1450</v>
      </c>
      <c r="F719" s="35" t="str">
        <f t="shared" si="48"/>
        <v/>
      </c>
      <c r="G719" s="36" t="str">
        <f t="shared" si="49"/>
        <v>C</v>
      </c>
      <c r="H719" s="51">
        <f t="shared" si="47"/>
        <v>1</v>
      </c>
      <c r="I719" s="51" t="str">
        <f t="shared" si="47"/>
        <v/>
      </c>
      <c r="J719" s="51" t="str">
        <f t="shared" si="47"/>
        <v/>
      </c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 t="s">
        <v>47</v>
      </c>
      <c r="AA719" s="37"/>
      <c r="AB719" s="37"/>
      <c r="AC719" s="37"/>
      <c r="AD719" s="37"/>
      <c r="AE719" s="37"/>
      <c r="AF719" s="37"/>
      <c r="AG719" s="37"/>
      <c r="AH719" s="37"/>
      <c r="AI719" s="37"/>
      <c r="AJ719" s="37"/>
      <c r="AK719" s="37"/>
      <c r="AM719" s="38"/>
      <c r="AN719" s="38"/>
      <c r="AO719" s="38" t="s">
        <v>47</v>
      </c>
      <c r="AP719" s="38"/>
      <c r="AQ719" s="38"/>
      <c r="AR719" s="38"/>
      <c r="AS719" s="38"/>
      <c r="AT719" s="38"/>
      <c r="AU719" s="38"/>
      <c r="AV719" s="38"/>
      <c r="AW719" s="38"/>
      <c r="AX719" s="38"/>
      <c r="AY719" s="38"/>
      <c r="AZ719" s="38"/>
      <c r="BA719" s="38"/>
      <c r="BB719" s="38"/>
      <c r="BC719" s="38"/>
      <c r="BD719" s="38"/>
      <c r="BE719" s="77">
        <f t="shared" si="50"/>
        <v>1</v>
      </c>
      <c r="BF719" s="38"/>
    </row>
    <row r="720" spans="1:58" ht="22.5" hidden="1" customHeight="1">
      <c r="A720" s="33" t="str">
        <f>IF(OR(ISBLANK(E720),ISBLANK(C720)),"",IF(COUNTIF($E$8:E720,E720)&gt;1,"",(MAX($A$7:A719)+1)))</f>
        <v/>
      </c>
      <c r="B720" s="34">
        <f>IF(ISBLANK(C720),"",SUBTOTAL(3,$C$8:C720))</f>
        <v>44</v>
      </c>
      <c r="C720" s="85" t="s">
        <v>1515</v>
      </c>
      <c r="D720" s="50" t="s">
        <v>1516</v>
      </c>
      <c r="E720" s="50" t="s">
        <v>1450</v>
      </c>
      <c r="F720" s="35" t="str">
        <f t="shared" si="48"/>
        <v/>
      </c>
      <c r="G720" s="36" t="str">
        <f t="shared" si="49"/>
        <v>D</v>
      </c>
      <c r="H720" s="51" t="str">
        <f t="shared" si="47"/>
        <v/>
      </c>
      <c r="I720" s="51">
        <f t="shared" si="47"/>
        <v>1</v>
      </c>
      <c r="J720" s="51" t="str">
        <f t="shared" si="47"/>
        <v/>
      </c>
      <c r="K720" s="37"/>
      <c r="L720" s="37"/>
      <c r="M720" s="37"/>
      <c r="N720" s="37"/>
      <c r="O720" s="37"/>
      <c r="P720" s="37"/>
      <c r="Q720" s="37"/>
      <c r="R720" s="37" t="s">
        <v>47</v>
      </c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  <c r="AJ720" s="37"/>
      <c r="AK720" s="37"/>
      <c r="AM720" s="38"/>
      <c r="AN720" s="38"/>
      <c r="AO720" s="38"/>
      <c r="AP720" s="38"/>
      <c r="AQ720" s="38"/>
      <c r="AR720" s="38"/>
      <c r="AS720" s="38"/>
      <c r="AT720" s="38"/>
      <c r="AU720" s="38"/>
      <c r="AV720" s="38" t="s">
        <v>47</v>
      </c>
      <c r="AW720" s="38"/>
      <c r="AX720" s="38"/>
      <c r="AY720" s="38"/>
      <c r="AZ720" s="38"/>
      <c r="BA720" s="38"/>
      <c r="BB720" s="38"/>
      <c r="BC720" s="38"/>
      <c r="BD720" s="38"/>
      <c r="BE720" s="77">
        <f t="shared" si="50"/>
        <v>1</v>
      </c>
      <c r="BF720" s="38"/>
    </row>
    <row r="721" spans="1:58" ht="22.5" hidden="1" customHeight="1">
      <c r="A721" s="33" t="str">
        <f>IF(OR(ISBLANK(E721),ISBLANK(C721)),"",IF(COUNTIF($E$8:E721,E721)&gt;1,"",(MAX($A$7:A720)+1)))</f>
        <v/>
      </c>
      <c r="B721" s="34">
        <f>IF(ISBLANK(C721),"",SUBTOTAL(3,$C$8:C721))</f>
        <v>44</v>
      </c>
      <c r="C721" s="85" t="s">
        <v>1517</v>
      </c>
      <c r="D721" s="50" t="s">
        <v>1518</v>
      </c>
      <c r="E721" s="50" t="s">
        <v>1450</v>
      </c>
      <c r="F721" s="35" t="str">
        <f t="shared" si="48"/>
        <v/>
      </c>
      <c r="G721" s="36" t="str">
        <f t="shared" si="49"/>
        <v>D</v>
      </c>
      <c r="H721" s="51" t="str">
        <f t="shared" si="47"/>
        <v/>
      </c>
      <c r="I721" s="51">
        <f t="shared" si="47"/>
        <v>1</v>
      </c>
      <c r="J721" s="51" t="str">
        <f t="shared" si="47"/>
        <v/>
      </c>
      <c r="K721" s="37"/>
      <c r="L721" s="37" t="s">
        <v>47</v>
      </c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7"/>
      <c r="AK721" s="37"/>
      <c r="AM721" s="38"/>
      <c r="AN721" s="38"/>
      <c r="AO721" s="38"/>
      <c r="AP721" s="38"/>
      <c r="AQ721" s="38"/>
      <c r="AR721" s="38"/>
      <c r="AS721" s="38"/>
      <c r="AT721" s="38"/>
      <c r="AU721" s="38"/>
      <c r="AV721" s="38"/>
      <c r="AW721" s="38" t="s">
        <v>47</v>
      </c>
      <c r="AX721" s="38"/>
      <c r="AY721" s="38"/>
      <c r="AZ721" s="38"/>
      <c r="BA721" s="38"/>
      <c r="BB721" s="38"/>
      <c r="BC721" s="38"/>
      <c r="BD721" s="38"/>
      <c r="BE721" s="77">
        <f t="shared" si="50"/>
        <v>1</v>
      </c>
      <c r="BF721" s="38"/>
    </row>
    <row r="722" spans="1:58" ht="22.5" hidden="1" customHeight="1">
      <c r="A722" s="33" t="str">
        <f>IF(OR(ISBLANK(E722),ISBLANK(C722)),"",IF(COUNTIF($E$8:E722,E722)&gt;1,"",(MAX($A$7:A721)+1)))</f>
        <v/>
      </c>
      <c r="B722" s="34">
        <f>IF(ISBLANK(C722),"",SUBTOTAL(3,$C$8:C722))</f>
        <v>44</v>
      </c>
      <c r="C722" s="85" t="s">
        <v>1519</v>
      </c>
      <c r="D722" s="50" t="s">
        <v>1520</v>
      </c>
      <c r="E722" s="50" t="s">
        <v>1450</v>
      </c>
      <c r="F722" s="35" t="str">
        <f t="shared" si="48"/>
        <v/>
      </c>
      <c r="G722" s="36" t="str">
        <f t="shared" si="49"/>
        <v>D</v>
      </c>
      <c r="H722" s="51" t="str">
        <f t="shared" si="47"/>
        <v/>
      </c>
      <c r="I722" s="51">
        <f t="shared" si="47"/>
        <v>1</v>
      </c>
      <c r="J722" s="51" t="str">
        <f t="shared" si="47"/>
        <v/>
      </c>
      <c r="K722" s="37"/>
      <c r="L722" s="37"/>
      <c r="M722" s="37"/>
      <c r="N722" s="37"/>
      <c r="O722" s="37"/>
      <c r="P722" s="37"/>
      <c r="Q722" s="37"/>
      <c r="R722" s="37" t="s">
        <v>47</v>
      </c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  <c r="AJ722" s="37"/>
      <c r="AK722" s="37"/>
      <c r="AM722" s="38"/>
      <c r="AN722" s="38"/>
      <c r="AO722" s="38"/>
      <c r="AP722" s="38"/>
      <c r="AQ722" s="38"/>
      <c r="AR722" s="38"/>
      <c r="AS722" s="38"/>
      <c r="AT722" s="38"/>
      <c r="AU722" s="38"/>
      <c r="AV722" s="38" t="s">
        <v>47</v>
      </c>
      <c r="AW722" s="38"/>
      <c r="AX722" s="38"/>
      <c r="AY722" s="38"/>
      <c r="AZ722" s="38"/>
      <c r="BA722" s="38"/>
      <c r="BB722" s="38"/>
      <c r="BC722" s="38"/>
      <c r="BD722" s="38"/>
      <c r="BE722" s="77">
        <f t="shared" si="50"/>
        <v>1</v>
      </c>
      <c r="BF722" s="38"/>
    </row>
    <row r="723" spans="1:58" ht="22.5" hidden="1" customHeight="1">
      <c r="A723" s="33" t="str">
        <f>IF(OR(ISBLANK(E723),ISBLANK(C723)),"",IF(COUNTIF($E$8:E723,E723)&gt;1,"",(MAX($A$7:A722)+1)))</f>
        <v/>
      </c>
      <c r="B723" s="34">
        <f>IF(ISBLANK(C723),"",SUBTOTAL(3,$C$8:C723))</f>
        <v>44</v>
      </c>
      <c r="C723" s="85" t="s">
        <v>1521</v>
      </c>
      <c r="D723" s="50" t="s">
        <v>1522</v>
      </c>
      <c r="E723" s="50" t="s">
        <v>1450</v>
      </c>
      <c r="F723" s="35" t="str">
        <f t="shared" si="48"/>
        <v/>
      </c>
      <c r="G723" s="36" t="str">
        <f t="shared" si="49"/>
        <v>D</v>
      </c>
      <c r="H723" s="51" t="str">
        <f t="shared" si="47"/>
        <v/>
      </c>
      <c r="I723" s="51">
        <f t="shared" si="47"/>
        <v>1</v>
      </c>
      <c r="J723" s="51" t="str">
        <f t="shared" si="47"/>
        <v/>
      </c>
      <c r="K723" s="37"/>
      <c r="L723" s="37"/>
      <c r="M723" s="37"/>
      <c r="N723" s="37"/>
      <c r="O723" s="37"/>
      <c r="P723" s="37"/>
      <c r="Q723" s="37"/>
      <c r="R723" s="37" t="s">
        <v>47</v>
      </c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  <c r="AK723" s="37"/>
      <c r="AM723" s="38"/>
      <c r="AN723" s="38"/>
      <c r="AO723" s="38"/>
      <c r="AP723" s="38"/>
      <c r="AQ723" s="38"/>
      <c r="AR723" s="38"/>
      <c r="AS723" s="38"/>
      <c r="AT723" s="38"/>
      <c r="AU723" s="38"/>
      <c r="AV723" s="38" t="s">
        <v>47</v>
      </c>
      <c r="AW723" s="38"/>
      <c r="AX723" s="38"/>
      <c r="AY723" s="38"/>
      <c r="AZ723" s="38"/>
      <c r="BA723" s="38"/>
      <c r="BB723" s="38"/>
      <c r="BC723" s="38"/>
      <c r="BD723" s="38"/>
      <c r="BE723" s="77">
        <f t="shared" si="50"/>
        <v>1</v>
      </c>
      <c r="BF723" s="38"/>
    </row>
    <row r="724" spans="1:58" ht="22.5" hidden="1" customHeight="1">
      <c r="A724" s="33">
        <f>IF(OR(ISBLANK(E724),ISBLANK(C724)),"",IF(COUNTIF($E$8:E724,E724)&gt;1,"",(MAX($A$7:A723)+1)))</f>
        <v>19</v>
      </c>
      <c r="B724" s="34">
        <f>IF(ISBLANK(C724),"",SUBTOTAL(3,$C$8:C724))</f>
        <v>44</v>
      </c>
      <c r="C724" s="85" t="s">
        <v>1523</v>
      </c>
      <c r="D724" s="50" t="s">
        <v>1524</v>
      </c>
      <c r="E724" s="50" t="s">
        <v>1525</v>
      </c>
      <c r="F724" s="35" t="str">
        <f t="shared" si="48"/>
        <v/>
      </c>
      <c r="G724" s="36" t="str">
        <f t="shared" si="49"/>
        <v>A</v>
      </c>
      <c r="H724" s="51">
        <f t="shared" si="47"/>
        <v>3</v>
      </c>
      <c r="I724" s="51" t="str">
        <f t="shared" si="47"/>
        <v/>
      </c>
      <c r="J724" s="51" t="str">
        <f t="shared" si="47"/>
        <v/>
      </c>
      <c r="K724" s="37" t="s">
        <v>47</v>
      </c>
      <c r="L724" s="37"/>
      <c r="M724" s="37"/>
      <c r="N724" s="37" t="s">
        <v>47</v>
      </c>
      <c r="O724" s="37"/>
      <c r="P724" s="37"/>
      <c r="Q724" s="37" t="s">
        <v>47</v>
      </c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  <c r="AJ724" s="37"/>
      <c r="AK724" s="37"/>
      <c r="AM724" s="38"/>
      <c r="AN724" s="38"/>
      <c r="AO724" s="38"/>
      <c r="AP724" s="38"/>
      <c r="AQ724" s="38"/>
      <c r="AR724" s="38"/>
      <c r="AS724" s="38"/>
      <c r="AT724" s="38"/>
      <c r="AU724" s="38"/>
      <c r="AV724" s="38"/>
      <c r="AW724" s="38"/>
      <c r="AX724" s="38"/>
      <c r="AY724" s="38"/>
      <c r="AZ724" s="38"/>
      <c r="BA724" s="38"/>
      <c r="BB724" s="38"/>
      <c r="BC724" s="38"/>
      <c r="BD724" s="38" t="s">
        <v>47</v>
      </c>
      <c r="BE724" s="77">
        <f t="shared" si="50"/>
        <v>1</v>
      </c>
      <c r="BF724" s="38"/>
    </row>
    <row r="725" spans="1:58" ht="22.5" hidden="1" customHeight="1">
      <c r="A725" s="33" t="str">
        <f>IF(OR(ISBLANK(E725),ISBLANK(C725)),"",IF(COUNTIF($E$8:E725,E725)&gt;1,"",(MAX($A$7:A724)+1)))</f>
        <v/>
      </c>
      <c r="B725" s="34">
        <f>IF(ISBLANK(C725),"",SUBTOTAL(3,$C$8:C725))</f>
        <v>44</v>
      </c>
      <c r="C725" s="81" t="s">
        <v>1526</v>
      </c>
      <c r="D725" s="52" t="s">
        <v>1527</v>
      </c>
      <c r="E725" s="50" t="s">
        <v>1525</v>
      </c>
      <c r="F725" s="35" t="str">
        <f t="shared" si="48"/>
        <v/>
      </c>
      <c r="G725" s="36" t="str">
        <f t="shared" si="49"/>
        <v/>
      </c>
      <c r="H725" s="51" t="str">
        <f t="shared" si="47"/>
        <v/>
      </c>
      <c r="I725" s="51" t="str">
        <f t="shared" si="47"/>
        <v/>
      </c>
      <c r="J725" s="51" t="str">
        <f t="shared" si="47"/>
        <v/>
      </c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37"/>
      <c r="AJ725" s="37"/>
      <c r="AK725" s="37"/>
      <c r="AM725" s="38"/>
      <c r="AN725" s="38"/>
      <c r="AO725" s="38"/>
      <c r="AP725" s="38"/>
      <c r="AQ725" s="38"/>
      <c r="AR725" s="38"/>
      <c r="AS725" s="38"/>
      <c r="AT725" s="38"/>
      <c r="AU725" s="38"/>
      <c r="AV725" s="38"/>
      <c r="AW725" s="38"/>
      <c r="AX725" s="38"/>
      <c r="AY725" s="38"/>
      <c r="AZ725" s="38"/>
      <c r="BA725" s="38"/>
      <c r="BB725" s="38"/>
      <c r="BC725" s="38"/>
      <c r="BD725" s="38"/>
      <c r="BE725" s="77">
        <f t="shared" si="50"/>
        <v>0</v>
      </c>
      <c r="BF725" s="38"/>
    </row>
    <row r="726" spans="1:58" ht="22.5" hidden="1" customHeight="1">
      <c r="A726" s="33" t="str">
        <f>IF(OR(ISBLANK(E726),ISBLANK(C726)),"",IF(COUNTIF($E$8:E726,E726)&gt;1,"",(MAX($A$7:A725)+1)))</f>
        <v/>
      </c>
      <c r="B726" s="34">
        <f>IF(ISBLANK(C726),"",SUBTOTAL(3,$C$8:C726))</f>
        <v>44</v>
      </c>
      <c r="C726" s="83" t="s">
        <v>1528</v>
      </c>
      <c r="D726" s="50" t="s">
        <v>1529</v>
      </c>
      <c r="E726" s="50" t="s">
        <v>1525</v>
      </c>
      <c r="F726" s="35" t="str">
        <f t="shared" si="48"/>
        <v/>
      </c>
      <c r="G726" s="36" t="str">
        <f t="shared" si="49"/>
        <v/>
      </c>
      <c r="H726" s="51" t="str">
        <f t="shared" si="47"/>
        <v/>
      </c>
      <c r="I726" s="51" t="str">
        <f t="shared" si="47"/>
        <v/>
      </c>
      <c r="J726" s="51" t="str">
        <f t="shared" si="47"/>
        <v/>
      </c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  <c r="AJ726" s="37"/>
      <c r="AK726" s="37"/>
      <c r="AM726" s="38"/>
      <c r="AN726" s="38"/>
      <c r="AO726" s="38"/>
      <c r="AP726" s="38"/>
      <c r="AQ726" s="38"/>
      <c r="AR726" s="38"/>
      <c r="AS726" s="38"/>
      <c r="AT726" s="38"/>
      <c r="AU726" s="38"/>
      <c r="AV726" s="38"/>
      <c r="AW726" s="38"/>
      <c r="AX726" s="38"/>
      <c r="AY726" s="38"/>
      <c r="AZ726" s="38"/>
      <c r="BA726" s="38"/>
      <c r="BB726" s="38"/>
      <c r="BC726" s="38"/>
      <c r="BD726" s="38"/>
      <c r="BE726" s="77">
        <f t="shared" si="50"/>
        <v>0</v>
      </c>
      <c r="BF726" s="38"/>
    </row>
    <row r="727" spans="1:58" ht="22.5" hidden="1" customHeight="1">
      <c r="A727" s="33" t="str">
        <f>IF(OR(ISBLANK(E727),ISBLANK(C727)),"",IF(COUNTIF($E$8:E727,E727)&gt;1,"",(MAX($A$7:A726)+1)))</f>
        <v/>
      </c>
      <c r="B727" s="34">
        <f>IF(ISBLANK(C727),"",SUBTOTAL(3,$C$8:C727))</f>
        <v>44</v>
      </c>
      <c r="C727" s="81" t="s">
        <v>1530</v>
      </c>
      <c r="D727" s="50" t="s">
        <v>1531</v>
      </c>
      <c r="E727" s="50" t="s">
        <v>1525</v>
      </c>
      <c r="F727" s="35" t="str">
        <f t="shared" si="48"/>
        <v/>
      </c>
      <c r="G727" s="36" t="str">
        <f t="shared" si="49"/>
        <v>C</v>
      </c>
      <c r="H727" s="51" t="str">
        <f t="shared" si="47"/>
        <v/>
      </c>
      <c r="I727" s="51">
        <f t="shared" si="47"/>
        <v>4</v>
      </c>
      <c r="J727" s="51" t="str">
        <f t="shared" si="47"/>
        <v/>
      </c>
      <c r="K727" s="37"/>
      <c r="L727" s="37" t="s">
        <v>47</v>
      </c>
      <c r="M727" s="37"/>
      <c r="N727" s="37"/>
      <c r="O727" s="37" t="s">
        <v>47</v>
      </c>
      <c r="P727" s="37"/>
      <c r="Q727" s="37"/>
      <c r="R727" s="37" t="s">
        <v>47</v>
      </c>
      <c r="S727" s="37"/>
      <c r="T727" s="37"/>
      <c r="U727" s="37" t="s">
        <v>47</v>
      </c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7"/>
      <c r="AK727" s="37"/>
      <c r="AM727" s="38"/>
      <c r="AN727" s="38"/>
      <c r="AO727" s="38"/>
      <c r="AP727" s="38"/>
      <c r="AQ727" s="38"/>
      <c r="AR727" s="38" t="s">
        <v>47</v>
      </c>
      <c r="AS727" s="38" t="s">
        <v>47</v>
      </c>
      <c r="AT727" s="38"/>
      <c r="AU727" s="38"/>
      <c r="AV727" s="38"/>
      <c r="AW727" s="38"/>
      <c r="AX727" s="38"/>
      <c r="AY727" s="38"/>
      <c r="AZ727" s="38"/>
      <c r="BA727" s="38"/>
      <c r="BB727" s="38"/>
      <c r="BC727" s="38"/>
      <c r="BD727" s="38"/>
      <c r="BE727" s="77">
        <f t="shared" si="50"/>
        <v>2</v>
      </c>
      <c r="BF727" s="38"/>
    </row>
    <row r="728" spans="1:58" ht="22.5" hidden="1" customHeight="1">
      <c r="A728" s="33" t="str">
        <f>IF(OR(ISBLANK(E728),ISBLANK(C728)),"",IF(COUNTIF($E$8:E728,E728)&gt;1,"",(MAX($A$7:A727)+1)))</f>
        <v/>
      </c>
      <c r="B728" s="34">
        <f>IF(ISBLANK(C728),"",SUBTOTAL(3,$C$8:C728))</f>
        <v>44</v>
      </c>
      <c r="C728" s="81" t="s">
        <v>1532</v>
      </c>
      <c r="D728" s="50" t="s">
        <v>1533</v>
      </c>
      <c r="E728" s="50" t="s">
        <v>1525</v>
      </c>
      <c r="F728" s="35" t="str">
        <f t="shared" si="48"/>
        <v/>
      </c>
      <c r="G728" s="36" t="str">
        <f t="shared" si="49"/>
        <v>C</v>
      </c>
      <c r="H728" s="51">
        <f t="shared" ref="H728:J791" si="51">IF(OR(ISBLANK($C728),COUNTIFS($K728:$AH728,"X",$K$7:$AH$7,H$7)=0,),"",COUNTIFS($K728:$AH728,"X",$K$7:$AH$7,H$7))</f>
        <v>1</v>
      </c>
      <c r="I728" s="51" t="str">
        <f t="shared" si="51"/>
        <v/>
      </c>
      <c r="J728" s="51" t="str">
        <f t="shared" si="51"/>
        <v/>
      </c>
      <c r="K728" s="37"/>
      <c r="L728" s="37"/>
      <c r="M728" s="37"/>
      <c r="N728" s="37"/>
      <c r="O728" s="37"/>
      <c r="P728" s="37"/>
      <c r="Q728" s="37" t="s">
        <v>47</v>
      </c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7"/>
      <c r="AK728" s="37"/>
      <c r="AM728" s="38"/>
      <c r="AN728" s="38"/>
      <c r="AO728" s="38"/>
      <c r="AP728" s="38"/>
      <c r="AQ728" s="38"/>
      <c r="AR728" s="38"/>
      <c r="AS728" s="38"/>
      <c r="AT728" s="38"/>
      <c r="AU728" s="38"/>
      <c r="AV728" s="38"/>
      <c r="AW728" s="38"/>
      <c r="AX728" s="38" t="s">
        <v>47</v>
      </c>
      <c r="AY728" s="38"/>
      <c r="AZ728" s="38"/>
      <c r="BA728" s="38"/>
      <c r="BB728" s="38"/>
      <c r="BC728" s="38"/>
      <c r="BD728" s="38"/>
      <c r="BE728" s="77">
        <f t="shared" si="50"/>
        <v>1</v>
      </c>
      <c r="BF728" s="38"/>
    </row>
    <row r="729" spans="1:58" ht="22.5" hidden="1" customHeight="1">
      <c r="A729" s="33" t="str">
        <f>IF(OR(ISBLANK(E729),ISBLANK(C729)),"",IF(COUNTIF($E$8:E729,E729)&gt;1,"",(MAX($A$7:A728)+1)))</f>
        <v/>
      </c>
      <c r="B729" s="34">
        <f>IF(ISBLANK(C729),"",SUBTOTAL(3,$C$8:C729))</f>
        <v>44</v>
      </c>
      <c r="C729" s="85" t="s">
        <v>1534</v>
      </c>
      <c r="D729" s="50" t="s">
        <v>1535</v>
      </c>
      <c r="E729" s="50" t="s">
        <v>1525</v>
      </c>
      <c r="F729" s="35" t="str">
        <f t="shared" si="48"/>
        <v/>
      </c>
      <c r="G729" s="36" t="str">
        <f t="shared" si="49"/>
        <v>B</v>
      </c>
      <c r="H729" s="51">
        <f t="shared" si="51"/>
        <v>1</v>
      </c>
      <c r="I729" s="51">
        <f t="shared" si="51"/>
        <v>2</v>
      </c>
      <c r="J729" s="51" t="str">
        <f t="shared" si="51"/>
        <v/>
      </c>
      <c r="K729" s="37" t="s">
        <v>47</v>
      </c>
      <c r="L729" s="37"/>
      <c r="M729" s="37"/>
      <c r="N729" s="37"/>
      <c r="O729" s="37"/>
      <c r="P729" s="37"/>
      <c r="Q729" s="37"/>
      <c r="R729" s="37" t="s">
        <v>47</v>
      </c>
      <c r="S729" s="37"/>
      <c r="T729" s="37"/>
      <c r="U729" s="37" t="s">
        <v>47</v>
      </c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  <c r="AJ729" s="37"/>
      <c r="AK729" s="37"/>
      <c r="AM729" s="38"/>
      <c r="AN729" s="38"/>
      <c r="AO729" s="38"/>
      <c r="AP729" s="38"/>
      <c r="AQ729" s="38"/>
      <c r="AR729" s="38"/>
      <c r="AS729" s="38"/>
      <c r="AT729" s="38"/>
      <c r="AU729" s="38"/>
      <c r="AV729" s="38"/>
      <c r="AW729" s="38"/>
      <c r="AX729" s="38"/>
      <c r="AY729" s="38"/>
      <c r="AZ729" s="38"/>
      <c r="BA729" s="38" t="s">
        <v>47</v>
      </c>
      <c r="BB729" s="38"/>
      <c r="BC729" s="38"/>
      <c r="BD729" s="38"/>
      <c r="BE729" s="77">
        <f t="shared" si="50"/>
        <v>1</v>
      </c>
      <c r="BF729" s="38"/>
    </row>
    <row r="730" spans="1:58" ht="22.5" hidden="1" customHeight="1">
      <c r="A730" s="33" t="str">
        <f>IF(OR(ISBLANK(E730),ISBLANK(C730)),"",IF(COUNTIF($E$8:E730,E730)&gt;1,"",(MAX($A$7:A729)+1)))</f>
        <v/>
      </c>
      <c r="B730" s="34">
        <f>IF(ISBLANK(C730),"",SUBTOTAL(3,$C$8:C730))</f>
        <v>44</v>
      </c>
      <c r="C730" s="85" t="s">
        <v>1536</v>
      </c>
      <c r="D730" s="50" t="s">
        <v>1537</v>
      </c>
      <c r="E730" s="50" t="s">
        <v>1525</v>
      </c>
      <c r="F730" s="35" t="str">
        <f t="shared" si="48"/>
        <v/>
      </c>
      <c r="G730" s="36" t="str">
        <f t="shared" si="49"/>
        <v>C</v>
      </c>
      <c r="H730" s="51">
        <f t="shared" si="51"/>
        <v>1</v>
      </c>
      <c r="I730" s="51">
        <f t="shared" si="51"/>
        <v>1</v>
      </c>
      <c r="J730" s="51" t="str">
        <f t="shared" si="51"/>
        <v/>
      </c>
      <c r="K730" s="37" t="s">
        <v>47</v>
      </c>
      <c r="L730" s="37"/>
      <c r="M730" s="37"/>
      <c r="N730" s="37"/>
      <c r="O730" s="37" t="s">
        <v>47</v>
      </c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  <c r="AJ730" s="37"/>
      <c r="AK730" s="37"/>
      <c r="AM730" s="38"/>
      <c r="AN730" s="38"/>
      <c r="AO730" s="38"/>
      <c r="AP730" s="38"/>
      <c r="AQ730" s="38"/>
      <c r="AR730" s="38"/>
      <c r="AS730" s="38"/>
      <c r="AT730" s="38"/>
      <c r="AU730" s="38"/>
      <c r="AV730" s="38"/>
      <c r="AW730" s="38" t="s">
        <v>47</v>
      </c>
      <c r="AX730" s="38"/>
      <c r="AY730" s="38" t="s">
        <v>47</v>
      </c>
      <c r="AZ730" s="38"/>
      <c r="BA730" s="38"/>
      <c r="BB730" s="38"/>
      <c r="BC730" s="38"/>
      <c r="BD730" s="38"/>
      <c r="BE730" s="77">
        <f t="shared" si="50"/>
        <v>2</v>
      </c>
      <c r="BF730" s="38"/>
    </row>
    <row r="731" spans="1:58" ht="22.5" hidden="1" customHeight="1">
      <c r="A731" s="33" t="str">
        <f>IF(OR(ISBLANK(E731),ISBLANK(C731)),"",IF(COUNTIF($E$8:E731,E731)&gt;1,"",(MAX($A$7:A730)+1)))</f>
        <v/>
      </c>
      <c r="B731" s="34">
        <f>IF(ISBLANK(C731),"",SUBTOTAL(3,$C$8:C731))</f>
        <v>44</v>
      </c>
      <c r="C731" s="81" t="s">
        <v>1538</v>
      </c>
      <c r="D731" s="53" t="s">
        <v>1539</v>
      </c>
      <c r="E731" s="50" t="s">
        <v>1525</v>
      </c>
      <c r="F731" s="35" t="str">
        <f t="shared" si="48"/>
        <v/>
      </c>
      <c r="G731" s="36" t="str">
        <f t="shared" si="49"/>
        <v>C</v>
      </c>
      <c r="H731" s="51">
        <f t="shared" si="51"/>
        <v>1</v>
      </c>
      <c r="I731" s="51">
        <f t="shared" si="51"/>
        <v>1</v>
      </c>
      <c r="J731" s="51" t="str">
        <f t="shared" si="51"/>
        <v/>
      </c>
      <c r="K731" s="37" t="s">
        <v>47</v>
      </c>
      <c r="L731" s="37"/>
      <c r="M731" s="37"/>
      <c r="N731" s="37"/>
      <c r="O731" s="37"/>
      <c r="P731" s="37"/>
      <c r="Q731" s="37"/>
      <c r="R731" s="37"/>
      <c r="S731" s="37"/>
      <c r="T731" s="37"/>
      <c r="U731" s="37" t="s">
        <v>47</v>
      </c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  <c r="AK731" s="37"/>
      <c r="AM731" s="38"/>
      <c r="AN731" s="38"/>
      <c r="AO731" s="38"/>
      <c r="AP731" s="38"/>
      <c r="AQ731" s="38"/>
      <c r="AR731" s="38"/>
      <c r="AS731" s="38"/>
      <c r="AT731" s="38" t="s">
        <v>47</v>
      </c>
      <c r="AU731" s="38"/>
      <c r="AV731" s="38"/>
      <c r="AW731" s="38"/>
      <c r="AX731" s="38"/>
      <c r="AY731" s="38" t="s">
        <v>47</v>
      </c>
      <c r="AZ731" s="38"/>
      <c r="BA731" s="38"/>
      <c r="BB731" s="38"/>
      <c r="BC731" s="38"/>
      <c r="BD731" s="38"/>
      <c r="BE731" s="77">
        <f t="shared" si="50"/>
        <v>2</v>
      </c>
      <c r="BF731" s="38"/>
    </row>
    <row r="732" spans="1:58" ht="22.5" hidden="1" customHeight="1">
      <c r="A732" s="33" t="str">
        <f>IF(OR(ISBLANK(E732),ISBLANK(C732)),"",IF(COUNTIF($E$8:E732,E732)&gt;1,"",(MAX($A$7:A731)+1)))</f>
        <v/>
      </c>
      <c r="B732" s="34">
        <f>IF(ISBLANK(C732),"",SUBTOTAL(3,$C$8:C732))</f>
        <v>44</v>
      </c>
      <c r="C732" s="81" t="s">
        <v>1540</v>
      </c>
      <c r="D732" s="52" t="s">
        <v>1541</v>
      </c>
      <c r="E732" s="50" t="s">
        <v>1525</v>
      </c>
      <c r="F732" s="35" t="str">
        <f t="shared" si="48"/>
        <v/>
      </c>
      <c r="G732" s="36" t="str">
        <f t="shared" si="49"/>
        <v>C</v>
      </c>
      <c r="H732" s="51">
        <f t="shared" si="51"/>
        <v>1</v>
      </c>
      <c r="I732" s="51">
        <f t="shared" si="51"/>
        <v>1</v>
      </c>
      <c r="J732" s="51" t="str">
        <f t="shared" si="51"/>
        <v/>
      </c>
      <c r="K732" s="37" t="s">
        <v>47</v>
      </c>
      <c r="L732" s="37"/>
      <c r="M732" s="37"/>
      <c r="N732" s="37"/>
      <c r="O732" s="37" t="s">
        <v>47</v>
      </c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  <c r="AK732" s="37"/>
      <c r="AM732" s="38"/>
      <c r="AN732" s="38"/>
      <c r="AO732" s="38"/>
      <c r="AP732" s="38"/>
      <c r="AQ732" s="38"/>
      <c r="AR732" s="38"/>
      <c r="AS732" s="38"/>
      <c r="AT732" s="38"/>
      <c r="AU732" s="38" t="s">
        <v>47</v>
      </c>
      <c r="AV732" s="38"/>
      <c r="AW732" s="38"/>
      <c r="AX732" s="38"/>
      <c r="AY732" s="38"/>
      <c r="AZ732" s="38"/>
      <c r="BA732" s="38" t="s">
        <v>47</v>
      </c>
      <c r="BB732" s="38"/>
      <c r="BC732" s="38"/>
      <c r="BD732" s="38"/>
      <c r="BE732" s="77">
        <f t="shared" si="50"/>
        <v>2</v>
      </c>
      <c r="BF732" s="38"/>
    </row>
    <row r="733" spans="1:58" ht="22.5" hidden="1" customHeight="1">
      <c r="A733" s="33" t="str">
        <f>IF(OR(ISBLANK(E733),ISBLANK(C733)),"",IF(COUNTIF($E$8:E733,E733)&gt;1,"",(MAX($A$7:A732)+1)))</f>
        <v/>
      </c>
      <c r="B733" s="34">
        <f>IF(ISBLANK(C733),"",SUBTOTAL(3,$C$8:C733))</f>
        <v>44</v>
      </c>
      <c r="C733" s="81" t="s">
        <v>1542</v>
      </c>
      <c r="D733" s="52" t="s">
        <v>1543</v>
      </c>
      <c r="E733" s="50" t="s">
        <v>1525</v>
      </c>
      <c r="F733" s="35" t="str">
        <f t="shared" si="48"/>
        <v/>
      </c>
      <c r="G733" s="36" t="str">
        <f t="shared" si="49"/>
        <v>B</v>
      </c>
      <c r="H733" s="51">
        <f t="shared" si="51"/>
        <v>1</v>
      </c>
      <c r="I733" s="51">
        <f t="shared" si="51"/>
        <v>3</v>
      </c>
      <c r="J733" s="51" t="str">
        <f t="shared" si="51"/>
        <v/>
      </c>
      <c r="K733" s="37" t="s">
        <v>47</v>
      </c>
      <c r="L733" s="37"/>
      <c r="M733" s="37"/>
      <c r="N733" s="37"/>
      <c r="O733" s="37" t="s">
        <v>47</v>
      </c>
      <c r="P733" s="37"/>
      <c r="Q733" s="37"/>
      <c r="R733" s="37" t="s">
        <v>47</v>
      </c>
      <c r="S733" s="37"/>
      <c r="T733" s="37"/>
      <c r="U733" s="37" t="s">
        <v>47</v>
      </c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  <c r="AJ733" s="37"/>
      <c r="AK733" s="37"/>
      <c r="AM733" s="38"/>
      <c r="AN733" s="38"/>
      <c r="AO733" s="38"/>
      <c r="AP733" s="38"/>
      <c r="AQ733" s="38"/>
      <c r="AR733" s="38"/>
      <c r="AS733" s="38"/>
      <c r="AT733" s="38"/>
      <c r="AU733" s="38"/>
      <c r="AV733" s="38"/>
      <c r="AW733" s="38" t="s">
        <v>47</v>
      </c>
      <c r="AX733" s="38"/>
      <c r="AY733" s="38"/>
      <c r="AZ733" s="38"/>
      <c r="BA733" s="38"/>
      <c r="BB733" s="38"/>
      <c r="BC733" s="38"/>
      <c r="BD733" s="38"/>
      <c r="BE733" s="77">
        <f t="shared" si="50"/>
        <v>1</v>
      </c>
      <c r="BF733" s="38"/>
    </row>
    <row r="734" spans="1:58" ht="22.5" hidden="1" customHeight="1">
      <c r="A734" s="33" t="str">
        <f>IF(OR(ISBLANK(E734),ISBLANK(C734)),"",IF(COUNTIF($E$8:E734,E734)&gt;1,"",(MAX($A$7:A733)+1)))</f>
        <v/>
      </c>
      <c r="B734" s="34">
        <f>IF(ISBLANK(C734),"",SUBTOTAL(3,$C$8:C734))</f>
        <v>44</v>
      </c>
      <c r="C734" s="81" t="s">
        <v>1544</v>
      </c>
      <c r="D734" s="52" t="s">
        <v>1545</v>
      </c>
      <c r="E734" s="50" t="s">
        <v>1525</v>
      </c>
      <c r="F734" s="35" t="str">
        <f t="shared" si="48"/>
        <v/>
      </c>
      <c r="G734" s="36" t="str">
        <f t="shared" si="49"/>
        <v>C</v>
      </c>
      <c r="H734" s="51">
        <f t="shared" si="51"/>
        <v>1</v>
      </c>
      <c r="I734" s="51" t="str">
        <f t="shared" si="51"/>
        <v/>
      </c>
      <c r="J734" s="51" t="str">
        <f t="shared" si="51"/>
        <v/>
      </c>
      <c r="K734" s="37"/>
      <c r="L734" s="37"/>
      <c r="M734" s="37"/>
      <c r="N734" s="37"/>
      <c r="O734" s="37"/>
      <c r="P734" s="37"/>
      <c r="Q734" s="37" t="s">
        <v>47</v>
      </c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  <c r="AJ734" s="37"/>
      <c r="AK734" s="37"/>
      <c r="AM734" s="38"/>
      <c r="AN734" s="38"/>
      <c r="AO734" s="38"/>
      <c r="AP734" s="38"/>
      <c r="AQ734" s="38"/>
      <c r="AR734" s="38"/>
      <c r="AS734" s="38"/>
      <c r="AT734" s="38"/>
      <c r="AU734" s="38"/>
      <c r="AV734" s="38" t="s">
        <v>47</v>
      </c>
      <c r="AW734" s="38" t="s">
        <v>47</v>
      </c>
      <c r="AX734" s="38"/>
      <c r="AY734" s="38"/>
      <c r="AZ734" s="38"/>
      <c r="BA734" s="38"/>
      <c r="BB734" s="38"/>
      <c r="BC734" s="38"/>
      <c r="BD734" s="38"/>
      <c r="BE734" s="77">
        <f t="shared" si="50"/>
        <v>2</v>
      </c>
      <c r="BF734" s="38"/>
    </row>
    <row r="735" spans="1:58" ht="22.5" hidden="1" customHeight="1">
      <c r="A735" s="33" t="str">
        <f>IF(OR(ISBLANK(E735),ISBLANK(C735)),"",IF(COUNTIF($E$8:E735,E735)&gt;1,"",(MAX($A$7:A734)+1)))</f>
        <v/>
      </c>
      <c r="B735" s="34">
        <f>IF(ISBLANK(C735),"",SUBTOTAL(3,$C$8:C735))</f>
        <v>44</v>
      </c>
      <c r="C735" s="81" t="s">
        <v>1546</v>
      </c>
      <c r="D735" s="50" t="s">
        <v>1547</v>
      </c>
      <c r="E735" s="50" t="s">
        <v>1525</v>
      </c>
      <c r="F735" s="35" t="str">
        <f t="shared" si="48"/>
        <v/>
      </c>
      <c r="G735" s="36" t="str">
        <f t="shared" si="49"/>
        <v>D</v>
      </c>
      <c r="H735" s="51" t="str">
        <f t="shared" si="51"/>
        <v/>
      </c>
      <c r="I735" s="51">
        <f t="shared" si="51"/>
        <v>1</v>
      </c>
      <c r="J735" s="51" t="str">
        <f t="shared" si="51"/>
        <v/>
      </c>
      <c r="K735" s="37"/>
      <c r="L735" s="37" t="s">
        <v>47</v>
      </c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7"/>
      <c r="AK735" s="37"/>
      <c r="AM735" s="38"/>
      <c r="AN735" s="38"/>
      <c r="AO735" s="38"/>
      <c r="AP735" s="38"/>
      <c r="AQ735" s="38"/>
      <c r="AR735" s="38"/>
      <c r="AS735" s="38" t="s">
        <v>47</v>
      </c>
      <c r="AT735" s="38"/>
      <c r="AU735" s="38"/>
      <c r="AV735" s="38"/>
      <c r="AW735" s="38"/>
      <c r="AX735" s="38"/>
      <c r="AY735" s="38"/>
      <c r="AZ735" s="38"/>
      <c r="BA735" s="38"/>
      <c r="BB735" s="38"/>
      <c r="BC735" s="38"/>
      <c r="BD735" s="38"/>
      <c r="BE735" s="77">
        <f t="shared" si="50"/>
        <v>1</v>
      </c>
      <c r="BF735" s="38"/>
    </row>
    <row r="736" spans="1:58" ht="22.5" hidden="1" customHeight="1">
      <c r="A736" s="33" t="str">
        <f>IF(OR(ISBLANK(E736),ISBLANK(C736)),"",IF(COUNTIF($E$8:E736,E736)&gt;1,"",(MAX($A$7:A735)+1)))</f>
        <v/>
      </c>
      <c r="B736" s="34">
        <f>IF(ISBLANK(C736),"",SUBTOTAL(3,$C$8:C736))</f>
        <v>44</v>
      </c>
      <c r="C736" s="81" t="s">
        <v>1548</v>
      </c>
      <c r="D736" s="50" t="s">
        <v>1549</v>
      </c>
      <c r="E736" s="50" t="s">
        <v>1525</v>
      </c>
      <c r="F736" s="35" t="str">
        <f t="shared" si="48"/>
        <v/>
      </c>
      <c r="G736" s="36" t="str">
        <f t="shared" si="49"/>
        <v>C</v>
      </c>
      <c r="H736" s="51">
        <f t="shared" si="51"/>
        <v>1</v>
      </c>
      <c r="I736" s="51" t="str">
        <f t="shared" si="51"/>
        <v/>
      </c>
      <c r="J736" s="51" t="str">
        <f t="shared" si="51"/>
        <v/>
      </c>
      <c r="K736" s="37" t="s">
        <v>47</v>
      </c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7"/>
      <c r="AK736" s="37"/>
      <c r="AM736" s="38"/>
      <c r="AN736" s="38"/>
      <c r="AO736" s="38"/>
      <c r="AP736" s="38"/>
      <c r="AQ736" s="38"/>
      <c r="AR736" s="38"/>
      <c r="AS736" s="38"/>
      <c r="AT736" s="38"/>
      <c r="AU736" s="38"/>
      <c r="AV736" s="38"/>
      <c r="AW736" s="38"/>
      <c r="AX736" s="38"/>
      <c r="AY736" s="38"/>
      <c r="AZ736" s="38"/>
      <c r="BA736" s="38" t="s">
        <v>47</v>
      </c>
      <c r="BB736" s="38"/>
      <c r="BC736" s="38"/>
      <c r="BD736" s="38"/>
      <c r="BE736" s="77">
        <f t="shared" si="50"/>
        <v>1</v>
      </c>
      <c r="BF736" s="38"/>
    </row>
    <row r="737" spans="1:58" ht="22.5" hidden="1" customHeight="1">
      <c r="A737" s="33" t="str">
        <f>IF(OR(ISBLANK(E737),ISBLANK(C737)),"",IF(COUNTIF($E$8:E737,E737)&gt;1,"",(MAX($A$7:A736)+1)))</f>
        <v/>
      </c>
      <c r="B737" s="34">
        <f>IF(ISBLANK(C737),"",SUBTOTAL(3,$C$8:C737))</f>
        <v>44</v>
      </c>
      <c r="C737" s="81" t="s">
        <v>1550</v>
      </c>
      <c r="D737" s="50" t="s">
        <v>1551</v>
      </c>
      <c r="E737" s="50" t="s">
        <v>1525</v>
      </c>
      <c r="F737" s="35" t="str">
        <f t="shared" si="48"/>
        <v/>
      </c>
      <c r="G737" s="36" t="str">
        <f t="shared" si="49"/>
        <v>A</v>
      </c>
      <c r="H737" s="51">
        <f t="shared" si="51"/>
        <v>3</v>
      </c>
      <c r="I737" s="51">
        <f t="shared" si="51"/>
        <v>1</v>
      </c>
      <c r="J737" s="51" t="str">
        <f t="shared" si="51"/>
        <v/>
      </c>
      <c r="K737" s="37"/>
      <c r="L737" s="37" t="s">
        <v>47</v>
      </c>
      <c r="M737" s="37"/>
      <c r="N737" s="37" t="s">
        <v>47</v>
      </c>
      <c r="O737" s="37"/>
      <c r="P737" s="37"/>
      <c r="Q737" s="37" t="s">
        <v>47</v>
      </c>
      <c r="R737" s="37"/>
      <c r="S737" s="37"/>
      <c r="T737" s="37" t="s">
        <v>47</v>
      </c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  <c r="AJ737" s="37"/>
      <c r="AK737" s="37"/>
      <c r="AM737" s="38"/>
      <c r="AN737" s="38"/>
      <c r="AO737" s="38"/>
      <c r="AP737" s="38"/>
      <c r="AQ737" s="38"/>
      <c r="AR737" s="38"/>
      <c r="AS737" s="38"/>
      <c r="AT737" s="38"/>
      <c r="AU737" s="38"/>
      <c r="AV737" s="38"/>
      <c r="AW737" s="38"/>
      <c r="AX737" s="38" t="s">
        <v>47</v>
      </c>
      <c r="AY737" s="38" t="s">
        <v>47</v>
      </c>
      <c r="AZ737" s="38"/>
      <c r="BA737" s="38"/>
      <c r="BB737" s="38" t="s">
        <v>47</v>
      </c>
      <c r="BC737" s="38"/>
      <c r="BD737" s="38"/>
      <c r="BE737" s="77">
        <f t="shared" si="50"/>
        <v>3</v>
      </c>
      <c r="BF737" s="38"/>
    </row>
    <row r="738" spans="1:58" ht="22.5" hidden="1" customHeight="1">
      <c r="A738" s="33" t="str">
        <f>IF(OR(ISBLANK(E738),ISBLANK(C738)),"",IF(COUNTIF($E$8:E738,E738)&gt;1,"",(MAX($A$7:A737)+1)))</f>
        <v/>
      </c>
      <c r="B738" s="34">
        <f>IF(ISBLANK(C738),"",SUBTOTAL(3,$C$8:C738))</f>
        <v>44</v>
      </c>
      <c r="C738" s="81" t="s">
        <v>1552</v>
      </c>
      <c r="D738" s="50" t="s">
        <v>723</v>
      </c>
      <c r="E738" s="50" t="s">
        <v>1525</v>
      </c>
      <c r="F738" s="35" t="str">
        <f t="shared" si="48"/>
        <v/>
      </c>
      <c r="G738" s="36" t="str">
        <f t="shared" si="49"/>
        <v>B</v>
      </c>
      <c r="H738" s="51">
        <f t="shared" si="51"/>
        <v>2</v>
      </c>
      <c r="I738" s="51" t="str">
        <f t="shared" si="51"/>
        <v/>
      </c>
      <c r="J738" s="51" t="str">
        <f t="shared" si="51"/>
        <v/>
      </c>
      <c r="K738" s="37"/>
      <c r="L738" s="37"/>
      <c r="M738" s="37"/>
      <c r="N738" s="37" t="s">
        <v>47</v>
      </c>
      <c r="O738" s="37"/>
      <c r="P738" s="37"/>
      <c r="Q738" s="37" t="s">
        <v>47</v>
      </c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  <c r="AJ738" s="37"/>
      <c r="AK738" s="37"/>
      <c r="AM738" s="38"/>
      <c r="AN738" s="38"/>
      <c r="AO738" s="38"/>
      <c r="AP738" s="38"/>
      <c r="AQ738" s="38"/>
      <c r="AR738" s="38"/>
      <c r="AS738" s="38"/>
      <c r="AT738" s="38"/>
      <c r="AU738" s="38"/>
      <c r="AV738" s="38" t="s">
        <v>47</v>
      </c>
      <c r="AW738" s="38"/>
      <c r="AX738" s="38" t="s">
        <v>47</v>
      </c>
      <c r="AY738" s="38"/>
      <c r="AZ738" s="38"/>
      <c r="BA738" s="38"/>
      <c r="BB738" s="38"/>
      <c r="BC738" s="38"/>
      <c r="BD738" s="38"/>
      <c r="BE738" s="77">
        <f t="shared" si="50"/>
        <v>2</v>
      </c>
      <c r="BF738" s="38"/>
    </row>
    <row r="739" spans="1:58" ht="22.5" hidden="1" customHeight="1">
      <c r="A739" s="33" t="str">
        <f>IF(OR(ISBLANK(E739),ISBLANK(C739)),"",IF(COUNTIF($E$8:E739,E739)&gt;1,"",(MAX($A$7:A738)+1)))</f>
        <v/>
      </c>
      <c r="B739" s="34">
        <f>IF(ISBLANK(C739),"",SUBTOTAL(3,$C$8:C739))</f>
        <v>44</v>
      </c>
      <c r="C739" s="83" t="s">
        <v>1553</v>
      </c>
      <c r="D739" s="50" t="s">
        <v>1554</v>
      </c>
      <c r="E739" s="50" t="s">
        <v>1525</v>
      </c>
      <c r="F739" s="35" t="str">
        <f t="shared" si="48"/>
        <v/>
      </c>
      <c r="G739" s="36" t="str">
        <f t="shared" si="49"/>
        <v>B</v>
      </c>
      <c r="H739" s="51">
        <f t="shared" si="51"/>
        <v>1</v>
      </c>
      <c r="I739" s="51">
        <f t="shared" si="51"/>
        <v>2</v>
      </c>
      <c r="J739" s="51" t="str">
        <f t="shared" si="51"/>
        <v/>
      </c>
      <c r="K739" s="37"/>
      <c r="L739" s="37" t="s">
        <v>47</v>
      </c>
      <c r="M739" s="37"/>
      <c r="N739" s="37"/>
      <c r="O739" s="37" t="s">
        <v>47</v>
      </c>
      <c r="P739" s="37"/>
      <c r="Q739" s="37"/>
      <c r="R739" s="37"/>
      <c r="S739" s="37"/>
      <c r="T739" s="37" t="s">
        <v>47</v>
      </c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  <c r="AJ739" s="37"/>
      <c r="AK739" s="37"/>
      <c r="AM739" s="38"/>
      <c r="AN739" s="38"/>
      <c r="AO739" s="38"/>
      <c r="AP739" s="38"/>
      <c r="AQ739" s="38"/>
      <c r="AR739" s="38"/>
      <c r="AS739" s="38"/>
      <c r="AT739" s="38"/>
      <c r="AU739" s="38"/>
      <c r="AV739" s="38"/>
      <c r="AW739" s="38"/>
      <c r="AX739" s="38"/>
      <c r="AY739" s="38"/>
      <c r="AZ739" s="38"/>
      <c r="BA739" s="38"/>
      <c r="BB739" s="38" t="s">
        <v>47</v>
      </c>
      <c r="BC739" s="38"/>
      <c r="BD739" s="38"/>
      <c r="BE739" s="77">
        <f t="shared" si="50"/>
        <v>1</v>
      </c>
      <c r="BF739" s="38"/>
    </row>
    <row r="740" spans="1:58" ht="22.5" hidden="1" customHeight="1">
      <c r="A740" s="33" t="str">
        <f>IF(OR(ISBLANK(E740),ISBLANK(C740)),"",IF(COUNTIF($E$8:E740,E740)&gt;1,"",(MAX($A$7:A739)+1)))</f>
        <v/>
      </c>
      <c r="B740" s="34">
        <f>IF(ISBLANK(C740),"",SUBTOTAL(3,$C$8:C740))</f>
        <v>44</v>
      </c>
      <c r="C740" s="81" t="s">
        <v>1555</v>
      </c>
      <c r="D740" s="52" t="s">
        <v>1556</v>
      </c>
      <c r="E740" s="50" t="s">
        <v>1525</v>
      </c>
      <c r="F740" s="35" t="str">
        <f t="shared" si="48"/>
        <v/>
      </c>
      <c r="G740" s="36" t="str">
        <f t="shared" si="49"/>
        <v>A</v>
      </c>
      <c r="H740" s="51">
        <f t="shared" si="51"/>
        <v>3</v>
      </c>
      <c r="I740" s="51">
        <f t="shared" si="51"/>
        <v>1</v>
      </c>
      <c r="J740" s="51" t="str">
        <f t="shared" si="51"/>
        <v/>
      </c>
      <c r="K740" s="37" t="s">
        <v>47</v>
      </c>
      <c r="L740" s="37"/>
      <c r="M740" s="37"/>
      <c r="N740" s="37"/>
      <c r="O740" s="37" t="s">
        <v>47</v>
      </c>
      <c r="P740" s="37"/>
      <c r="Q740" s="37" t="s">
        <v>47</v>
      </c>
      <c r="R740" s="37"/>
      <c r="S740" s="37"/>
      <c r="T740" s="37" t="s">
        <v>47</v>
      </c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  <c r="AJ740" s="37"/>
      <c r="AK740" s="37"/>
      <c r="AM740" s="38"/>
      <c r="AN740" s="38"/>
      <c r="AO740" s="38"/>
      <c r="AP740" s="38"/>
      <c r="AQ740" s="38"/>
      <c r="AR740" s="38"/>
      <c r="AS740" s="38"/>
      <c r="AT740" s="38"/>
      <c r="AU740" s="38"/>
      <c r="AV740" s="38"/>
      <c r="AW740" s="38"/>
      <c r="AX740" s="38" t="s">
        <v>47</v>
      </c>
      <c r="AY740" s="38"/>
      <c r="AZ740" s="38"/>
      <c r="BA740" s="38"/>
      <c r="BB740" s="38" t="s">
        <v>47</v>
      </c>
      <c r="BC740" s="38"/>
      <c r="BD740" s="38"/>
      <c r="BE740" s="77">
        <f t="shared" si="50"/>
        <v>2</v>
      </c>
      <c r="BF740" s="38"/>
    </row>
    <row r="741" spans="1:58" ht="22.5" hidden="1" customHeight="1">
      <c r="A741" s="33" t="str">
        <f>IF(OR(ISBLANK(E741),ISBLANK(C741)),"",IF(COUNTIF($E$8:E741,E741)&gt;1,"",(MAX($A$7:A740)+1)))</f>
        <v/>
      </c>
      <c r="B741" s="34">
        <f>IF(ISBLANK(C741),"",SUBTOTAL(3,$C$8:C741))</f>
        <v>44</v>
      </c>
      <c r="C741" s="81" t="s">
        <v>1557</v>
      </c>
      <c r="D741" s="50" t="s">
        <v>1558</v>
      </c>
      <c r="E741" s="50" t="s">
        <v>1525</v>
      </c>
      <c r="F741" s="35" t="str">
        <f t="shared" si="48"/>
        <v/>
      </c>
      <c r="G741" s="36" t="str">
        <f t="shared" si="49"/>
        <v>B</v>
      </c>
      <c r="H741" s="51">
        <f t="shared" si="51"/>
        <v>1</v>
      </c>
      <c r="I741" s="51">
        <f t="shared" si="51"/>
        <v>2</v>
      </c>
      <c r="J741" s="51" t="str">
        <f t="shared" si="51"/>
        <v/>
      </c>
      <c r="K741" s="37" t="s">
        <v>47</v>
      </c>
      <c r="L741" s="37"/>
      <c r="M741" s="37"/>
      <c r="N741" s="37"/>
      <c r="O741" s="37" t="s">
        <v>47</v>
      </c>
      <c r="P741" s="37"/>
      <c r="Q741" s="37"/>
      <c r="R741" s="37" t="s">
        <v>47</v>
      </c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  <c r="AJ741" s="37"/>
      <c r="AK741" s="37"/>
      <c r="AM741" s="38"/>
      <c r="AN741" s="38"/>
      <c r="AO741" s="38"/>
      <c r="AP741" s="38"/>
      <c r="AQ741" s="38"/>
      <c r="AR741" s="38"/>
      <c r="AS741" s="38" t="s">
        <v>47</v>
      </c>
      <c r="AT741" s="38"/>
      <c r="AU741" s="38"/>
      <c r="AV741" s="38"/>
      <c r="AW741" s="38"/>
      <c r="AX741" s="38"/>
      <c r="AY741" s="38"/>
      <c r="AZ741" s="38"/>
      <c r="BA741" s="38"/>
      <c r="BB741" s="38"/>
      <c r="BC741" s="38"/>
      <c r="BD741" s="38"/>
      <c r="BE741" s="77">
        <f t="shared" si="50"/>
        <v>1</v>
      </c>
      <c r="BF741" s="38"/>
    </row>
    <row r="742" spans="1:58" ht="22.5" hidden="1" customHeight="1">
      <c r="A742" s="33" t="str">
        <f>IF(OR(ISBLANK(E742),ISBLANK(C742)),"",IF(COUNTIF($E$8:E742,E742)&gt;1,"",(MAX($A$7:A741)+1)))</f>
        <v/>
      </c>
      <c r="B742" s="34">
        <f>IF(ISBLANK(C742),"",SUBTOTAL(3,$C$8:C742))</f>
        <v>44</v>
      </c>
      <c r="C742" s="85" t="s">
        <v>1559</v>
      </c>
      <c r="D742" s="50" t="s">
        <v>1560</v>
      </c>
      <c r="E742" s="50" t="s">
        <v>1525</v>
      </c>
      <c r="F742" s="35" t="str">
        <f t="shared" si="48"/>
        <v/>
      </c>
      <c r="G742" s="36" t="str">
        <f t="shared" si="49"/>
        <v>C</v>
      </c>
      <c r="H742" s="51" t="str">
        <f t="shared" si="51"/>
        <v/>
      </c>
      <c r="I742" s="51">
        <f t="shared" si="51"/>
        <v>2</v>
      </c>
      <c r="J742" s="51" t="str">
        <f t="shared" si="51"/>
        <v/>
      </c>
      <c r="K742" s="37"/>
      <c r="L742" s="37" t="s">
        <v>47</v>
      </c>
      <c r="M742" s="37"/>
      <c r="N742" s="37"/>
      <c r="O742" s="37" t="s">
        <v>47</v>
      </c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7"/>
      <c r="AK742" s="37"/>
      <c r="AM742" s="38"/>
      <c r="AN742" s="38" t="s">
        <v>47</v>
      </c>
      <c r="AO742" s="38"/>
      <c r="AP742" s="38"/>
      <c r="AQ742" s="38"/>
      <c r="AR742" s="38"/>
      <c r="AS742" s="38" t="s">
        <v>47</v>
      </c>
      <c r="AT742" s="38"/>
      <c r="AU742" s="38"/>
      <c r="AV742" s="38"/>
      <c r="AW742" s="38"/>
      <c r="AX742" s="38"/>
      <c r="AY742" s="38" t="s">
        <v>47</v>
      </c>
      <c r="AZ742" s="38"/>
      <c r="BA742" s="38"/>
      <c r="BB742" s="38"/>
      <c r="BC742" s="38"/>
      <c r="BD742" s="38"/>
      <c r="BE742" s="77">
        <f t="shared" si="50"/>
        <v>3</v>
      </c>
      <c r="BF742" s="38"/>
    </row>
    <row r="743" spans="1:58" ht="22.5" hidden="1" customHeight="1">
      <c r="A743" s="33" t="str">
        <f>IF(OR(ISBLANK(E743),ISBLANK(C743)),"",IF(COUNTIF($E$8:E743,E743)&gt;1,"",(MAX($A$7:A742)+1)))</f>
        <v/>
      </c>
      <c r="B743" s="34">
        <f>IF(ISBLANK(C743),"",SUBTOTAL(3,$C$8:C743))</f>
        <v>44</v>
      </c>
      <c r="C743" s="85" t="s">
        <v>1561</v>
      </c>
      <c r="D743" s="50" t="s">
        <v>1562</v>
      </c>
      <c r="E743" s="50" t="s">
        <v>1525</v>
      </c>
      <c r="F743" s="35" t="str">
        <f t="shared" si="48"/>
        <v/>
      </c>
      <c r="G743" s="36" t="str">
        <f t="shared" si="49"/>
        <v>B</v>
      </c>
      <c r="H743" s="51">
        <f t="shared" si="51"/>
        <v>1</v>
      </c>
      <c r="I743" s="51">
        <f t="shared" si="51"/>
        <v>2</v>
      </c>
      <c r="J743" s="51" t="str">
        <f t="shared" si="51"/>
        <v/>
      </c>
      <c r="K743" s="37" t="s">
        <v>47</v>
      </c>
      <c r="L743" s="37"/>
      <c r="M743" s="37"/>
      <c r="N743" s="37"/>
      <c r="O743" s="37" t="s">
        <v>47</v>
      </c>
      <c r="P743" s="37"/>
      <c r="Q743" s="37"/>
      <c r="R743" s="37" t="s">
        <v>47</v>
      </c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7"/>
      <c r="AK743" s="37"/>
      <c r="AM743" s="38"/>
      <c r="AN743" s="38"/>
      <c r="AO743" s="38"/>
      <c r="AP743" s="38"/>
      <c r="AQ743" s="38"/>
      <c r="AR743" s="38"/>
      <c r="AS743" s="38"/>
      <c r="AT743" s="38"/>
      <c r="AU743" s="38"/>
      <c r="AV743" s="38"/>
      <c r="AW743" s="38"/>
      <c r="AX743" s="38"/>
      <c r="AY743" s="38"/>
      <c r="AZ743" s="38"/>
      <c r="BA743" s="38"/>
      <c r="BB743" s="38"/>
      <c r="BC743" s="38"/>
      <c r="BD743" s="38"/>
      <c r="BE743" s="77">
        <f t="shared" si="50"/>
        <v>0</v>
      </c>
      <c r="BF743" s="38"/>
    </row>
    <row r="744" spans="1:58" ht="22.5" hidden="1" customHeight="1">
      <c r="A744" s="33" t="str">
        <f>IF(OR(ISBLANK(E744),ISBLANK(C744)),"",IF(COUNTIF($E$8:E744,E744)&gt;1,"",(MAX($A$7:A743)+1)))</f>
        <v/>
      </c>
      <c r="B744" s="34">
        <f>IF(ISBLANK(C744),"",SUBTOTAL(3,$C$8:C744))</f>
        <v>44</v>
      </c>
      <c r="C744" s="85" t="s">
        <v>1563</v>
      </c>
      <c r="D744" s="50" t="s">
        <v>1564</v>
      </c>
      <c r="E744" s="50" t="s">
        <v>1525</v>
      </c>
      <c r="F744" s="35" t="str">
        <f t="shared" si="48"/>
        <v/>
      </c>
      <c r="G744" s="36" t="str">
        <f t="shared" si="49"/>
        <v>D</v>
      </c>
      <c r="H744" s="51" t="str">
        <f t="shared" si="51"/>
        <v/>
      </c>
      <c r="I744" s="51">
        <f t="shared" si="51"/>
        <v>1</v>
      </c>
      <c r="J744" s="51" t="str">
        <f t="shared" si="51"/>
        <v/>
      </c>
      <c r="K744" s="37"/>
      <c r="L744" s="37"/>
      <c r="M744" s="37"/>
      <c r="N744" s="37"/>
      <c r="O744" s="37"/>
      <c r="P744" s="37"/>
      <c r="Q744" s="37"/>
      <c r="R744" s="37" t="s">
        <v>47</v>
      </c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  <c r="AK744" s="37"/>
      <c r="AM744" s="38"/>
      <c r="AN744" s="38"/>
      <c r="AO744" s="38"/>
      <c r="AP744" s="38"/>
      <c r="AQ744" s="38"/>
      <c r="AR744" s="38"/>
      <c r="AS744" s="38"/>
      <c r="AT744" s="38"/>
      <c r="AU744" s="38"/>
      <c r="AV744" s="38"/>
      <c r="AW744" s="38"/>
      <c r="AX744" s="38" t="s">
        <v>47</v>
      </c>
      <c r="AY744" s="38"/>
      <c r="AZ744" s="38"/>
      <c r="BA744" s="38"/>
      <c r="BB744" s="38"/>
      <c r="BC744" s="38"/>
      <c r="BD744" s="38"/>
      <c r="BE744" s="77">
        <f t="shared" si="50"/>
        <v>1</v>
      </c>
      <c r="BF744" s="38"/>
    </row>
    <row r="745" spans="1:58" ht="22.5" hidden="1" customHeight="1">
      <c r="A745" s="33" t="str">
        <f>IF(OR(ISBLANK(E745),ISBLANK(C745)),"",IF(COUNTIF($E$8:E745,E745)&gt;1,"",(MAX($A$7:A744)+1)))</f>
        <v/>
      </c>
      <c r="B745" s="34">
        <f>IF(ISBLANK(C745),"",SUBTOTAL(3,$C$8:C745))</f>
        <v>44</v>
      </c>
      <c r="C745" s="85" t="s">
        <v>1565</v>
      </c>
      <c r="D745" s="50" t="s">
        <v>1566</v>
      </c>
      <c r="E745" s="50" t="s">
        <v>1525</v>
      </c>
      <c r="F745" s="35" t="str">
        <f t="shared" si="48"/>
        <v/>
      </c>
      <c r="G745" s="36" t="str">
        <f t="shared" si="49"/>
        <v>C</v>
      </c>
      <c r="H745" s="51">
        <f t="shared" si="51"/>
        <v>1</v>
      </c>
      <c r="I745" s="51">
        <f t="shared" si="51"/>
        <v>1</v>
      </c>
      <c r="J745" s="51" t="str">
        <f t="shared" si="51"/>
        <v/>
      </c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 t="s">
        <v>47</v>
      </c>
      <c r="AB745" s="37"/>
      <c r="AC745" s="37"/>
      <c r="AD745" s="37"/>
      <c r="AE745" s="37"/>
      <c r="AF745" s="37" t="s">
        <v>47</v>
      </c>
      <c r="AG745" s="37"/>
      <c r="AH745" s="37"/>
      <c r="AI745" s="37"/>
      <c r="AJ745" s="37"/>
      <c r="AK745" s="37"/>
      <c r="AM745" s="38"/>
      <c r="AN745" s="38"/>
      <c r="AO745" s="38" t="s">
        <v>47</v>
      </c>
      <c r="AP745" s="38" t="s">
        <v>47</v>
      </c>
      <c r="AQ745" s="38"/>
      <c r="AR745" s="38"/>
      <c r="AS745" s="38"/>
      <c r="AT745" s="38"/>
      <c r="AU745" s="38"/>
      <c r="AV745" s="38"/>
      <c r="AW745" s="38"/>
      <c r="AX745" s="38"/>
      <c r="AY745" s="38"/>
      <c r="AZ745" s="38"/>
      <c r="BA745" s="38"/>
      <c r="BB745" s="38"/>
      <c r="BC745" s="38"/>
      <c r="BD745" s="38"/>
      <c r="BE745" s="77">
        <f t="shared" si="50"/>
        <v>2</v>
      </c>
      <c r="BF745" s="38"/>
    </row>
    <row r="746" spans="1:58" ht="22.5" hidden="1" customHeight="1">
      <c r="A746" s="33" t="str">
        <f>IF(OR(ISBLANK(E746),ISBLANK(C746)),"",IF(COUNTIF($E$8:E746,E746)&gt;1,"",(MAX($A$7:A745)+1)))</f>
        <v/>
      </c>
      <c r="B746" s="34">
        <f>IF(ISBLANK(C746),"",SUBTOTAL(3,$C$8:C746))</f>
        <v>44</v>
      </c>
      <c r="C746" s="78" t="s">
        <v>1567</v>
      </c>
      <c r="D746" s="50" t="s">
        <v>1568</v>
      </c>
      <c r="E746" s="50" t="s">
        <v>1525</v>
      </c>
      <c r="F746" s="35" t="str">
        <f t="shared" si="48"/>
        <v/>
      </c>
      <c r="G746" s="36" t="str">
        <f t="shared" si="49"/>
        <v>C</v>
      </c>
      <c r="H746" s="51">
        <f t="shared" si="51"/>
        <v>1</v>
      </c>
      <c r="I746" s="51">
        <f t="shared" si="51"/>
        <v>1</v>
      </c>
      <c r="J746" s="51" t="str">
        <f t="shared" si="51"/>
        <v/>
      </c>
      <c r="K746" s="37" t="s">
        <v>47</v>
      </c>
      <c r="L746" s="37"/>
      <c r="M746" s="37"/>
      <c r="N746" s="37"/>
      <c r="O746" s="37" t="s">
        <v>47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M746" s="38"/>
      <c r="AN746" s="38"/>
      <c r="AO746" s="38"/>
      <c r="AP746" s="38"/>
      <c r="AQ746" s="38"/>
      <c r="AR746" s="38"/>
      <c r="AS746" s="38"/>
      <c r="AT746" s="38"/>
      <c r="AU746" s="38"/>
      <c r="AV746" s="38"/>
      <c r="AW746" s="38"/>
      <c r="AX746" s="38"/>
      <c r="AY746" s="38"/>
      <c r="AZ746" s="38" t="s">
        <v>47</v>
      </c>
      <c r="BA746" s="38"/>
      <c r="BB746" s="38"/>
      <c r="BC746" s="38"/>
      <c r="BD746" s="38"/>
      <c r="BE746" s="77">
        <f t="shared" si="50"/>
        <v>1</v>
      </c>
      <c r="BF746" s="38"/>
    </row>
    <row r="747" spans="1:58" ht="22.5" hidden="1" customHeight="1">
      <c r="A747" s="33" t="str">
        <f>IF(OR(ISBLANK(E747),ISBLANK(C747)),"",IF(COUNTIF($E$8:E747,E747)&gt;1,"",(MAX($A$7:A746)+1)))</f>
        <v/>
      </c>
      <c r="B747" s="34">
        <f>IF(ISBLANK(C747),"",SUBTOTAL(3,$C$8:C747))</f>
        <v>44</v>
      </c>
      <c r="C747" s="85" t="s">
        <v>1569</v>
      </c>
      <c r="D747" s="50" t="s">
        <v>1570</v>
      </c>
      <c r="E747" s="50" t="s">
        <v>1525</v>
      </c>
      <c r="F747" s="35" t="str">
        <f t="shared" si="48"/>
        <v/>
      </c>
      <c r="G747" s="36" t="str">
        <f t="shared" si="49"/>
        <v>C</v>
      </c>
      <c r="H747" s="51">
        <f t="shared" si="51"/>
        <v>1</v>
      </c>
      <c r="I747" s="51" t="str">
        <f t="shared" si="51"/>
        <v/>
      </c>
      <c r="J747" s="51" t="str">
        <f t="shared" si="51"/>
        <v/>
      </c>
      <c r="K747" s="37" t="s">
        <v>47</v>
      </c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  <c r="AJ747" s="37"/>
      <c r="AK747" s="37"/>
      <c r="AM747" s="38"/>
      <c r="AN747" s="38"/>
      <c r="AO747" s="38"/>
      <c r="AP747" s="38"/>
      <c r="AQ747" s="38"/>
      <c r="AR747" s="38"/>
      <c r="AS747" s="38"/>
      <c r="AT747" s="38"/>
      <c r="AU747" s="38" t="s">
        <v>47</v>
      </c>
      <c r="AV747" s="38"/>
      <c r="AW747" s="38"/>
      <c r="AX747" s="38"/>
      <c r="AY747" s="38"/>
      <c r="AZ747" s="38"/>
      <c r="BA747" s="38"/>
      <c r="BB747" s="38"/>
      <c r="BC747" s="38" t="s">
        <v>47</v>
      </c>
      <c r="BD747" s="38"/>
      <c r="BE747" s="77">
        <f t="shared" si="50"/>
        <v>2</v>
      </c>
      <c r="BF747" s="38"/>
    </row>
    <row r="748" spans="1:58" ht="22.5" hidden="1" customHeight="1">
      <c r="A748" s="33" t="str">
        <f>IF(OR(ISBLANK(E748),ISBLANK(C748)),"",IF(COUNTIF($E$8:E748,E748)&gt;1,"",(MAX($A$7:A747)+1)))</f>
        <v/>
      </c>
      <c r="B748" s="34">
        <f>IF(ISBLANK(C748),"",SUBTOTAL(3,$C$8:C748))</f>
        <v>44</v>
      </c>
      <c r="C748" s="85" t="s">
        <v>1571</v>
      </c>
      <c r="D748" s="50" t="s">
        <v>1572</v>
      </c>
      <c r="E748" s="50" t="s">
        <v>1525</v>
      </c>
      <c r="F748" s="35" t="str">
        <f t="shared" si="48"/>
        <v/>
      </c>
      <c r="G748" s="36" t="str">
        <f t="shared" si="49"/>
        <v>D</v>
      </c>
      <c r="H748" s="51" t="str">
        <f t="shared" si="51"/>
        <v/>
      </c>
      <c r="I748" s="51">
        <f t="shared" si="51"/>
        <v>1</v>
      </c>
      <c r="J748" s="51" t="str">
        <f t="shared" si="51"/>
        <v/>
      </c>
      <c r="K748" s="37"/>
      <c r="L748" s="37" t="s">
        <v>47</v>
      </c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M748" s="38"/>
      <c r="AN748" s="38"/>
      <c r="AO748" s="38"/>
      <c r="AP748" s="38"/>
      <c r="AQ748" s="38"/>
      <c r="AR748" s="38"/>
      <c r="AS748" s="38" t="s">
        <v>47</v>
      </c>
      <c r="AT748" s="38"/>
      <c r="AU748" s="38"/>
      <c r="AV748" s="38"/>
      <c r="AW748" s="38"/>
      <c r="AX748" s="38"/>
      <c r="AY748" s="38"/>
      <c r="AZ748" s="38"/>
      <c r="BA748" s="38"/>
      <c r="BB748" s="38"/>
      <c r="BC748" s="38"/>
      <c r="BD748" s="38"/>
      <c r="BE748" s="77">
        <f t="shared" si="50"/>
        <v>1</v>
      </c>
      <c r="BF748" s="38"/>
    </row>
    <row r="749" spans="1:58" ht="22.5" hidden="1" customHeight="1">
      <c r="A749" s="33" t="str">
        <f>IF(OR(ISBLANK(E749),ISBLANK(C749)),"",IF(COUNTIF($E$8:E749,E749)&gt;1,"",(MAX($A$7:A748)+1)))</f>
        <v/>
      </c>
      <c r="B749" s="34">
        <f>IF(ISBLANK(C749),"",SUBTOTAL(3,$C$8:C749))</f>
        <v>44</v>
      </c>
      <c r="C749" s="85" t="s">
        <v>1573</v>
      </c>
      <c r="D749" s="50" t="s">
        <v>1574</v>
      </c>
      <c r="E749" s="50" t="s">
        <v>1525</v>
      </c>
      <c r="F749" s="35" t="str">
        <f t="shared" si="48"/>
        <v/>
      </c>
      <c r="G749" s="36" t="str">
        <f t="shared" si="49"/>
        <v>C</v>
      </c>
      <c r="H749" s="51">
        <f t="shared" si="51"/>
        <v>1</v>
      </c>
      <c r="I749" s="51">
        <f t="shared" si="51"/>
        <v>1</v>
      </c>
      <c r="J749" s="51" t="str">
        <f t="shared" si="51"/>
        <v/>
      </c>
      <c r="K749" s="37" t="s">
        <v>47</v>
      </c>
      <c r="L749" s="37"/>
      <c r="M749" s="37"/>
      <c r="N749" s="37"/>
      <c r="O749" s="37" t="s">
        <v>47</v>
      </c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M749" s="38"/>
      <c r="AN749" s="38"/>
      <c r="AO749" s="38"/>
      <c r="AP749" s="38"/>
      <c r="AQ749" s="38"/>
      <c r="AR749" s="38" t="s">
        <v>47</v>
      </c>
      <c r="AS749" s="38"/>
      <c r="AT749" s="38"/>
      <c r="AU749" s="38"/>
      <c r="AV749" s="38"/>
      <c r="AW749" s="38"/>
      <c r="AX749" s="38"/>
      <c r="AY749" s="38" t="s">
        <v>47</v>
      </c>
      <c r="AZ749" s="38"/>
      <c r="BA749" s="38"/>
      <c r="BB749" s="38"/>
      <c r="BC749" s="38"/>
      <c r="BD749" s="38"/>
      <c r="BE749" s="77">
        <f t="shared" si="50"/>
        <v>2</v>
      </c>
      <c r="BF749" s="38"/>
    </row>
    <row r="750" spans="1:58" ht="22.5" hidden="1" customHeight="1">
      <c r="A750" s="33" t="str">
        <f>IF(OR(ISBLANK(E750),ISBLANK(C750)),"",IF(COUNTIF($E$8:E750,E750)&gt;1,"",(MAX($A$7:A749)+1)))</f>
        <v/>
      </c>
      <c r="B750" s="34">
        <f>IF(ISBLANK(C750),"",SUBTOTAL(3,$C$8:C750))</f>
        <v>44</v>
      </c>
      <c r="C750" s="85" t="s">
        <v>1575</v>
      </c>
      <c r="D750" s="50" t="s">
        <v>1576</v>
      </c>
      <c r="E750" s="50" t="s">
        <v>1525</v>
      </c>
      <c r="F750" s="35" t="str">
        <f t="shared" si="48"/>
        <v/>
      </c>
      <c r="G750" s="36" t="str">
        <f t="shared" si="49"/>
        <v>C</v>
      </c>
      <c r="H750" s="51">
        <f t="shared" si="51"/>
        <v>1</v>
      </c>
      <c r="I750" s="51" t="str">
        <f t="shared" si="51"/>
        <v/>
      </c>
      <c r="J750" s="51" t="str">
        <f t="shared" si="51"/>
        <v/>
      </c>
      <c r="K750" s="37" t="s">
        <v>47</v>
      </c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  <c r="AJ750" s="37"/>
      <c r="AK750" s="37"/>
      <c r="AM750" s="38"/>
      <c r="AN750" s="38"/>
      <c r="AO750" s="38"/>
      <c r="AP750" s="38"/>
      <c r="AQ750" s="38"/>
      <c r="AR750" s="38"/>
      <c r="AS750" s="38"/>
      <c r="AT750" s="38" t="s">
        <v>47</v>
      </c>
      <c r="AU750" s="38"/>
      <c r="AV750" s="38"/>
      <c r="AW750" s="38"/>
      <c r="AX750" s="38"/>
      <c r="AY750" s="38"/>
      <c r="AZ750" s="38"/>
      <c r="BA750" s="38"/>
      <c r="BB750" s="38"/>
      <c r="BC750" s="38"/>
      <c r="BD750" s="38"/>
      <c r="BE750" s="77">
        <f t="shared" si="50"/>
        <v>1</v>
      </c>
      <c r="BF750" s="38"/>
    </row>
    <row r="751" spans="1:58" ht="22.5" hidden="1" customHeight="1">
      <c r="A751" s="33" t="str">
        <f>IF(OR(ISBLANK(E751),ISBLANK(C751)),"",IF(COUNTIF($E$8:E751,E751)&gt;1,"",(MAX($A$7:A750)+1)))</f>
        <v/>
      </c>
      <c r="B751" s="34">
        <f>IF(ISBLANK(C751),"",SUBTOTAL(3,$C$8:C751))</f>
        <v>44</v>
      </c>
      <c r="C751" s="81" t="s">
        <v>1577</v>
      </c>
      <c r="D751" s="50" t="s">
        <v>1578</v>
      </c>
      <c r="E751" s="50" t="s">
        <v>1525</v>
      </c>
      <c r="F751" s="35" t="str">
        <f t="shared" si="48"/>
        <v/>
      </c>
      <c r="G751" s="36" t="str">
        <f t="shared" si="49"/>
        <v>C</v>
      </c>
      <c r="H751" s="51">
        <f t="shared" si="51"/>
        <v>1</v>
      </c>
      <c r="I751" s="51" t="str">
        <f t="shared" si="51"/>
        <v/>
      </c>
      <c r="J751" s="51" t="str">
        <f t="shared" si="51"/>
        <v/>
      </c>
      <c r="K751" s="37" t="s">
        <v>47</v>
      </c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7"/>
      <c r="AK751" s="37"/>
      <c r="AM751" s="38"/>
      <c r="AN751" s="38"/>
      <c r="AO751" s="38"/>
      <c r="AP751" s="38"/>
      <c r="AQ751" s="38"/>
      <c r="AR751" s="38"/>
      <c r="AS751" s="38"/>
      <c r="AT751" s="38"/>
      <c r="AU751" s="38" t="s">
        <v>47</v>
      </c>
      <c r="AV751" s="38"/>
      <c r="AW751" s="38"/>
      <c r="AX751" s="38"/>
      <c r="AY751" s="38"/>
      <c r="AZ751" s="38"/>
      <c r="BA751" s="38"/>
      <c r="BB751" s="38"/>
      <c r="BC751" s="38"/>
      <c r="BD751" s="38"/>
      <c r="BE751" s="77">
        <f t="shared" si="50"/>
        <v>1</v>
      </c>
      <c r="BF751" s="38"/>
    </row>
    <row r="752" spans="1:58" ht="22.5" hidden="1" customHeight="1">
      <c r="A752" s="33" t="str">
        <f>IF(OR(ISBLANK(E752),ISBLANK(C752)),"",IF(COUNTIF($E$8:E752,E752)&gt;1,"",(MAX($A$7:A751)+1)))</f>
        <v/>
      </c>
      <c r="B752" s="34">
        <f>IF(ISBLANK(C752),"",SUBTOTAL(3,$C$8:C752))</f>
        <v>44</v>
      </c>
      <c r="C752" s="85" t="s">
        <v>1579</v>
      </c>
      <c r="D752" s="50" t="s">
        <v>1580</v>
      </c>
      <c r="E752" s="50" t="s">
        <v>1525</v>
      </c>
      <c r="F752" s="35" t="str">
        <f t="shared" si="48"/>
        <v/>
      </c>
      <c r="G752" s="36" t="str">
        <f t="shared" si="49"/>
        <v>C</v>
      </c>
      <c r="H752" s="51" t="str">
        <f t="shared" si="51"/>
        <v/>
      </c>
      <c r="I752" s="51">
        <f t="shared" si="51"/>
        <v>2</v>
      </c>
      <c r="J752" s="51" t="str">
        <f t="shared" si="51"/>
        <v/>
      </c>
      <c r="K752" s="37"/>
      <c r="L752" s="37" t="s">
        <v>47</v>
      </c>
      <c r="M752" s="37"/>
      <c r="N752" s="37"/>
      <c r="O752" s="37"/>
      <c r="P752" s="37"/>
      <c r="Q752" s="37"/>
      <c r="R752" s="37" t="s">
        <v>47</v>
      </c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M752" s="38"/>
      <c r="AN752" s="38"/>
      <c r="AO752" s="38"/>
      <c r="AP752" s="38"/>
      <c r="AQ752" s="38"/>
      <c r="AR752" s="38" t="s">
        <v>47</v>
      </c>
      <c r="AS752" s="38" t="s">
        <v>47</v>
      </c>
      <c r="AT752" s="38"/>
      <c r="AU752" s="38"/>
      <c r="AV752" s="38"/>
      <c r="AW752" s="38"/>
      <c r="AX752" s="38"/>
      <c r="AY752" s="38"/>
      <c r="AZ752" s="38"/>
      <c r="BA752" s="38"/>
      <c r="BB752" s="38"/>
      <c r="BC752" s="38"/>
      <c r="BD752" s="38"/>
      <c r="BE752" s="77">
        <f t="shared" si="50"/>
        <v>2</v>
      </c>
      <c r="BF752" s="38"/>
    </row>
    <row r="753" spans="1:58" ht="22.5" hidden="1" customHeight="1">
      <c r="A753" s="33" t="str">
        <f>IF(OR(ISBLANK(E753),ISBLANK(C753)),"",IF(COUNTIF($E$8:E753,E753)&gt;1,"",(MAX($A$7:A752)+1)))</f>
        <v/>
      </c>
      <c r="B753" s="34">
        <f>IF(ISBLANK(C753),"",SUBTOTAL(3,$C$8:C753))</f>
        <v>44</v>
      </c>
      <c r="C753" s="85" t="s">
        <v>1581</v>
      </c>
      <c r="D753" s="50" t="s">
        <v>1582</v>
      </c>
      <c r="E753" s="50" t="s">
        <v>1525</v>
      </c>
      <c r="F753" s="35" t="str">
        <f t="shared" si="48"/>
        <v/>
      </c>
      <c r="G753" s="36" t="str">
        <f t="shared" si="49"/>
        <v>B</v>
      </c>
      <c r="H753" s="51">
        <f t="shared" si="51"/>
        <v>1</v>
      </c>
      <c r="I753" s="51">
        <f t="shared" si="51"/>
        <v>2</v>
      </c>
      <c r="J753" s="51" t="str">
        <f t="shared" si="51"/>
        <v/>
      </c>
      <c r="K753" s="37"/>
      <c r="L753" s="37" t="s">
        <v>47</v>
      </c>
      <c r="M753" s="37"/>
      <c r="N753" s="37"/>
      <c r="O753" s="37" t="s">
        <v>47</v>
      </c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 t="s">
        <v>47</v>
      </c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  <c r="AK753" s="37"/>
      <c r="AM753" s="38"/>
      <c r="AN753" s="38" t="s">
        <v>47</v>
      </c>
      <c r="AO753" s="38" t="s">
        <v>47</v>
      </c>
      <c r="AP753" s="38"/>
      <c r="AQ753" s="38"/>
      <c r="AR753" s="38"/>
      <c r="AS753" s="38"/>
      <c r="AT753" s="38"/>
      <c r="AU753" s="38"/>
      <c r="AV753" s="38"/>
      <c r="AW753" s="38"/>
      <c r="AX753" s="38"/>
      <c r="AY753" s="38"/>
      <c r="AZ753" s="38"/>
      <c r="BA753" s="38"/>
      <c r="BB753" s="38"/>
      <c r="BC753" s="38"/>
      <c r="BD753" s="38"/>
      <c r="BE753" s="77">
        <f t="shared" si="50"/>
        <v>2</v>
      </c>
      <c r="BF753" s="38"/>
    </row>
    <row r="754" spans="1:58" ht="22.5" hidden="1" customHeight="1">
      <c r="A754" s="33">
        <f>IF(OR(ISBLANK(E754),ISBLANK(C754)),"",IF(COUNTIF($E$8:E754,E754)&gt;1,"",(MAX($A$7:A753)+1)))</f>
        <v>20</v>
      </c>
      <c r="B754" s="34">
        <f>IF(ISBLANK(C754),"",SUBTOTAL(3,$C$8:C754))</f>
        <v>44</v>
      </c>
      <c r="C754" s="85" t="s">
        <v>1583</v>
      </c>
      <c r="D754" s="50" t="s">
        <v>1584</v>
      </c>
      <c r="E754" s="50" t="s">
        <v>1585</v>
      </c>
      <c r="F754" s="35" t="str">
        <f t="shared" si="48"/>
        <v/>
      </c>
      <c r="G754" s="36" t="str">
        <f t="shared" si="49"/>
        <v/>
      </c>
      <c r="H754" s="51" t="str">
        <f t="shared" si="51"/>
        <v/>
      </c>
      <c r="I754" s="51" t="str">
        <f t="shared" si="51"/>
        <v/>
      </c>
      <c r="J754" s="51" t="str">
        <f t="shared" si="51"/>
        <v/>
      </c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7"/>
      <c r="AK754" s="37"/>
      <c r="AM754" s="38"/>
      <c r="AN754" s="38"/>
      <c r="AO754" s="38"/>
      <c r="AP754" s="38"/>
      <c r="AQ754" s="38"/>
      <c r="AR754" s="38"/>
      <c r="AS754" s="38"/>
      <c r="AT754" s="38"/>
      <c r="AU754" s="38"/>
      <c r="AV754" s="38"/>
      <c r="AW754" s="38"/>
      <c r="AX754" s="38"/>
      <c r="AY754" s="38"/>
      <c r="AZ754" s="38"/>
      <c r="BA754" s="38"/>
      <c r="BB754" s="38"/>
      <c r="BC754" s="38"/>
      <c r="BD754" s="38"/>
      <c r="BE754" s="77">
        <f t="shared" si="50"/>
        <v>0</v>
      </c>
      <c r="BF754" s="38"/>
    </row>
    <row r="755" spans="1:58" ht="22.5" hidden="1" customHeight="1">
      <c r="A755" s="33" t="str">
        <f>IF(OR(ISBLANK(E755),ISBLANK(C755)),"",IF(COUNTIF($E$8:E755,E755)&gt;1,"",(MAX($A$7:A754)+1)))</f>
        <v/>
      </c>
      <c r="B755" s="34">
        <f>IF(ISBLANK(C755),"",SUBTOTAL(3,$C$8:C755))</f>
        <v>44</v>
      </c>
      <c r="C755" s="85" t="s">
        <v>1586</v>
      </c>
      <c r="D755" s="50" t="s">
        <v>1587</v>
      </c>
      <c r="E755" s="50" t="s">
        <v>1585</v>
      </c>
      <c r="F755" s="35" t="str">
        <f t="shared" si="48"/>
        <v/>
      </c>
      <c r="G755" s="36" t="str">
        <f t="shared" si="49"/>
        <v/>
      </c>
      <c r="H755" s="51" t="str">
        <f t="shared" si="51"/>
        <v/>
      </c>
      <c r="I755" s="51" t="str">
        <f t="shared" si="51"/>
        <v/>
      </c>
      <c r="J755" s="51" t="str">
        <f t="shared" si="51"/>
        <v/>
      </c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  <c r="AJ755" s="37"/>
      <c r="AK755" s="37"/>
      <c r="AM755" s="38"/>
      <c r="AN755" s="38"/>
      <c r="AO755" s="38"/>
      <c r="AP755" s="38"/>
      <c r="AQ755" s="38"/>
      <c r="AR755" s="38"/>
      <c r="AS755" s="38"/>
      <c r="AT755" s="38"/>
      <c r="AU755" s="38"/>
      <c r="AV755" s="38"/>
      <c r="AW755" s="38"/>
      <c r="AX755" s="38"/>
      <c r="AY755" s="38"/>
      <c r="AZ755" s="38"/>
      <c r="BA755" s="38"/>
      <c r="BB755" s="38"/>
      <c r="BC755" s="38"/>
      <c r="BD755" s="38"/>
      <c r="BE755" s="77">
        <f t="shared" si="50"/>
        <v>0</v>
      </c>
      <c r="BF755" s="38"/>
    </row>
    <row r="756" spans="1:58" ht="22.5" hidden="1" customHeight="1">
      <c r="A756" s="33" t="str">
        <f>IF(OR(ISBLANK(E756),ISBLANK(C756)),"",IF(COUNTIF($E$8:E756,E756)&gt;1,"",(MAX($A$7:A755)+1)))</f>
        <v/>
      </c>
      <c r="B756" s="34">
        <f>IF(ISBLANK(C756),"",SUBTOTAL(3,$C$8:C756))</f>
        <v>44</v>
      </c>
      <c r="C756" s="85" t="s">
        <v>1588</v>
      </c>
      <c r="D756" s="50" t="s">
        <v>1589</v>
      </c>
      <c r="E756" s="50" t="s">
        <v>1585</v>
      </c>
      <c r="F756" s="35" t="str">
        <f t="shared" si="48"/>
        <v/>
      </c>
      <c r="G756" s="36" t="str">
        <f t="shared" si="49"/>
        <v>A</v>
      </c>
      <c r="H756" s="51">
        <f t="shared" si="51"/>
        <v>2</v>
      </c>
      <c r="I756" s="51">
        <f t="shared" si="51"/>
        <v>3</v>
      </c>
      <c r="J756" s="51">
        <f t="shared" si="51"/>
        <v>1</v>
      </c>
      <c r="K756" s="37"/>
      <c r="L756" s="37" t="s">
        <v>47</v>
      </c>
      <c r="M756" s="37"/>
      <c r="N756" s="37"/>
      <c r="O756" s="37" t="s">
        <v>47</v>
      </c>
      <c r="P756" s="37"/>
      <c r="Q756" s="37"/>
      <c r="R756" s="37" t="s">
        <v>47</v>
      </c>
      <c r="S756" s="37"/>
      <c r="T756" s="37" t="s">
        <v>47</v>
      </c>
      <c r="U756" s="37"/>
      <c r="V756" s="37"/>
      <c r="W756" s="37" t="s">
        <v>47</v>
      </c>
      <c r="X756" s="37"/>
      <c r="Y756" s="37"/>
      <c r="Z756" s="37"/>
      <c r="AA756" s="37"/>
      <c r="AB756" s="37" t="s">
        <v>47</v>
      </c>
      <c r="AC756" s="37"/>
      <c r="AD756" s="37"/>
      <c r="AE756" s="37"/>
      <c r="AF756" s="37"/>
      <c r="AG756" s="37"/>
      <c r="AH756" s="37"/>
      <c r="AI756" s="37"/>
      <c r="AJ756" s="37"/>
      <c r="AK756" s="37"/>
      <c r="AM756" s="38"/>
      <c r="AN756" s="38"/>
      <c r="AO756" s="38"/>
      <c r="AP756" s="38"/>
      <c r="AQ756" s="38"/>
      <c r="AR756" s="38"/>
      <c r="AS756" s="38"/>
      <c r="AT756" s="38"/>
      <c r="AU756" s="38"/>
      <c r="AV756" s="38"/>
      <c r="AW756" s="38"/>
      <c r="AX756" s="38"/>
      <c r="AY756" s="38"/>
      <c r="AZ756" s="38"/>
      <c r="BA756" s="38"/>
      <c r="BB756" s="38" t="s">
        <v>47</v>
      </c>
      <c r="BC756" s="38"/>
      <c r="BD756" s="38"/>
      <c r="BE756" s="77">
        <f t="shared" si="50"/>
        <v>1</v>
      </c>
      <c r="BF756" s="38"/>
    </row>
    <row r="757" spans="1:58" ht="22.5" hidden="1" customHeight="1">
      <c r="A757" s="33" t="str">
        <f>IF(OR(ISBLANK(E757),ISBLANK(C757)),"",IF(COUNTIF($E$8:E757,E757)&gt;1,"",(MAX($A$7:A756)+1)))</f>
        <v/>
      </c>
      <c r="B757" s="34">
        <f>IF(ISBLANK(C757),"",SUBTOTAL(3,$C$8:C757))</f>
        <v>44</v>
      </c>
      <c r="C757" s="85" t="s">
        <v>1590</v>
      </c>
      <c r="D757" s="50" t="s">
        <v>1591</v>
      </c>
      <c r="E757" s="50" t="s">
        <v>1585</v>
      </c>
      <c r="F757" s="35" t="str">
        <f t="shared" si="48"/>
        <v/>
      </c>
      <c r="G757" s="36" t="str">
        <f t="shared" si="49"/>
        <v>C</v>
      </c>
      <c r="H757" s="51" t="str">
        <f t="shared" si="51"/>
        <v/>
      </c>
      <c r="I757" s="51">
        <f t="shared" si="51"/>
        <v>3</v>
      </c>
      <c r="J757" s="51">
        <f t="shared" si="51"/>
        <v>3</v>
      </c>
      <c r="K757" s="37"/>
      <c r="L757" s="37" t="s">
        <v>47</v>
      </c>
      <c r="M757" s="37"/>
      <c r="N757" s="37"/>
      <c r="O757" s="37" t="s">
        <v>47</v>
      </c>
      <c r="P757" s="37"/>
      <c r="Q757" s="37"/>
      <c r="R757" s="37" t="s">
        <v>47</v>
      </c>
      <c r="S757" s="37"/>
      <c r="T757" s="37"/>
      <c r="U757" s="37"/>
      <c r="V757" s="37" t="s">
        <v>47</v>
      </c>
      <c r="W757" s="37"/>
      <c r="X757" s="37"/>
      <c r="Y757" s="37" t="s">
        <v>47</v>
      </c>
      <c r="Z757" s="37"/>
      <c r="AA757" s="37"/>
      <c r="AB757" s="37" t="s">
        <v>47</v>
      </c>
      <c r="AC757" s="37"/>
      <c r="AD757" s="37"/>
      <c r="AE757" s="37"/>
      <c r="AF757" s="37"/>
      <c r="AG757" s="37"/>
      <c r="AH757" s="37"/>
      <c r="AI757" s="37"/>
      <c r="AJ757" s="37"/>
      <c r="AK757" s="37"/>
      <c r="AM757" s="38"/>
      <c r="AN757" s="38"/>
      <c r="AO757" s="38"/>
      <c r="AP757" s="38"/>
      <c r="AQ757" s="38"/>
      <c r="AR757" s="38"/>
      <c r="AS757" s="38"/>
      <c r="AT757" s="38"/>
      <c r="AU757" s="38" t="s">
        <v>47</v>
      </c>
      <c r="AV757" s="38"/>
      <c r="AW757" s="38"/>
      <c r="AX757" s="38"/>
      <c r="AY757" s="38" t="s">
        <v>47</v>
      </c>
      <c r="AZ757" s="38"/>
      <c r="BA757" s="38"/>
      <c r="BB757" s="38"/>
      <c r="BC757" s="38"/>
      <c r="BD757" s="38"/>
      <c r="BE757" s="77">
        <f t="shared" si="50"/>
        <v>2</v>
      </c>
      <c r="BF757" s="38"/>
    </row>
    <row r="758" spans="1:58" ht="22.5" hidden="1" customHeight="1">
      <c r="A758" s="33" t="str">
        <f>IF(OR(ISBLANK(E758),ISBLANK(C758)),"",IF(COUNTIF($E$8:E758,E758)&gt;1,"",(MAX($A$7:A757)+1)))</f>
        <v/>
      </c>
      <c r="B758" s="34">
        <f>IF(ISBLANK(C758),"",SUBTOTAL(3,$C$8:C758))</f>
        <v>44</v>
      </c>
      <c r="C758" s="85" t="s">
        <v>1592</v>
      </c>
      <c r="D758" s="50" t="s">
        <v>1593</v>
      </c>
      <c r="E758" s="50" t="s">
        <v>1585</v>
      </c>
      <c r="F758" s="35" t="str">
        <f t="shared" si="48"/>
        <v/>
      </c>
      <c r="G758" s="36" t="str">
        <f t="shared" si="49"/>
        <v>B</v>
      </c>
      <c r="H758" s="51">
        <f t="shared" si="51"/>
        <v>1</v>
      </c>
      <c r="I758" s="51">
        <f t="shared" si="51"/>
        <v>3</v>
      </c>
      <c r="J758" s="51">
        <f t="shared" si="51"/>
        <v>2</v>
      </c>
      <c r="K758" s="37"/>
      <c r="L758" s="37" t="s">
        <v>47</v>
      </c>
      <c r="M758" s="37"/>
      <c r="N758" s="37"/>
      <c r="O758" s="37" t="s">
        <v>47</v>
      </c>
      <c r="P758" s="37"/>
      <c r="Q758" s="37" t="s">
        <v>47</v>
      </c>
      <c r="R758" s="37"/>
      <c r="S758" s="37"/>
      <c r="T758" s="37"/>
      <c r="U758" s="37" t="s">
        <v>47</v>
      </c>
      <c r="V758" s="37"/>
      <c r="W758" s="37"/>
      <c r="X758" s="37"/>
      <c r="Y758" s="37" t="s">
        <v>47</v>
      </c>
      <c r="Z758" s="37"/>
      <c r="AA758" s="37"/>
      <c r="AB758" s="37" t="s">
        <v>47</v>
      </c>
      <c r="AC758" s="37"/>
      <c r="AD758" s="37"/>
      <c r="AE758" s="37"/>
      <c r="AF758" s="37"/>
      <c r="AG758" s="37"/>
      <c r="AH758" s="37"/>
      <c r="AI758" s="37"/>
      <c r="AJ758" s="37"/>
      <c r="AK758" s="37"/>
      <c r="AM758" s="38"/>
      <c r="AN758" s="38"/>
      <c r="AO758" s="38"/>
      <c r="AP758" s="38"/>
      <c r="AQ758" s="38"/>
      <c r="AR758" s="38"/>
      <c r="AS758" s="38"/>
      <c r="AT758" s="38"/>
      <c r="AU758" s="38"/>
      <c r="AV758" s="38"/>
      <c r="AW758" s="38" t="s">
        <v>47</v>
      </c>
      <c r="AX758" s="38"/>
      <c r="AY758" s="38"/>
      <c r="AZ758" s="38"/>
      <c r="BA758" s="38"/>
      <c r="BB758" s="38"/>
      <c r="BC758" s="38"/>
      <c r="BD758" s="38"/>
      <c r="BE758" s="77">
        <f t="shared" si="50"/>
        <v>1</v>
      </c>
      <c r="BF758" s="38"/>
    </row>
    <row r="759" spans="1:58" ht="22.5" hidden="1" customHeight="1">
      <c r="A759" s="33" t="str">
        <f>IF(OR(ISBLANK(E759),ISBLANK(C759)),"",IF(COUNTIF($E$8:E759,E759)&gt;1,"",(MAX($A$7:A758)+1)))</f>
        <v/>
      </c>
      <c r="B759" s="34">
        <f>IF(ISBLANK(C759),"",SUBTOTAL(3,$C$8:C759))</f>
        <v>44</v>
      </c>
      <c r="C759" s="85" t="s">
        <v>1594</v>
      </c>
      <c r="D759" s="50" t="s">
        <v>1595</v>
      </c>
      <c r="E759" s="50" t="s">
        <v>1585</v>
      </c>
      <c r="F759" s="35" t="str">
        <f t="shared" si="48"/>
        <v/>
      </c>
      <c r="G759" s="36" t="str">
        <f t="shared" si="49"/>
        <v>C</v>
      </c>
      <c r="H759" s="51" t="str">
        <f t="shared" si="51"/>
        <v/>
      </c>
      <c r="I759" s="51">
        <f t="shared" si="51"/>
        <v>4</v>
      </c>
      <c r="J759" s="51">
        <f t="shared" si="51"/>
        <v>2</v>
      </c>
      <c r="K759" s="37"/>
      <c r="L759" s="37" t="s">
        <v>47</v>
      </c>
      <c r="M759" s="37"/>
      <c r="N759" s="37"/>
      <c r="O759" s="37" t="s">
        <v>47</v>
      </c>
      <c r="P759" s="37"/>
      <c r="Q759" s="37"/>
      <c r="R759" s="37" t="s">
        <v>47</v>
      </c>
      <c r="S759" s="37"/>
      <c r="T759" s="37"/>
      <c r="U759" s="37" t="s">
        <v>47</v>
      </c>
      <c r="V759" s="37"/>
      <c r="W759" s="37"/>
      <c r="X759" s="37"/>
      <c r="Y759" s="37" t="s">
        <v>47</v>
      </c>
      <c r="Z759" s="37"/>
      <c r="AA759" s="37"/>
      <c r="AB759" s="37" t="s">
        <v>47</v>
      </c>
      <c r="AC759" s="37"/>
      <c r="AD759" s="37"/>
      <c r="AE759" s="37"/>
      <c r="AF759" s="37"/>
      <c r="AG759" s="37"/>
      <c r="AH759" s="37"/>
      <c r="AI759" s="37"/>
      <c r="AJ759" s="37"/>
      <c r="AK759" s="37"/>
      <c r="AM759" s="38"/>
      <c r="AN759" s="38"/>
      <c r="AO759" s="38"/>
      <c r="AP759" s="38"/>
      <c r="AQ759" s="38"/>
      <c r="AR759" s="38" t="s">
        <v>47</v>
      </c>
      <c r="AS759" s="38"/>
      <c r="AT759" s="38"/>
      <c r="AU759" s="38"/>
      <c r="AV759" s="38"/>
      <c r="AW759" s="38"/>
      <c r="AX759" s="38"/>
      <c r="AY759" s="38"/>
      <c r="AZ759" s="38"/>
      <c r="BA759" s="38"/>
      <c r="BB759" s="38"/>
      <c r="BC759" s="38"/>
      <c r="BD759" s="38"/>
      <c r="BE759" s="77">
        <f t="shared" si="50"/>
        <v>1</v>
      </c>
      <c r="BF759" s="38"/>
    </row>
    <row r="760" spans="1:58" ht="22.5" hidden="1" customHeight="1">
      <c r="A760" s="33" t="str">
        <f>IF(OR(ISBLANK(E760),ISBLANK(C760)),"",IF(COUNTIF($E$8:E760,E760)&gt;1,"",(MAX($A$7:A759)+1)))</f>
        <v/>
      </c>
      <c r="B760" s="34">
        <f>IF(ISBLANK(C760),"",SUBTOTAL(3,$C$8:C760))</f>
        <v>44</v>
      </c>
      <c r="C760" s="85" t="s">
        <v>1596</v>
      </c>
      <c r="D760" s="50" t="s">
        <v>1597</v>
      </c>
      <c r="E760" s="50" t="s">
        <v>1585</v>
      </c>
      <c r="F760" s="35" t="str">
        <f t="shared" si="48"/>
        <v/>
      </c>
      <c r="G760" s="36" t="str">
        <f t="shared" si="49"/>
        <v>C</v>
      </c>
      <c r="H760" s="51" t="str">
        <f t="shared" si="51"/>
        <v/>
      </c>
      <c r="I760" s="51">
        <f t="shared" si="51"/>
        <v>2</v>
      </c>
      <c r="J760" s="51">
        <f t="shared" si="51"/>
        <v>4</v>
      </c>
      <c r="K760" s="37"/>
      <c r="L760" s="37" t="s">
        <v>47</v>
      </c>
      <c r="M760" s="37"/>
      <c r="N760" s="37"/>
      <c r="O760" s="37"/>
      <c r="P760" s="37" t="s">
        <v>47</v>
      </c>
      <c r="Q760" s="37"/>
      <c r="R760" s="37" t="s">
        <v>47</v>
      </c>
      <c r="S760" s="37"/>
      <c r="T760" s="37"/>
      <c r="U760" s="37"/>
      <c r="V760" s="37" t="s">
        <v>47</v>
      </c>
      <c r="W760" s="37"/>
      <c r="X760" s="37"/>
      <c r="Y760" s="37" t="s">
        <v>47</v>
      </c>
      <c r="Z760" s="37"/>
      <c r="AA760" s="37"/>
      <c r="AB760" s="37" t="s">
        <v>47</v>
      </c>
      <c r="AC760" s="37"/>
      <c r="AD760" s="37"/>
      <c r="AE760" s="37"/>
      <c r="AF760" s="37"/>
      <c r="AG760" s="37"/>
      <c r="AH760" s="37"/>
      <c r="AI760" s="37"/>
      <c r="AJ760" s="37"/>
      <c r="AK760" s="37"/>
      <c r="AM760" s="38"/>
      <c r="AN760" s="38"/>
      <c r="AO760" s="38"/>
      <c r="AP760" s="38"/>
      <c r="AQ760" s="38"/>
      <c r="AR760" s="38"/>
      <c r="AS760" s="38" t="s">
        <v>47</v>
      </c>
      <c r="AT760" s="38"/>
      <c r="AU760" s="38"/>
      <c r="AV760" s="38"/>
      <c r="AW760" s="38"/>
      <c r="AX760" s="38"/>
      <c r="AY760" s="38"/>
      <c r="AZ760" s="38"/>
      <c r="BA760" s="38"/>
      <c r="BB760" s="38"/>
      <c r="BC760" s="38"/>
      <c r="BD760" s="38"/>
      <c r="BE760" s="77">
        <f t="shared" si="50"/>
        <v>1</v>
      </c>
      <c r="BF760" s="38"/>
    </row>
    <row r="761" spans="1:58" ht="22.5" hidden="1" customHeight="1">
      <c r="A761" s="33" t="str">
        <f>IF(OR(ISBLANK(E761),ISBLANK(C761)),"",IF(COUNTIF($E$8:E761,E761)&gt;1,"",(MAX($A$7:A760)+1)))</f>
        <v/>
      </c>
      <c r="B761" s="34">
        <f>IF(ISBLANK(C761),"",SUBTOTAL(3,$C$8:C761))</f>
        <v>44</v>
      </c>
      <c r="C761" s="85" t="s">
        <v>1598</v>
      </c>
      <c r="D761" s="50" t="s">
        <v>1599</v>
      </c>
      <c r="E761" s="50" t="s">
        <v>1585</v>
      </c>
      <c r="F761" s="35" t="str">
        <f t="shared" si="48"/>
        <v/>
      </c>
      <c r="G761" s="36" t="str">
        <f t="shared" si="49"/>
        <v>C</v>
      </c>
      <c r="H761" s="51" t="str">
        <f t="shared" si="51"/>
        <v/>
      </c>
      <c r="I761" s="51">
        <f t="shared" si="51"/>
        <v>3</v>
      </c>
      <c r="J761" s="51">
        <f t="shared" si="51"/>
        <v>3</v>
      </c>
      <c r="K761" s="37"/>
      <c r="L761" s="37" t="s">
        <v>47</v>
      </c>
      <c r="M761" s="37"/>
      <c r="N761" s="37"/>
      <c r="O761" s="37" t="s">
        <v>47</v>
      </c>
      <c r="P761" s="37"/>
      <c r="Q761" s="37"/>
      <c r="R761" s="37" t="s">
        <v>47</v>
      </c>
      <c r="S761" s="37"/>
      <c r="T761" s="37"/>
      <c r="U761" s="37"/>
      <c r="V761" s="37" t="s">
        <v>47</v>
      </c>
      <c r="W761" s="37"/>
      <c r="X761" s="37"/>
      <c r="Y761" s="37" t="s">
        <v>47</v>
      </c>
      <c r="Z761" s="37"/>
      <c r="AA761" s="37"/>
      <c r="AB761" s="37" t="s">
        <v>47</v>
      </c>
      <c r="AC761" s="37"/>
      <c r="AD761" s="37"/>
      <c r="AE761" s="37"/>
      <c r="AF761" s="37"/>
      <c r="AG761" s="37"/>
      <c r="AH761" s="37"/>
      <c r="AI761" s="37"/>
      <c r="AJ761" s="37"/>
      <c r="AK761" s="37"/>
      <c r="AM761" s="38"/>
      <c r="AN761" s="38"/>
      <c r="AO761" s="38"/>
      <c r="AP761" s="38"/>
      <c r="AQ761" s="38"/>
      <c r="AR761" s="38"/>
      <c r="AS761" s="38" t="s">
        <v>47</v>
      </c>
      <c r="AT761" s="38"/>
      <c r="AU761" s="38"/>
      <c r="AV761" s="38"/>
      <c r="AW761" s="38"/>
      <c r="AX761" s="38"/>
      <c r="AY761" s="38"/>
      <c r="AZ761" s="38"/>
      <c r="BA761" s="38"/>
      <c r="BB761" s="38"/>
      <c r="BC761" s="38"/>
      <c r="BD761" s="38"/>
      <c r="BE761" s="77">
        <f t="shared" si="50"/>
        <v>1</v>
      </c>
      <c r="BF761" s="38"/>
    </row>
    <row r="762" spans="1:58" ht="22.5" hidden="1" customHeight="1">
      <c r="A762" s="33" t="str">
        <f>IF(OR(ISBLANK(E762),ISBLANK(C762)),"",IF(COUNTIF($E$8:E762,E762)&gt;1,"",(MAX($A$7:A761)+1)))</f>
        <v/>
      </c>
      <c r="B762" s="34">
        <f>IF(ISBLANK(C762),"",SUBTOTAL(3,$C$8:C762))</f>
        <v>44</v>
      </c>
      <c r="C762" s="85" t="s">
        <v>1600</v>
      </c>
      <c r="D762" s="50" t="s">
        <v>1601</v>
      </c>
      <c r="E762" s="50" t="s">
        <v>1585</v>
      </c>
      <c r="F762" s="35" t="str">
        <f t="shared" si="48"/>
        <v/>
      </c>
      <c r="G762" s="36" t="str">
        <f t="shared" si="49"/>
        <v>D</v>
      </c>
      <c r="H762" s="51" t="str">
        <f t="shared" si="51"/>
        <v/>
      </c>
      <c r="I762" s="51">
        <f t="shared" si="51"/>
        <v>1</v>
      </c>
      <c r="J762" s="51">
        <f t="shared" si="51"/>
        <v>5</v>
      </c>
      <c r="K762" s="37"/>
      <c r="L762" s="37" t="s">
        <v>47</v>
      </c>
      <c r="M762" s="37"/>
      <c r="N762" s="37"/>
      <c r="O762" s="37"/>
      <c r="P762" s="37" t="s">
        <v>47</v>
      </c>
      <c r="Q762" s="37"/>
      <c r="R762" s="37"/>
      <c r="S762" s="37" t="s">
        <v>47</v>
      </c>
      <c r="T762" s="37"/>
      <c r="U762" s="37"/>
      <c r="V762" s="37" t="s">
        <v>47</v>
      </c>
      <c r="W762" s="37"/>
      <c r="X762" s="37"/>
      <c r="Y762" s="37" t="s">
        <v>47</v>
      </c>
      <c r="Z762" s="37"/>
      <c r="AA762" s="37"/>
      <c r="AB762" s="37" t="s">
        <v>47</v>
      </c>
      <c r="AC762" s="37"/>
      <c r="AD762" s="37"/>
      <c r="AE762" s="37"/>
      <c r="AF762" s="37"/>
      <c r="AG762" s="37"/>
      <c r="AH762" s="37"/>
      <c r="AI762" s="37"/>
      <c r="AJ762" s="37"/>
      <c r="AK762" s="37"/>
      <c r="AM762" s="38"/>
      <c r="AN762" s="38"/>
      <c r="AO762" s="38"/>
      <c r="AP762" s="38"/>
      <c r="AQ762" s="38"/>
      <c r="AR762" s="38" t="s">
        <v>47</v>
      </c>
      <c r="AS762" s="38"/>
      <c r="AT762" s="38"/>
      <c r="AU762" s="38"/>
      <c r="AV762" s="38"/>
      <c r="AW762" s="38"/>
      <c r="AX762" s="38"/>
      <c r="AY762" s="38"/>
      <c r="AZ762" s="38"/>
      <c r="BA762" s="38"/>
      <c r="BB762" s="38"/>
      <c r="BC762" s="38"/>
      <c r="BD762" s="38"/>
      <c r="BE762" s="77">
        <f t="shared" si="50"/>
        <v>1</v>
      </c>
      <c r="BF762" s="38"/>
    </row>
    <row r="763" spans="1:58" ht="22.5" hidden="1" customHeight="1">
      <c r="A763" s="33" t="str">
        <f>IF(OR(ISBLANK(E763),ISBLANK(C763)),"",IF(COUNTIF($E$8:E763,E763)&gt;1,"",(MAX($A$7:A762)+1)))</f>
        <v/>
      </c>
      <c r="B763" s="34">
        <f>IF(ISBLANK(C763),"",SUBTOTAL(3,$C$8:C763))</f>
        <v>44</v>
      </c>
      <c r="C763" s="85" t="s">
        <v>1602</v>
      </c>
      <c r="D763" s="50" t="s">
        <v>1603</v>
      </c>
      <c r="E763" s="50" t="s">
        <v>1585</v>
      </c>
      <c r="F763" s="35" t="str">
        <f t="shared" si="48"/>
        <v/>
      </c>
      <c r="G763" s="36" t="str">
        <f t="shared" si="49"/>
        <v>B</v>
      </c>
      <c r="H763" s="51">
        <f t="shared" si="51"/>
        <v>1</v>
      </c>
      <c r="I763" s="51">
        <f t="shared" si="51"/>
        <v>2</v>
      </c>
      <c r="J763" s="51">
        <f t="shared" si="51"/>
        <v>3</v>
      </c>
      <c r="K763" s="37" t="s">
        <v>47</v>
      </c>
      <c r="L763" s="37"/>
      <c r="M763" s="37"/>
      <c r="N763" s="37"/>
      <c r="O763" s="37" t="s">
        <v>47</v>
      </c>
      <c r="P763" s="37"/>
      <c r="Q763" s="37"/>
      <c r="R763" s="37" t="s">
        <v>47</v>
      </c>
      <c r="S763" s="37"/>
      <c r="T763" s="37"/>
      <c r="U763" s="37"/>
      <c r="V763" s="37" t="s">
        <v>47</v>
      </c>
      <c r="W763" s="37"/>
      <c r="X763" s="37"/>
      <c r="Y763" s="37" t="s">
        <v>47</v>
      </c>
      <c r="Z763" s="37"/>
      <c r="AA763" s="37"/>
      <c r="AB763" s="37" t="s">
        <v>47</v>
      </c>
      <c r="AC763" s="37"/>
      <c r="AD763" s="37"/>
      <c r="AE763" s="37"/>
      <c r="AF763" s="37"/>
      <c r="AG763" s="37"/>
      <c r="AH763" s="37"/>
      <c r="AI763" s="37"/>
      <c r="AJ763" s="37"/>
      <c r="AK763" s="37"/>
      <c r="AM763" s="38"/>
      <c r="AN763" s="38"/>
      <c r="AO763" s="38"/>
      <c r="AP763" s="38"/>
      <c r="AQ763" s="38"/>
      <c r="AR763" s="38"/>
      <c r="AS763" s="38"/>
      <c r="AT763" s="38"/>
      <c r="AU763" s="38"/>
      <c r="AV763" s="38"/>
      <c r="AW763" s="38" t="s">
        <v>47</v>
      </c>
      <c r="AX763" s="38"/>
      <c r="AY763" s="38" t="s">
        <v>47</v>
      </c>
      <c r="AZ763" s="38"/>
      <c r="BA763" s="38"/>
      <c r="BB763" s="38"/>
      <c r="BC763" s="38"/>
      <c r="BD763" s="38"/>
      <c r="BE763" s="77">
        <f t="shared" si="50"/>
        <v>2</v>
      </c>
      <c r="BF763" s="38"/>
    </row>
    <row r="764" spans="1:58" ht="22.5" hidden="1" customHeight="1">
      <c r="A764" s="33" t="str">
        <f>IF(OR(ISBLANK(E764),ISBLANK(C764)),"",IF(COUNTIF($E$8:E764,E764)&gt;1,"",(MAX($A$7:A763)+1)))</f>
        <v/>
      </c>
      <c r="B764" s="34">
        <f>IF(ISBLANK(C764),"",SUBTOTAL(3,$C$8:C764))</f>
        <v>44</v>
      </c>
      <c r="C764" s="85" t="s">
        <v>1604</v>
      </c>
      <c r="D764" s="50" t="s">
        <v>1605</v>
      </c>
      <c r="E764" s="50" t="s">
        <v>1585</v>
      </c>
      <c r="F764" s="35" t="str">
        <f t="shared" si="48"/>
        <v/>
      </c>
      <c r="G764" s="36" t="str">
        <f t="shared" si="49"/>
        <v>C</v>
      </c>
      <c r="H764" s="51" t="str">
        <f t="shared" si="51"/>
        <v/>
      </c>
      <c r="I764" s="51">
        <f t="shared" si="51"/>
        <v>4</v>
      </c>
      <c r="J764" s="51">
        <f t="shared" si="51"/>
        <v>2</v>
      </c>
      <c r="K764" s="37"/>
      <c r="L764" s="37" t="s">
        <v>47</v>
      </c>
      <c r="M764" s="37"/>
      <c r="N764" s="37"/>
      <c r="O764" s="37" t="s">
        <v>47</v>
      </c>
      <c r="P764" s="37"/>
      <c r="Q764" s="37"/>
      <c r="R764" s="37" t="s">
        <v>47</v>
      </c>
      <c r="S764" s="37"/>
      <c r="T764" s="37"/>
      <c r="U764" s="37" t="s">
        <v>47</v>
      </c>
      <c r="V764" s="37"/>
      <c r="W764" s="37"/>
      <c r="X764" s="37"/>
      <c r="Y764" s="37" t="s">
        <v>47</v>
      </c>
      <c r="Z764" s="37"/>
      <c r="AA764" s="37"/>
      <c r="AB764" s="37" t="s">
        <v>47</v>
      </c>
      <c r="AC764" s="37"/>
      <c r="AD764" s="37"/>
      <c r="AE764" s="37"/>
      <c r="AF764" s="37"/>
      <c r="AG764" s="37"/>
      <c r="AH764" s="37"/>
      <c r="AI764" s="37"/>
      <c r="AJ764" s="37"/>
      <c r="AK764" s="37"/>
      <c r="AM764" s="38"/>
      <c r="AN764" s="38"/>
      <c r="AO764" s="38"/>
      <c r="AP764" s="38"/>
      <c r="AQ764" s="38"/>
      <c r="AR764" s="38" t="s">
        <v>47</v>
      </c>
      <c r="AS764" s="38"/>
      <c r="AT764" s="38"/>
      <c r="AU764" s="38"/>
      <c r="AV764" s="38"/>
      <c r="AW764" s="38" t="s">
        <v>47</v>
      </c>
      <c r="AX764" s="38"/>
      <c r="AY764" s="38"/>
      <c r="AZ764" s="38"/>
      <c r="BA764" s="38"/>
      <c r="BB764" s="38"/>
      <c r="BC764" s="38"/>
      <c r="BD764" s="38"/>
      <c r="BE764" s="77">
        <f t="shared" si="50"/>
        <v>2</v>
      </c>
      <c r="BF764" s="38"/>
    </row>
    <row r="765" spans="1:58" ht="22.5" hidden="1" customHeight="1">
      <c r="A765" s="33" t="str">
        <f>IF(OR(ISBLANK(E765),ISBLANK(C765)),"",IF(COUNTIF($E$8:E765,E765)&gt;1,"",(MAX($A$7:A764)+1)))</f>
        <v/>
      </c>
      <c r="B765" s="34">
        <f>IF(ISBLANK(C765),"",SUBTOTAL(3,$C$8:C765))</f>
        <v>44</v>
      </c>
      <c r="C765" s="85" t="s">
        <v>1606</v>
      </c>
      <c r="D765" s="50" t="s">
        <v>844</v>
      </c>
      <c r="E765" s="50" t="s">
        <v>1585</v>
      </c>
      <c r="F765" s="35" t="str">
        <f t="shared" si="48"/>
        <v/>
      </c>
      <c r="G765" s="36" t="str">
        <f t="shared" si="49"/>
        <v>C</v>
      </c>
      <c r="H765" s="51" t="str">
        <f t="shared" si="51"/>
        <v/>
      </c>
      <c r="I765" s="51">
        <f t="shared" si="51"/>
        <v>3</v>
      </c>
      <c r="J765" s="51">
        <f t="shared" si="51"/>
        <v>2</v>
      </c>
      <c r="K765" s="37"/>
      <c r="L765" s="37" t="s">
        <v>47</v>
      </c>
      <c r="M765" s="37"/>
      <c r="N765" s="37"/>
      <c r="O765" s="37"/>
      <c r="P765" s="37" t="s">
        <v>47</v>
      </c>
      <c r="Q765" s="37"/>
      <c r="R765" s="37" t="s">
        <v>47</v>
      </c>
      <c r="S765" s="37"/>
      <c r="T765" s="37"/>
      <c r="U765" s="37" t="s">
        <v>47</v>
      </c>
      <c r="V765" s="37"/>
      <c r="W765" s="37"/>
      <c r="X765" s="37"/>
      <c r="Y765" s="37" t="s">
        <v>47</v>
      </c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  <c r="AJ765" s="37"/>
      <c r="AK765" s="37"/>
      <c r="AM765" s="38"/>
      <c r="AN765" s="38"/>
      <c r="AO765" s="38"/>
      <c r="AP765" s="38"/>
      <c r="AQ765" s="38"/>
      <c r="AR765" s="38"/>
      <c r="AS765" s="38"/>
      <c r="AT765" s="38" t="s">
        <v>47</v>
      </c>
      <c r="AU765" s="38"/>
      <c r="AV765" s="38"/>
      <c r="AW765" s="38" t="s">
        <v>47</v>
      </c>
      <c r="AX765" s="38"/>
      <c r="AY765" s="38"/>
      <c r="AZ765" s="38"/>
      <c r="BA765" s="38"/>
      <c r="BB765" s="38"/>
      <c r="BC765" s="38"/>
      <c r="BD765" s="38"/>
      <c r="BE765" s="77">
        <f t="shared" si="50"/>
        <v>2</v>
      </c>
      <c r="BF765" s="38"/>
    </row>
    <row r="766" spans="1:58" ht="22.5" hidden="1" customHeight="1">
      <c r="A766" s="33" t="str">
        <f>IF(OR(ISBLANK(E766),ISBLANK(C766)),"",IF(COUNTIF($E$8:E766,E766)&gt;1,"",(MAX($A$7:A765)+1)))</f>
        <v/>
      </c>
      <c r="B766" s="34">
        <f>IF(ISBLANK(C766),"",SUBTOTAL(3,$C$8:C766))</f>
        <v>44</v>
      </c>
      <c r="C766" s="81" t="s">
        <v>1607</v>
      </c>
      <c r="D766" s="52" t="s">
        <v>1608</v>
      </c>
      <c r="E766" s="50" t="s">
        <v>1585</v>
      </c>
      <c r="F766" s="35" t="str">
        <f t="shared" si="48"/>
        <v/>
      </c>
      <c r="G766" s="36" t="str">
        <f t="shared" si="49"/>
        <v>B</v>
      </c>
      <c r="H766" s="51">
        <f t="shared" si="51"/>
        <v>1</v>
      </c>
      <c r="I766" s="51">
        <f t="shared" si="51"/>
        <v>3</v>
      </c>
      <c r="J766" s="51">
        <f t="shared" si="51"/>
        <v>2</v>
      </c>
      <c r="K766" s="37" t="s">
        <v>47</v>
      </c>
      <c r="L766" s="37"/>
      <c r="M766" s="37"/>
      <c r="N766" s="37"/>
      <c r="O766" s="37" t="s">
        <v>47</v>
      </c>
      <c r="P766" s="37"/>
      <c r="Q766" s="37"/>
      <c r="R766" s="37" t="s">
        <v>47</v>
      </c>
      <c r="S766" s="37"/>
      <c r="T766" s="37"/>
      <c r="U766" s="37" t="s">
        <v>47</v>
      </c>
      <c r="V766" s="37"/>
      <c r="W766" s="37"/>
      <c r="X766" s="37"/>
      <c r="Y766" s="37" t="s">
        <v>47</v>
      </c>
      <c r="Z766" s="37"/>
      <c r="AA766" s="37"/>
      <c r="AB766" s="37" t="s">
        <v>47</v>
      </c>
      <c r="AC766" s="37"/>
      <c r="AD766" s="37"/>
      <c r="AE766" s="37"/>
      <c r="AF766" s="37"/>
      <c r="AG766" s="37"/>
      <c r="AH766" s="37"/>
      <c r="AI766" s="37"/>
      <c r="AJ766" s="37"/>
      <c r="AK766" s="37"/>
      <c r="AM766" s="38"/>
      <c r="AN766" s="38"/>
      <c r="AO766" s="38"/>
      <c r="AP766" s="38"/>
      <c r="AQ766" s="38"/>
      <c r="AR766" s="38"/>
      <c r="AS766" s="38" t="s">
        <v>47</v>
      </c>
      <c r="AT766" s="38" t="s">
        <v>47</v>
      </c>
      <c r="AU766" s="38"/>
      <c r="AV766" s="38"/>
      <c r="AW766" s="38"/>
      <c r="AX766" s="38"/>
      <c r="AY766" s="38" t="s">
        <v>47</v>
      </c>
      <c r="AZ766" s="38"/>
      <c r="BA766" s="38"/>
      <c r="BB766" s="38"/>
      <c r="BC766" s="38" t="s">
        <v>47</v>
      </c>
      <c r="BD766" s="38"/>
      <c r="BE766" s="77">
        <f t="shared" si="50"/>
        <v>4</v>
      </c>
      <c r="BF766" s="38"/>
    </row>
    <row r="767" spans="1:58" ht="22.5" hidden="1" customHeight="1">
      <c r="A767" s="33" t="str">
        <f>IF(OR(ISBLANK(E767),ISBLANK(C767)),"",IF(COUNTIF($E$8:E767,E767)&gt;1,"",(MAX($A$7:A766)+1)))</f>
        <v/>
      </c>
      <c r="B767" s="34">
        <f>IF(ISBLANK(C767),"",SUBTOTAL(3,$C$8:C767))</f>
        <v>44</v>
      </c>
      <c r="C767" s="81" t="s">
        <v>1609</v>
      </c>
      <c r="D767" s="52" t="s">
        <v>1610</v>
      </c>
      <c r="E767" s="50" t="s">
        <v>1585</v>
      </c>
      <c r="F767" s="35" t="str">
        <f t="shared" si="48"/>
        <v/>
      </c>
      <c r="G767" s="36" t="str">
        <f t="shared" si="49"/>
        <v>D</v>
      </c>
      <c r="H767" s="51" t="str">
        <f t="shared" si="51"/>
        <v/>
      </c>
      <c r="I767" s="51">
        <f t="shared" si="51"/>
        <v>1</v>
      </c>
      <c r="J767" s="51">
        <f t="shared" si="51"/>
        <v>5</v>
      </c>
      <c r="K767" s="37"/>
      <c r="L767" s="37"/>
      <c r="M767" s="37" t="s">
        <v>47</v>
      </c>
      <c r="N767" s="37"/>
      <c r="O767" s="37"/>
      <c r="P767" s="37" t="s">
        <v>47</v>
      </c>
      <c r="Q767" s="37"/>
      <c r="R767" s="37" t="s">
        <v>47</v>
      </c>
      <c r="S767" s="37"/>
      <c r="T767" s="37"/>
      <c r="U767" s="37"/>
      <c r="V767" s="37" t="s">
        <v>47</v>
      </c>
      <c r="W767" s="37"/>
      <c r="X767" s="37"/>
      <c r="Y767" s="37" t="s">
        <v>47</v>
      </c>
      <c r="Z767" s="37"/>
      <c r="AA767" s="37"/>
      <c r="AB767" s="37" t="s">
        <v>47</v>
      </c>
      <c r="AC767" s="37"/>
      <c r="AD767" s="37"/>
      <c r="AE767" s="37"/>
      <c r="AF767" s="37"/>
      <c r="AG767" s="37"/>
      <c r="AH767" s="37"/>
      <c r="AI767" s="37"/>
      <c r="AJ767" s="37"/>
      <c r="AK767" s="37"/>
      <c r="AM767" s="38"/>
      <c r="AN767" s="38" t="s">
        <v>47</v>
      </c>
      <c r="AO767" s="38"/>
      <c r="AP767" s="38"/>
      <c r="AQ767" s="38"/>
      <c r="AR767" s="38"/>
      <c r="AS767" s="38"/>
      <c r="AT767" s="38"/>
      <c r="AU767" s="38"/>
      <c r="AV767" s="38"/>
      <c r="AW767" s="38" t="s">
        <v>47</v>
      </c>
      <c r="AX767" s="38"/>
      <c r="AY767" s="38"/>
      <c r="AZ767" s="38"/>
      <c r="BA767" s="38"/>
      <c r="BB767" s="38"/>
      <c r="BC767" s="38"/>
      <c r="BD767" s="38"/>
      <c r="BE767" s="77">
        <f t="shared" si="50"/>
        <v>2</v>
      </c>
      <c r="BF767" s="38"/>
    </row>
    <row r="768" spans="1:58" ht="22.5" hidden="1" customHeight="1">
      <c r="A768" s="33" t="str">
        <f>IF(OR(ISBLANK(E768),ISBLANK(C768)),"",IF(COUNTIF($E$8:E768,E768)&gt;1,"",(MAX($A$7:A767)+1)))</f>
        <v/>
      </c>
      <c r="B768" s="34">
        <f>IF(ISBLANK(C768),"",SUBTOTAL(3,$C$8:C768))</f>
        <v>44</v>
      </c>
      <c r="C768" s="81" t="s">
        <v>1611</v>
      </c>
      <c r="D768" s="52" t="s">
        <v>1612</v>
      </c>
      <c r="E768" s="50" t="s">
        <v>1585</v>
      </c>
      <c r="F768" s="35" t="str">
        <f t="shared" si="48"/>
        <v/>
      </c>
      <c r="G768" s="36" t="str">
        <f t="shared" si="49"/>
        <v>C</v>
      </c>
      <c r="H768" s="51" t="str">
        <f t="shared" si="51"/>
        <v/>
      </c>
      <c r="I768" s="51">
        <f t="shared" si="51"/>
        <v>4</v>
      </c>
      <c r="J768" s="51">
        <f t="shared" si="51"/>
        <v>2</v>
      </c>
      <c r="K768" s="37"/>
      <c r="L768" s="37" t="s">
        <v>47</v>
      </c>
      <c r="M768" s="37"/>
      <c r="N768" s="37"/>
      <c r="O768" s="37" t="s">
        <v>47</v>
      </c>
      <c r="P768" s="37"/>
      <c r="Q768" s="37"/>
      <c r="R768" s="37" t="s">
        <v>47</v>
      </c>
      <c r="S768" s="37"/>
      <c r="T768" s="37"/>
      <c r="U768" s="37"/>
      <c r="V768" s="37" t="s">
        <v>47</v>
      </c>
      <c r="W768" s="37"/>
      <c r="X768" s="37"/>
      <c r="Y768" s="37" t="s">
        <v>47</v>
      </c>
      <c r="Z768" s="37"/>
      <c r="AA768" s="37" t="s">
        <v>47</v>
      </c>
      <c r="AB768" s="37"/>
      <c r="AC768" s="37"/>
      <c r="AD768" s="37"/>
      <c r="AE768" s="37"/>
      <c r="AF768" s="37"/>
      <c r="AG768" s="37"/>
      <c r="AH768" s="37"/>
      <c r="AI768" s="37"/>
      <c r="AJ768" s="37"/>
      <c r="AK768" s="37"/>
      <c r="AM768" s="38"/>
      <c r="AN768" s="38"/>
      <c r="AO768" s="38" t="s">
        <v>47</v>
      </c>
      <c r="AP768" s="38"/>
      <c r="AQ768" s="38"/>
      <c r="AR768" s="38"/>
      <c r="AS768" s="38"/>
      <c r="AT768" s="38"/>
      <c r="AU768" s="38"/>
      <c r="AV768" s="38"/>
      <c r="AW768" s="38" t="s">
        <v>47</v>
      </c>
      <c r="AX768" s="38"/>
      <c r="AY768" s="38"/>
      <c r="AZ768" s="38"/>
      <c r="BA768" s="38"/>
      <c r="BB768" s="38"/>
      <c r="BC768" s="38"/>
      <c r="BD768" s="38"/>
      <c r="BE768" s="77">
        <f t="shared" si="50"/>
        <v>2</v>
      </c>
      <c r="BF768" s="38"/>
    </row>
    <row r="769" spans="1:58" ht="22.5" hidden="1" customHeight="1">
      <c r="A769" s="33" t="str">
        <f>IF(OR(ISBLANK(E769),ISBLANK(C769)),"",IF(COUNTIF($E$8:E769,E769)&gt;1,"",(MAX($A$7:A768)+1)))</f>
        <v/>
      </c>
      <c r="B769" s="34">
        <f>IF(ISBLANK(C769),"",SUBTOTAL(3,$C$8:C769))</f>
        <v>44</v>
      </c>
      <c r="C769" s="81" t="s">
        <v>1613</v>
      </c>
      <c r="D769" s="52" t="s">
        <v>1614</v>
      </c>
      <c r="E769" s="50" t="s">
        <v>1585</v>
      </c>
      <c r="F769" s="35" t="str">
        <f t="shared" si="48"/>
        <v/>
      </c>
      <c r="G769" s="36" t="str">
        <f t="shared" si="49"/>
        <v>B</v>
      </c>
      <c r="H769" s="51">
        <f t="shared" si="51"/>
        <v>1</v>
      </c>
      <c r="I769" s="51">
        <f t="shared" si="51"/>
        <v>3</v>
      </c>
      <c r="J769" s="51">
        <f t="shared" si="51"/>
        <v>2</v>
      </c>
      <c r="K769" s="37" t="s">
        <v>47</v>
      </c>
      <c r="L769" s="37"/>
      <c r="M769" s="37"/>
      <c r="N769" s="37"/>
      <c r="O769" s="37" t="s">
        <v>47</v>
      </c>
      <c r="P769" s="37"/>
      <c r="Q769" s="37"/>
      <c r="R769" s="37" t="s">
        <v>47</v>
      </c>
      <c r="S769" s="37"/>
      <c r="T769" s="37"/>
      <c r="U769" s="37" t="s">
        <v>47</v>
      </c>
      <c r="V769" s="37"/>
      <c r="W769" s="37"/>
      <c r="X769" s="37"/>
      <c r="Y769" s="37" t="s">
        <v>47</v>
      </c>
      <c r="Z769" s="37"/>
      <c r="AA769" s="37"/>
      <c r="AB769" s="37" t="s">
        <v>47</v>
      </c>
      <c r="AC769" s="37"/>
      <c r="AD769" s="37"/>
      <c r="AE769" s="37"/>
      <c r="AF769" s="37"/>
      <c r="AG769" s="37"/>
      <c r="AH769" s="37"/>
      <c r="AI769" s="37"/>
      <c r="AJ769" s="37"/>
      <c r="AK769" s="37"/>
      <c r="AM769" s="38"/>
      <c r="AN769" s="38"/>
      <c r="AO769" s="38"/>
      <c r="AP769" s="38"/>
      <c r="AQ769" s="38"/>
      <c r="AR769" s="38" t="s">
        <v>47</v>
      </c>
      <c r="AS769" s="38"/>
      <c r="AT769" s="38"/>
      <c r="AU769" s="38" t="s">
        <v>47</v>
      </c>
      <c r="AV769" s="38"/>
      <c r="AW769" s="38"/>
      <c r="AX769" s="38"/>
      <c r="AY769" s="38"/>
      <c r="AZ769" s="38"/>
      <c r="BA769" s="38"/>
      <c r="BB769" s="38"/>
      <c r="BC769" s="38"/>
      <c r="BD769" s="38"/>
      <c r="BE769" s="77">
        <f t="shared" si="50"/>
        <v>2</v>
      </c>
      <c r="BF769" s="38"/>
    </row>
    <row r="770" spans="1:58" ht="22.5" hidden="1" customHeight="1">
      <c r="A770" s="33" t="str">
        <f>IF(OR(ISBLANK(E770),ISBLANK(C770)),"",IF(COUNTIF($E$8:E770,E770)&gt;1,"",(MAX($A$7:A769)+1)))</f>
        <v/>
      </c>
      <c r="B770" s="34">
        <f>IF(ISBLANK(C770),"",SUBTOTAL(3,$C$8:C770))</f>
        <v>44</v>
      </c>
      <c r="C770" s="81" t="s">
        <v>1615</v>
      </c>
      <c r="D770" s="52" t="s">
        <v>1616</v>
      </c>
      <c r="E770" s="50" t="s">
        <v>1585</v>
      </c>
      <c r="F770" s="35" t="str">
        <f t="shared" si="48"/>
        <v/>
      </c>
      <c r="G770" s="36" t="str">
        <f t="shared" si="49"/>
        <v>C</v>
      </c>
      <c r="H770" s="51" t="str">
        <f t="shared" si="51"/>
        <v/>
      </c>
      <c r="I770" s="51">
        <f t="shared" si="51"/>
        <v>3</v>
      </c>
      <c r="J770" s="51">
        <f t="shared" si="51"/>
        <v>3</v>
      </c>
      <c r="K770" s="37"/>
      <c r="L770" s="37" t="s">
        <v>47</v>
      </c>
      <c r="M770" s="37"/>
      <c r="N770" s="37"/>
      <c r="O770" s="37" t="s">
        <v>47</v>
      </c>
      <c r="P770" s="37"/>
      <c r="Q770" s="37"/>
      <c r="R770" s="37" t="s">
        <v>47</v>
      </c>
      <c r="S770" s="37"/>
      <c r="T770" s="37"/>
      <c r="U770" s="37"/>
      <c r="V770" s="37" t="s">
        <v>47</v>
      </c>
      <c r="W770" s="37"/>
      <c r="X770" s="37"/>
      <c r="Y770" s="37" t="s">
        <v>47</v>
      </c>
      <c r="Z770" s="37"/>
      <c r="AA770" s="37"/>
      <c r="AB770" s="37" t="s">
        <v>47</v>
      </c>
      <c r="AC770" s="37"/>
      <c r="AD770" s="37"/>
      <c r="AE770" s="37"/>
      <c r="AF770" s="37"/>
      <c r="AG770" s="37"/>
      <c r="AH770" s="37"/>
      <c r="AI770" s="37"/>
      <c r="AJ770" s="37"/>
      <c r="AK770" s="37"/>
      <c r="AM770" s="38"/>
      <c r="AN770" s="38"/>
      <c r="AO770" s="38"/>
      <c r="AP770" s="38"/>
      <c r="AQ770" s="38"/>
      <c r="AR770" s="38"/>
      <c r="AS770" s="38" t="s">
        <v>47</v>
      </c>
      <c r="AT770" s="38"/>
      <c r="AU770" s="38"/>
      <c r="AV770" s="38"/>
      <c r="AW770" s="38" t="s">
        <v>47</v>
      </c>
      <c r="AX770" s="38"/>
      <c r="AY770" s="38"/>
      <c r="AZ770" s="38"/>
      <c r="BA770" s="38"/>
      <c r="BB770" s="38"/>
      <c r="BC770" s="38"/>
      <c r="BD770" s="38"/>
      <c r="BE770" s="77">
        <f t="shared" si="50"/>
        <v>2</v>
      </c>
      <c r="BF770" s="38"/>
    </row>
    <row r="771" spans="1:58" ht="22.5" hidden="1" customHeight="1">
      <c r="A771" s="33" t="str">
        <f>IF(OR(ISBLANK(E771),ISBLANK(C771)),"",IF(COUNTIF($E$8:E771,E771)&gt;1,"",(MAX($A$7:A770)+1)))</f>
        <v/>
      </c>
      <c r="B771" s="34">
        <f>IF(ISBLANK(C771),"",SUBTOTAL(3,$C$8:C771))</f>
        <v>44</v>
      </c>
      <c r="C771" s="83" t="s">
        <v>1617</v>
      </c>
      <c r="D771" s="50" t="s">
        <v>1618</v>
      </c>
      <c r="E771" s="50" t="s">
        <v>1585</v>
      </c>
      <c r="F771" s="35" t="str">
        <f t="shared" si="48"/>
        <v/>
      </c>
      <c r="G771" s="36" t="str">
        <f t="shared" si="49"/>
        <v>C</v>
      </c>
      <c r="H771" s="51" t="str">
        <f t="shared" si="51"/>
        <v/>
      </c>
      <c r="I771" s="51">
        <f t="shared" si="51"/>
        <v>2</v>
      </c>
      <c r="J771" s="51">
        <f t="shared" si="51"/>
        <v>4</v>
      </c>
      <c r="K771" s="37"/>
      <c r="L771" s="37" t="s">
        <v>47</v>
      </c>
      <c r="M771" s="37"/>
      <c r="N771" s="37"/>
      <c r="O771" s="37"/>
      <c r="P771" s="37" t="s">
        <v>47</v>
      </c>
      <c r="Q771" s="37"/>
      <c r="R771" s="37" t="s">
        <v>47</v>
      </c>
      <c r="S771" s="37"/>
      <c r="T771" s="37"/>
      <c r="U771" s="37"/>
      <c r="V771" s="37" t="s">
        <v>47</v>
      </c>
      <c r="W771" s="37"/>
      <c r="X771" s="37"/>
      <c r="Y771" s="37" t="s">
        <v>47</v>
      </c>
      <c r="Z771" s="37"/>
      <c r="AA771" s="37"/>
      <c r="AB771" s="37" t="s">
        <v>47</v>
      </c>
      <c r="AC771" s="37"/>
      <c r="AD771" s="37"/>
      <c r="AE771" s="37"/>
      <c r="AF771" s="37"/>
      <c r="AG771" s="37"/>
      <c r="AH771" s="37"/>
      <c r="AI771" s="37"/>
      <c r="AJ771" s="37"/>
      <c r="AK771" s="37"/>
      <c r="AM771" s="38"/>
      <c r="AN771" s="38"/>
      <c r="AO771" s="38"/>
      <c r="AP771" s="38"/>
      <c r="AQ771" s="38"/>
      <c r="AR771" s="38"/>
      <c r="AS771" s="38" t="s">
        <v>47</v>
      </c>
      <c r="AT771" s="38"/>
      <c r="AU771" s="38"/>
      <c r="AV771" s="38"/>
      <c r="AW771" s="38" t="s">
        <v>47</v>
      </c>
      <c r="AX771" s="38"/>
      <c r="AY771" s="38"/>
      <c r="AZ771" s="38"/>
      <c r="BA771" s="38"/>
      <c r="BB771" s="38"/>
      <c r="BC771" s="38"/>
      <c r="BD771" s="38"/>
      <c r="BE771" s="77">
        <f t="shared" si="50"/>
        <v>2</v>
      </c>
      <c r="BF771" s="38"/>
    </row>
    <row r="772" spans="1:58" ht="22.5" hidden="1" customHeight="1">
      <c r="A772" s="33" t="str">
        <f>IF(OR(ISBLANK(E772),ISBLANK(C772)),"",IF(COUNTIF($E$8:E772,E772)&gt;1,"",(MAX($A$7:A771)+1)))</f>
        <v/>
      </c>
      <c r="B772" s="34">
        <f>IF(ISBLANK(C772),"",SUBTOTAL(3,$C$8:C772))</f>
        <v>44</v>
      </c>
      <c r="C772" s="81" t="s">
        <v>1619</v>
      </c>
      <c r="D772" s="50" t="s">
        <v>1620</v>
      </c>
      <c r="E772" s="50" t="s">
        <v>1585</v>
      </c>
      <c r="F772" s="35" t="str">
        <f t="shared" si="48"/>
        <v/>
      </c>
      <c r="G772" s="36" t="str">
        <f t="shared" si="49"/>
        <v>C</v>
      </c>
      <c r="H772" s="51" t="str">
        <f t="shared" si="51"/>
        <v/>
      </c>
      <c r="I772" s="51">
        <f t="shared" si="51"/>
        <v>2</v>
      </c>
      <c r="J772" s="51">
        <f t="shared" si="51"/>
        <v>4</v>
      </c>
      <c r="K772" s="37"/>
      <c r="L772" s="37" t="s">
        <v>47</v>
      </c>
      <c r="M772" s="37"/>
      <c r="N772" s="37"/>
      <c r="O772" s="37"/>
      <c r="P772" s="37" t="s">
        <v>47</v>
      </c>
      <c r="Q772" s="37"/>
      <c r="R772" s="37" t="s">
        <v>47</v>
      </c>
      <c r="S772" s="37"/>
      <c r="T772" s="37"/>
      <c r="U772" s="37"/>
      <c r="V772" s="37" t="s">
        <v>47</v>
      </c>
      <c r="W772" s="37"/>
      <c r="X772" s="37"/>
      <c r="Y772" s="37" t="s">
        <v>47</v>
      </c>
      <c r="Z772" s="37"/>
      <c r="AA772" s="37"/>
      <c r="AB772" s="37" t="s">
        <v>47</v>
      </c>
      <c r="AC772" s="37"/>
      <c r="AD772" s="37"/>
      <c r="AE772" s="37"/>
      <c r="AF772" s="37"/>
      <c r="AG772" s="37"/>
      <c r="AH772" s="37"/>
      <c r="AI772" s="37"/>
      <c r="AJ772" s="37"/>
      <c r="AK772" s="37"/>
      <c r="AM772" s="38"/>
      <c r="AN772" s="38"/>
      <c r="AO772" s="38"/>
      <c r="AP772" s="38"/>
      <c r="AQ772" s="38"/>
      <c r="AR772" s="38" t="s">
        <v>47</v>
      </c>
      <c r="AS772" s="38"/>
      <c r="AT772" s="38"/>
      <c r="AU772" s="38"/>
      <c r="AV772" s="38"/>
      <c r="AW772" s="38"/>
      <c r="AX772" s="38"/>
      <c r="AY772" s="38"/>
      <c r="AZ772" s="38"/>
      <c r="BA772" s="38"/>
      <c r="BB772" s="38"/>
      <c r="BC772" s="38"/>
      <c r="BD772" s="38"/>
      <c r="BE772" s="77">
        <f t="shared" si="50"/>
        <v>1</v>
      </c>
      <c r="BF772" s="38"/>
    </row>
    <row r="773" spans="1:58" ht="22.5" hidden="1" customHeight="1">
      <c r="A773" s="33" t="str">
        <f>IF(OR(ISBLANK(E773),ISBLANK(C773)),"",IF(COUNTIF($E$8:E773,E773)&gt;1,"",(MAX($A$7:A772)+1)))</f>
        <v/>
      </c>
      <c r="B773" s="34">
        <f>IF(ISBLANK(C773),"",SUBTOTAL(3,$C$8:C773))</f>
        <v>44</v>
      </c>
      <c r="C773" s="81" t="s">
        <v>1621</v>
      </c>
      <c r="D773" s="50" t="s">
        <v>1622</v>
      </c>
      <c r="E773" s="50" t="s">
        <v>1585</v>
      </c>
      <c r="F773" s="35" t="str">
        <f t="shared" si="48"/>
        <v/>
      </c>
      <c r="G773" s="36" t="str">
        <f t="shared" si="49"/>
        <v>C</v>
      </c>
      <c r="H773" s="51">
        <f t="shared" si="51"/>
        <v>1</v>
      </c>
      <c r="I773" s="51">
        <f t="shared" si="51"/>
        <v>1</v>
      </c>
      <c r="J773" s="51">
        <f t="shared" si="51"/>
        <v>4</v>
      </c>
      <c r="K773" s="37" t="s">
        <v>47</v>
      </c>
      <c r="L773" s="37"/>
      <c r="M773" s="37"/>
      <c r="N773" s="37"/>
      <c r="O773" s="37"/>
      <c r="P773" s="37" t="s">
        <v>47</v>
      </c>
      <c r="Q773" s="37"/>
      <c r="R773" s="37" t="s">
        <v>47</v>
      </c>
      <c r="S773" s="37"/>
      <c r="T773" s="37"/>
      <c r="U773" s="37"/>
      <c r="V773" s="37" t="s">
        <v>47</v>
      </c>
      <c r="W773" s="37"/>
      <c r="X773" s="37"/>
      <c r="Y773" s="37" t="s">
        <v>47</v>
      </c>
      <c r="Z773" s="37"/>
      <c r="AA773" s="37"/>
      <c r="AB773" s="37" t="s">
        <v>47</v>
      </c>
      <c r="AC773" s="37"/>
      <c r="AD773" s="37"/>
      <c r="AE773" s="37"/>
      <c r="AF773" s="37"/>
      <c r="AG773" s="37"/>
      <c r="AH773" s="37"/>
      <c r="AI773" s="37"/>
      <c r="AJ773" s="37"/>
      <c r="AK773" s="37"/>
      <c r="AM773" s="38"/>
      <c r="AN773" s="38"/>
      <c r="AO773" s="38"/>
      <c r="AP773" s="38"/>
      <c r="AQ773" s="38"/>
      <c r="AR773" s="38"/>
      <c r="AS773" s="38" t="s">
        <v>47</v>
      </c>
      <c r="AT773" s="38"/>
      <c r="AU773" s="38"/>
      <c r="AV773" s="38"/>
      <c r="AW773" s="38" t="s">
        <v>47</v>
      </c>
      <c r="AX773" s="38"/>
      <c r="AY773" s="38"/>
      <c r="AZ773" s="38"/>
      <c r="BA773" s="38"/>
      <c r="BB773" s="38"/>
      <c r="BC773" s="38"/>
      <c r="BD773" s="38"/>
      <c r="BE773" s="77">
        <f t="shared" si="50"/>
        <v>2</v>
      </c>
      <c r="BF773" s="38"/>
    </row>
    <row r="774" spans="1:58" ht="22.5" hidden="1" customHeight="1">
      <c r="A774" s="33" t="str">
        <f>IF(OR(ISBLANK(E774),ISBLANK(C774)),"",IF(COUNTIF($E$8:E774,E774)&gt;1,"",(MAX($A$7:A773)+1)))</f>
        <v/>
      </c>
      <c r="B774" s="34">
        <f>IF(ISBLANK(C774),"",SUBTOTAL(3,$C$8:C774))</f>
        <v>44</v>
      </c>
      <c r="C774" s="81" t="s">
        <v>1623</v>
      </c>
      <c r="D774" s="50" t="s">
        <v>1624</v>
      </c>
      <c r="E774" s="50" t="s">
        <v>1585</v>
      </c>
      <c r="F774" s="35" t="str">
        <f t="shared" si="48"/>
        <v/>
      </c>
      <c r="G774" s="36" t="str">
        <f t="shared" si="49"/>
        <v>C</v>
      </c>
      <c r="H774" s="51">
        <f t="shared" si="51"/>
        <v>1</v>
      </c>
      <c r="I774" s="51">
        <f t="shared" si="51"/>
        <v>1</v>
      </c>
      <c r="J774" s="51">
        <f t="shared" si="51"/>
        <v>4</v>
      </c>
      <c r="K774" s="37" t="s">
        <v>47</v>
      </c>
      <c r="L774" s="37"/>
      <c r="M774" s="37"/>
      <c r="N774" s="37"/>
      <c r="O774" s="37"/>
      <c r="P774" s="37" t="s">
        <v>47</v>
      </c>
      <c r="Q774" s="37"/>
      <c r="R774" s="37" t="s">
        <v>47</v>
      </c>
      <c r="S774" s="37"/>
      <c r="T774" s="37"/>
      <c r="U774" s="37"/>
      <c r="V774" s="37" t="s">
        <v>47</v>
      </c>
      <c r="W774" s="37"/>
      <c r="X774" s="37"/>
      <c r="Y774" s="37" t="s">
        <v>47</v>
      </c>
      <c r="Z774" s="37"/>
      <c r="AA774" s="37"/>
      <c r="AB774" s="37" t="s">
        <v>47</v>
      </c>
      <c r="AC774" s="37"/>
      <c r="AD774" s="37"/>
      <c r="AE774" s="37"/>
      <c r="AF774" s="37"/>
      <c r="AG774" s="37"/>
      <c r="AH774" s="37"/>
      <c r="AI774" s="37"/>
      <c r="AJ774" s="37"/>
      <c r="AK774" s="37"/>
      <c r="AM774" s="38"/>
      <c r="AN774" s="38"/>
      <c r="AO774" s="38"/>
      <c r="AP774" s="38"/>
      <c r="AQ774" s="38"/>
      <c r="AR774" s="38"/>
      <c r="AS774" s="38"/>
      <c r="AT774" s="38"/>
      <c r="AU774" s="38"/>
      <c r="AV774" s="38"/>
      <c r="AW774" s="38"/>
      <c r="AX774" s="38"/>
      <c r="AY774" s="38"/>
      <c r="AZ774" s="38"/>
      <c r="BA774" s="38"/>
      <c r="BB774" s="38"/>
      <c r="BC774" s="38" t="s">
        <v>47</v>
      </c>
      <c r="BD774" s="38"/>
      <c r="BE774" s="77">
        <f t="shared" si="50"/>
        <v>1</v>
      </c>
      <c r="BF774" s="38"/>
    </row>
    <row r="775" spans="1:58" ht="22.5" hidden="1" customHeight="1">
      <c r="A775" s="33" t="str">
        <f>IF(OR(ISBLANK(E775),ISBLANK(C775)),"",IF(COUNTIF($E$8:E775,E775)&gt;1,"",(MAX($A$7:A774)+1)))</f>
        <v/>
      </c>
      <c r="B775" s="34">
        <f>IF(ISBLANK(C775),"",SUBTOTAL(3,$C$8:C775))</f>
        <v>44</v>
      </c>
      <c r="C775" s="81" t="s">
        <v>1625</v>
      </c>
      <c r="D775" s="50" t="s">
        <v>1626</v>
      </c>
      <c r="E775" s="50" t="s">
        <v>1585</v>
      </c>
      <c r="F775" s="35" t="str">
        <f t="shared" si="48"/>
        <v/>
      </c>
      <c r="G775" s="36" t="str">
        <f t="shared" si="49"/>
        <v>C</v>
      </c>
      <c r="H775" s="51">
        <f t="shared" si="51"/>
        <v>1</v>
      </c>
      <c r="I775" s="51" t="str">
        <f t="shared" si="51"/>
        <v/>
      </c>
      <c r="J775" s="51" t="str">
        <f t="shared" si="51"/>
        <v/>
      </c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 t="s">
        <v>47</v>
      </c>
      <c r="AA775" s="37"/>
      <c r="AB775" s="37"/>
      <c r="AC775" s="37"/>
      <c r="AD775" s="37"/>
      <c r="AE775" s="37"/>
      <c r="AF775" s="37"/>
      <c r="AG775" s="37"/>
      <c r="AH775" s="37"/>
      <c r="AI775" s="37"/>
      <c r="AJ775" s="37"/>
      <c r="AK775" s="37"/>
      <c r="AM775" s="38"/>
      <c r="AN775" s="38"/>
      <c r="AO775" s="38" t="s">
        <v>47</v>
      </c>
      <c r="AP775" s="38"/>
      <c r="AQ775" s="38"/>
      <c r="AR775" s="38"/>
      <c r="AS775" s="38"/>
      <c r="AT775" s="38"/>
      <c r="AU775" s="38"/>
      <c r="AV775" s="38"/>
      <c r="AW775" s="38"/>
      <c r="AX775" s="38"/>
      <c r="AY775" s="38"/>
      <c r="AZ775" s="38"/>
      <c r="BA775" s="38"/>
      <c r="BB775" s="38"/>
      <c r="BC775" s="38"/>
      <c r="BD775" s="38"/>
      <c r="BE775" s="77">
        <f t="shared" si="50"/>
        <v>1</v>
      </c>
      <c r="BF775" s="38"/>
    </row>
    <row r="776" spans="1:58" ht="22.5" hidden="1" customHeight="1">
      <c r="A776" s="33" t="str">
        <f>IF(OR(ISBLANK(E776),ISBLANK(C776)),"",IF(COUNTIF($E$8:E776,E776)&gt;1,"",(MAX($A$7:A775)+1)))</f>
        <v/>
      </c>
      <c r="B776" s="34">
        <f>IF(ISBLANK(C776),"",SUBTOTAL(3,$C$8:C776))</f>
        <v>44</v>
      </c>
      <c r="C776" s="80" t="s">
        <v>1627</v>
      </c>
      <c r="D776" s="50" t="s">
        <v>1628</v>
      </c>
      <c r="E776" s="50" t="s">
        <v>1585</v>
      </c>
      <c r="F776" s="35" t="str">
        <f t="shared" ref="F776:F839" si="52">IFERROR(IF(OR(ISBLANK($C776),B776=""),"",INDEX(Luonggio,MATCH($C776,MaNVLuong,0))),"")</f>
        <v/>
      </c>
      <c r="G776" s="36" t="str">
        <f t="shared" si="49"/>
        <v>C</v>
      </c>
      <c r="H776" s="51">
        <f t="shared" si="51"/>
        <v>1</v>
      </c>
      <c r="I776" s="51" t="str">
        <f t="shared" si="51"/>
        <v/>
      </c>
      <c r="J776" s="51" t="str">
        <f t="shared" si="51"/>
        <v/>
      </c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 t="s">
        <v>47</v>
      </c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  <c r="AK776" s="37"/>
      <c r="AM776" s="38"/>
      <c r="AN776" s="38"/>
      <c r="AO776" s="38"/>
      <c r="AP776" s="38" t="s">
        <v>47</v>
      </c>
      <c r="AQ776" s="38"/>
      <c r="AR776" s="38"/>
      <c r="AS776" s="38"/>
      <c r="AT776" s="38"/>
      <c r="AU776" s="38"/>
      <c r="AV776" s="38"/>
      <c r="AW776" s="38"/>
      <c r="AX776" s="38"/>
      <c r="AY776" s="38"/>
      <c r="AZ776" s="38"/>
      <c r="BA776" s="38"/>
      <c r="BB776" s="38"/>
      <c r="BC776" s="38"/>
      <c r="BD776" s="38"/>
      <c r="BE776" s="77">
        <f t="shared" si="50"/>
        <v>1</v>
      </c>
      <c r="BF776" s="38"/>
    </row>
    <row r="777" spans="1:58" ht="22.5" hidden="1" customHeight="1">
      <c r="A777" s="33" t="str">
        <f>IF(OR(ISBLANK(E777),ISBLANK(C777)),"",IF(COUNTIF($E$8:E777,E777)&gt;1,"",(MAX($A$7:A776)+1)))</f>
        <v/>
      </c>
      <c r="B777" s="34">
        <f>IF(ISBLANK(C777),"",SUBTOTAL(3,$C$8:C777))</f>
        <v>44</v>
      </c>
      <c r="C777" s="81" t="s">
        <v>1629</v>
      </c>
      <c r="D777" s="50" t="s">
        <v>1630</v>
      </c>
      <c r="E777" s="50" t="s">
        <v>1585</v>
      </c>
      <c r="F777" s="35" t="str">
        <f t="shared" si="52"/>
        <v/>
      </c>
      <c r="G777" s="36" t="str">
        <f t="shared" ref="G777:G840" si="53">IF(COUNTIF(H777:J777,"&gt;0")=0,"",IF(AND(OR(OR(SUM(H777)&gt;=2)),SUM(H777:J777)&gt;=4,OR(OR(SUM(I777)&gt;=1))),"A",IF(OR(OR(SUM(H777)&gt;=3)),"A",IF(AND(SUM(I777)&gt;=2,SUM(H777)=1),"B",IF(AND(SUM(I777)&gt;=1,SUM(H777)=2),"B",IF(H777=2,"B",IF(SUM(I777)&gt;=2,"C",IF(H777=1,"C",IF(AND(H777=1,I777=1),"C",IF(AND(SUM(H777:I777)=0,SUM(J777)&lt;=1),"D","D"))))))))))</f>
        <v>A</v>
      </c>
      <c r="H777" s="51">
        <f t="shared" si="51"/>
        <v>3</v>
      </c>
      <c r="I777" s="51">
        <f t="shared" si="51"/>
        <v>2</v>
      </c>
      <c r="J777" s="51">
        <f t="shared" si="51"/>
        <v>1</v>
      </c>
      <c r="K777" s="37" t="s">
        <v>47</v>
      </c>
      <c r="L777" s="37"/>
      <c r="M777" s="37"/>
      <c r="N777" s="37"/>
      <c r="O777" s="37" t="s">
        <v>47</v>
      </c>
      <c r="P777" s="37"/>
      <c r="Q777" s="37"/>
      <c r="R777" s="37" t="s">
        <v>47</v>
      </c>
      <c r="S777" s="37"/>
      <c r="T777" s="37" t="s">
        <v>47</v>
      </c>
      <c r="U777" s="37"/>
      <c r="V777" s="37"/>
      <c r="W777" s="37" t="s">
        <v>47</v>
      </c>
      <c r="X777" s="37"/>
      <c r="Y777" s="37"/>
      <c r="Z777" s="37"/>
      <c r="AA777" s="37"/>
      <c r="AB777" s="37" t="s">
        <v>47</v>
      </c>
      <c r="AC777" s="37"/>
      <c r="AD777" s="37"/>
      <c r="AE777" s="37"/>
      <c r="AF777" s="37"/>
      <c r="AG777" s="37"/>
      <c r="AH777" s="37"/>
      <c r="AI777" s="37"/>
      <c r="AJ777" s="37"/>
      <c r="AK777" s="37"/>
      <c r="AM777" s="38"/>
      <c r="AN777" s="38"/>
      <c r="AO777" s="38"/>
      <c r="AP777" s="38"/>
      <c r="AQ777" s="38"/>
      <c r="AR777" s="38"/>
      <c r="AS777" s="38" t="s">
        <v>47</v>
      </c>
      <c r="AT777" s="38" t="s">
        <v>47</v>
      </c>
      <c r="AU777" s="38"/>
      <c r="AV777" s="38"/>
      <c r="AW777" s="38" t="s">
        <v>47</v>
      </c>
      <c r="AX777" s="38" t="s">
        <v>47</v>
      </c>
      <c r="AY777" s="38" t="s">
        <v>47</v>
      </c>
      <c r="AZ777" s="38"/>
      <c r="BA777" s="38"/>
      <c r="BB777" s="38" t="s">
        <v>47</v>
      </c>
      <c r="BC777" s="38" t="s">
        <v>47</v>
      </c>
      <c r="BD777" s="38"/>
      <c r="BE777" s="77">
        <f t="shared" ref="BE777:BE840" si="54">COUNTIF(AM777:BD777,"X")</f>
        <v>7</v>
      </c>
      <c r="BF777" s="38"/>
    </row>
    <row r="778" spans="1:58" ht="22.5" hidden="1" customHeight="1">
      <c r="A778" s="33" t="str">
        <f>IF(OR(ISBLANK(E778),ISBLANK(C778)),"",IF(COUNTIF($E$8:E778,E778)&gt;1,"",(MAX($A$7:A777)+1)))</f>
        <v/>
      </c>
      <c r="B778" s="34">
        <f>IF(ISBLANK(C778),"",SUBTOTAL(3,$C$8:C778))</f>
        <v>44</v>
      </c>
      <c r="C778" s="81" t="s">
        <v>1631</v>
      </c>
      <c r="D778" s="50" t="s">
        <v>1632</v>
      </c>
      <c r="E778" s="50" t="s">
        <v>1585</v>
      </c>
      <c r="F778" s="35" t="str">
        <f t="shared" si="52"/>
        <v/>
      </c>
      <c r="G778" s="36" t="str">
        <f t="shared" si="53"/>
        <v>D</v>
      </c>
      <c r="H778" s="51" t="str">
        <f t="shared" si="51"/>
        <v/>
      </c>
      <c r="I778" s="51" t="str">
        <f t="shared" si="51"/>
        <v/>
      </c>
      <c r="J778" s="51">
        <f t="shared" si="51"/>
        <v>6</v>
      </c>
      <c r="K778" s="37"/>
      <c r="L778" s="37"/>
      <c r="M778" s="37" t="s">
        <v>47</v>
      </c>
      <c r="N778" s="37"/>
      <c r="O778" s="37"/>
      <c r="P778" s="37" t="s">
        <v>47</v>
      </c>
      <c r="Q778" s="37"/>
      <c r="R778" s="37"/>
      <c r="S778" s="37" t="s">
        <v>47</v>
      </c>
      <c r="T778" s="37"/>
      <c r="U778" s="37"/>
      <c r="V778" s="37" t="s">
        <v>47</v>
      </c>
      <c r="W778" s="37"/>
      <c r="X778" s="37"/>
      <c r="Y778" s="37" t="s">
        <v>47</v>
      </c>
      <c r="Z778" s="37"/>
      <c r="AA778" s="37"/>
      <c r="AB778" s="37" t="s">
        <v>47</v>
      </c>
      <c r="AC778" s="37"/>
      <c r="AD778" s="37"/>
      <c r="AE778" s="37"/>
      <c r="AF778" s="37"/>
      <c r="AG778" s="37"/>
      <c r="AH778" s="37"/>
      <c r="AI778" s="37"/>
      <c r="AJ778" s="37"/>
      <c r="AK778" s="37"/>
      <c r="AM778" s="38" t="s">
        <v>47</v>
      </c>
      <c r="AN778" s="38" t="s">
        <v>47</v>
      </c>
      <c r="AO778" s="38"/>
      <c r="AP778" s="38"/>
      <c r="AQ778" s="38"/>
      <c r="AR778" s="38"/>
      <c r="AS778" s="38"/>
      <c r="AT778" s="38"/>
      <c r="AU778" s="38"/>
      <c r="AV778" s="38"/>
      <c r="AW778" s="38"/>
      <c r="AX778" s="38"/>
      <c r="AY778" s="38"/>
      <c r="AZ778" s="38"/>
      <c r="BA778" s="38"/>
      <c r="BB778" s="38"/>
      <c r="BC778" s="38"/>
      <c r="BD778" s="38"/>
      <c r="BE778" s="77">
        <f t="shared" si="54"/>
        <v>2</v>
      </c>
      <c r="BF778" s="38"/>
    </row>
    <row r="779" spans="1:58" ht="22.5" hidden="1" customHeight="1">
      <c r="A779" s="33" t="str">
        <f>IF(OR(ISBLANK(E779),ISBLANK(C779)),"",IF(COUNTIF($E$8:E779,E779)&gt;1,"",(MAX($A$7:A778)+1)))</f>
        <v/>
      </c>
      <c r="B779" s="34">
        <f>IF(ISBLANK(C779),"",SUBTOTAL(3,$C$8:C779))</f>
        <v>44</v>
      </c>
      <c r="C779" s="80" t="s">
        <v>1633</v>
      </c>
      <c r="D779" s="50" t="s">
        <v>1634</v>
      </c>
      <c r="E779" s="50" t="s">
        <v>1585</v>
      </c>
      <c r="F779" s="35" t="str">
        <f t="shared" si="52"/>
        <v/>
      </c>
      <c r="G779" s="36" t="str">
        <f t="shared" si="53"/>
        <v>A</v>
      </c>
      <c r="H779" s="51">
        <f t="shared" si="51"/>
        <v>2</v>
      </c>
      <c r="I779" s="51">
        <f t="shared" si="51"/>
        <v>2</v>
      </c>
      <c r="J779" s="51">
        <f t="shared" si="51"/>
        <v>2</v>
      </c>
      <c r="K779" s="37" t="s">
        <v>47</v>
      </c>
      <c r="L779" s="37"/>
      <c r="M779" s="37"/>
      <c r="N779" s="37"/>
      <c r="O779" s="37" t="s">
        <v>47</v>
      </c>
      <c r="P779" s="37"/>
      <c r="Q779" s="37" t="s">
        <v>47</v>
      </c>
      <c r="R779" s="37"/>
      <c r="S779" s="37"/>
      <c r="T779" s="37"/>
      <c r="U779" s="37" t="s">
        <v>47</v>
      </c>
      <c r="V779" s="37"/>
      <c r="W779" s="37"/>
      <c r="X779" s="37"/>
      <c r="Y779" s="37" t="s">
        <v>47</v>
      </c>
      <c r="Z779" s="37"/>
      <c r="AA779" s="37"/>
      <c r="AB779" s="37" t="s">
        <v>47</v>
      </c>
      <c r="AC779" s="37"/>
      <c r="AD779" s="37"/>
      <c r="AE779" s="37"/>
      <c r="AF779" s="37"/>
      <c r="AG779" s="37"/>
      <c r="AH779" s="37"/>
      <c r="AI779" s="37"/>
      <c r="AJ779" s="37"/>
      <c r="AK779" s="37"/>
      <c r="AM779" s="38"/>
      <c r="AN779" s="38"/>
      <c r="AO779" s="38"/>
      <c r="AP779" s="38"/>
      <c r="AQ779" s="38"/>
      <c r="AR779" s="38"/>
      <c r="AS779" s="38"/>
      <c r="AT779" s="38"/>
      <c r="AU779" s="38"/>
      <c r="AV779" s="38"/>
      <c r="AW779" s="38"/>
      <c r="AX779" s="38"/>
      <c r="AY779" s="38"/>
      <c r="AZ779" s="38" t="s">
        <v>47</v>
      </c>
      <c r="BA779" s="38"/>
      <c r="BB779" s="38"/>
      <c r="BC779" s="38"/>
      <c r="BD779" s="38"/>
      <c r="BE779" s="77">
        <f t="shared" si="54"/>
        <v>1</v>
      </c>
      <c r="BF779" s="38"/>
    </row>
    <row r="780" spans="1:58" ht="22.5" hidden="1" customHeight="1">
      <c r="A780" s="33" t="str">
        <f>IF(OR(ISBLANK(E780),ISBLANK(C780)),"",IF(COUNTIF($E$8:E780,E780)&gt;1,"",(MAX($A$7:A779)+1)))</f>
        <v/>
      </c>
      <c r="B780" s="34">
        <f>IF(ISBLANK(C780),"",SUBTOTAL(3,$C$8:C780))</f>
        <v>44</v>
      </c>
      <c r="C780" s="81" t="s">
        <v>1635</v>
      </c>
      <c r="D780" s="50" t="s">
        <v>1636</v>
      </c>
      <c r="E780" s="50" t="s">
        <v>1585</v>
      </c>
      <c r="F780" s="35" t="str">
        <f t="shared" si="52"/>
        <v/>
      </c>
      <c r="G780" s="36" t="str">
        <f t="shared" si="53"/>
        <v>C</v>
      </c>
      <c r="H780" s="51">
        <f t="shared" si="51"/>
        <v>1</v>
      </c>
      <c r="I780" s="51" t="str">
        <f t="shared" si="51"/>
        <v/>
      </c>
      <c r="J780" s="51">
        <f t="shared" si="51"/>
        <v>5</v>
      </c>
      <c r="K780" s="37"/>
      <c r="L780" s="37"/>
      <c r="M780" s="37" t="s">
        <v>47</v>
      </c>
      <c r="N780" s="37"/>
      <c r="O780" s="37"/>
      <c r="P780" s="37" t="s">
        <v>47</v>
      </c>
      <c r="Q780" s="37" t="s">
        <v>47</v>
      </c>
      <c r="R780" s="37"/>
      <c r="S780" s="37"/>
      <c r="T780" s="37"/>
      <c r="U780" s="37"/>
      <c r="V780" s="37" t="s">
        <v>47</v>
      </c>
      <c r="W780" s="37"/>
      <c r="X780" s="37"/>
      <c r="Y780" s="37" t="s">
        <v>47</v>
      </c>
      <c r="Z780" s="37"/>
      <c r="AA780" s="37"/>
      <c r="AB780" s="37" t="s">
        <v>47</v>
      </c>
      <c r="AC780" s="37"/>
      <c r="AD780" s="37"/>
      <c r="AE780" s="37"/>
      <c r="AF780" s="37"/>
      <c r="AG780" s="37"/>
      <c r="AH780" s="37"/>
      <c r="AI780" s="37"/>
      <c r="AJ780" s="37"/>
      <c r="AK780" s="37"/>
      <c r="AM780" s="38"/>
      <c r="AN780" s="38"/>
      <c r="AO780" s="38"/>
      <c r="AP780" s="38"/>
      <c r="AQ780" s="38"/>
      <c r="AR780" s="38"/>
      <c r="AS780" s="38"/>
      <c r="AT780" s="38"/>
      <c r="AU780" s="38"/>
      <c r="AV780" s="38"/>
      <c r="AW780" s="38"/>
      <c r="AX780" s="38" t="s">
        <v>47</v>
      </c>
      <c r="AY780" s="38"/>
      <c r="AZ780" s="38"/>
      <c r="BA780" s="38"/>
      <c r="BB780" s="38"/>
      <c r="BC780" s="38"/>
      <c r="BD780" s="38"/>
      <c r="BE780" s="77">
        <f t="shared" si="54"/>
        <v>1</v>
      </c>
      <c r="BF780" s="38"/>
    </row>
    <row r="781" spans="1:58" ht="22.5" hidden="1" customHeight="1">
      <c r="A781" s="33" t="str">
        <f>IF(OR(ISBLANK(E781),ISBLANK(C781)),"",IF(COUNTIF($E$8:E781,E781)&gt;1,"",(MAX($A$7:A780)+1)))</f>
        <v/>
      </c>
      <c r="B781" s="34">
        <f>IF(ISBLANK(C781),"",SUBTOTAL(3,$C$8:C781))</f>
        <v>44</v>
      </c>
      <c r="C781" s="81" t="s">
        <v>1637</v>
      </c>
      <c r="D781" s="50" t="s">
        <v>1638</v>
      </c>
      <c r="E781" s="50" t="s">
        <v>1585</v>
      </c>
      <c r="F781" s="35" t="str">
        <f t="shared" si="52"/>
        <v/>
      </c>
      <c r="G781" s="36" t="str">
        <f t="shared" si="53"/>
        <v>D</v>
      </c>
      <c r="H781" s="51" t="str">
        <f t="shared" si="51"/>
        <v/>
      </c>
      <c r="I781" s="51">
        <f t="shared" si="51"/>
        <v>1</v>
      </c>
      <c r="J781" s="51">
        <f t="shared" si="51"/>
        <v>5</v>
      </c>
      <c r="K781" s="37"/>
      <c r="L781" s="37"/>
      <c r="M781" s="37" t="s">
        <v>47</v>
      </c>
      <c r="N781" s="37"/>
      <c r="O781" s="37"/>
      <c r="P781" s="37" t="s">
        <v>47</v>
      </c>
      <c r="Q781" s="37"/>
      <c r="R781" s="37" t="s">
        <v>47</v>
      </c>
      <c r="S781" s="37"/>
      <c r="T781" s="37"/>
      <c r="U781" s="37"/>
      <c r="V781" s="37" t="s">
        <v>47</v>
      </c>
      <c r="W781" s="37"/>
      <c r="X781" s="37"/>
      <c r="Y781" s="37" t="s">
        <v>47</v>
      </c>
      <c r="Z781" s="37"/>
      <c r="AA781" s="37"/>
      <c r="AB781" s="37" t="s">
        <v>47</v>
      </c>
      <c r="AC781" s="37"/>
      <c r="AD781" s="37"/>
      <c r="AE781" s="37"/>
      <c r="AF781" s="37"/>
      <c r="AG781" s="37"/>
      <c r="AH781" s="37"/>
      <c r="AI781" s="37"/>
      <c r="AJ781" s="37"/>
      <c r="AK781" s="37"/>
      <c r="AM781" s="38"/>
      <c r="AN781" s="38"/>
      <c r="AO781" s="38"/>
      <c r="AP781" s="38"/>
      <c r="AQ781" s="38"/>
      <c r="AR781" s="38"/>
      <c r="AS781" s="38"/>
      <c r="AT781" s="38"/>
      <c r="AU781" s="38"/>
      <c r="AV781" s="38"/>
      <c r="AW781" s="38" t="s">
        <v>47</v>
      </c>
      <c r="AX781" s="38"/>
      <c r="AY781" s="38"/>
      <c r="AZ781" s="38"/>
      <c r="BA781" s="38"/>
      <c r="BB781" s="38"/>
      <c r="BC781" s="38"/>
      <c r="BD781" s="38"/>
      <c r="BE781" s="77">
        <f t="shared" si="54"/>
        <v>1</v>
      </c>
      <c r="BF781" s="38"/>
    </row>
    <row r="782" spans="1:58" ht="22.5" hidden="1" customHeight="1">
      <c r="A782" s="33" t="str">
        <f>IF(OR(ISBLANK(E782),ISBLANK(C782)),"",IF(COUNTIF($E$8:E782,E782)&gt;1,"",(MAX($A$7:A781)+1)))</f>
        <v/>
      </c>
      <c r="B782" s="34">
        <f>IF(ISBLANK(C782),"",SUBTOTAL(3,$C$8:C782))</f>
        <v>44</v>
      </c>
      <c r="C782" s="80" t="s">
        <v>1639</v>
      </c>
      <c r="D782" s="50" t="s">
        <v>1640</v>
      </c>
      <c r="E782" s="50" t="s">
        <v>1585</v>
      </c>
      <c r="F782" s="35" t="str">
        <f t="shared" si="52"/>
        <v/>
      </c>
      <c r="G782" s="36" t="str">
        <f t="shared" si="53"/>
        <v>B</v>
      </c>
      <c r="H782" s="51">
        <f t="shared" si="51"/>
        <v>1</v>
      </c>
      <c r="I782" s="51">
        <f t="shared" si="51"/>
        <v>3</v>
      </c>
      <c r="J782" s="51" t="str">
        <f t="shared" si="51"/>
        <v/>
      </c>
      <c r="K782" s="37"/>
      <c r="L782" s="37" t="s">
        <v>47</v>
      </c>
      <c r="M782" s="37"/>
      <c r="N782" s="37"/>
      <c r="O782" s="37"/>
      <c r="P782" s="37"/>
      <c r="Q782" s="37" t="s">
        <v>47</v>
      </c>
      <c r="R782" s="37"/>
      <c r="S782" s="37"/>
      <c r="T782" s="37"/>
      <c r="U782" s="37" t="s">
        <v>47</v>
      </c>
      <c r="V782" s="37"/>
      <c r="W782" s="37"/>
      <c r="X782" s="37" t="s">
        <v>47</v>
      </c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  <c r="AI782" s="37"/>
      <c r="AJ782" s="37"/>
      <c r="AK782" s="37"/>
      <c r="AM782" s="38"/>
      <c r="AN782" s="38"/>
      <c r="AO782" s="38"/>
      <c r="AP782" s="38"/>
      <c r="AQ782" s="38"/>
      <c r="AR782" s="38"/>
      <c r="AS782" s="38" t="s">
        <v>47</v>
      </c>
      <c r="AT782" s="38"/>
      <c r="AU782" s="38"/>
      <c r="AV782" s="38"/>
      <c r="AW782" s="38" t="s">
        <v>47</v>
      </c>
      <c r="AX782" s="38"/>
      <c r="AY782" s="38"/>
      <c r="AZ782" s="38"/>
      <c r="BA782" s="38"/>
      <c r="BB782" s="38"/>
      <c r="BC782" s="38"/>
      <c r="BD782" s="38"/>
      <c r="BE782" s="77">
        <f t="shared" si="54"/>
        <v>2</v>
      </c>
      <c r="BF782" s="38"/>
    </row>
    <row r="783" spans="1:58" ht="22.5" hidden="1" customHeight="1">
      <c r="A783" s="33" t="str">
        <f>IF(OR(ISBLANK(E783),ISBLANK(C783)),"",IF(COUNTIF($E$8:E783,E783)&gt;1,"",(MAX($A$7:A782)+1)))</f>
        <v/>
      </c>
      <c r="B783" s="34">
        <f>IF(ISBLANK(C783),"",SUBTOTAL(3,$C$8:C783))</f>
        <v>44</v>
      </c>
      <c r="C783" s="81" t="s">
        <v>1641</v>
      </c>
      <c r="D783" s="50" t="s">
        <v>1642</v>
      </c>
      <c r="E783" s="50" t="s">
        <v>1585</v>
      </c>
      <c r="F783" s="35" t="str">
        <f t="shared" si="52"/>
        <v/>
      </c>
      <c r="G783" s="36" t="str">
        <f t="shared" si="53"/>
        <v>B</v>
      </c>
      <c r="H783" s="51">
        <f t="shared" si="51"/>
        <v>1</v>
      </c>
      <c r="I783" s="51">
        <f t="shared" si="51"/>
        <v>3</v>
      </c>
      <c r="J783" s="51">
        <f t="shared" si="51"/>
        <v>2</v>
      </c>
      <c r="K783" s="37"/>
      <c r="L783" s="37" t="s">
        <v>47</v>
      </c>
      <c r="M783" s="37"/>
      <c r="N783" s="37"/>
      <c r="O783" s="37" t="s">
        <v>47</v>
      </c>
      <c r="P783" s="37"/>
      <c r="Q783" s="37"/>
      <c r="R783" s="37" t="s">
        <v>47</v>
      </c>
      <c r="S783" s="37"/>
      <c r="T783" s="37" t="s">
        <v>47</v>
      </c>
      <c r="U783" s="37"/>
      <c r="V783" s="37"/>
      <c r="W783" s="37"/>
      <c r="X783" s="37"/>
      <c r="Y783" s="37" t="s">
        <v>47</v>
      </c>
      <c r="Z783" s="37"/>
      <c r="AA783" s="37"/>
      <c r="AB783" s="37" t="s">
        <v>47</v>
      </c>
      <c r="AC783" s="37"/>
      <c r="AD783" s="37"/>
      <c r="AE783" s="37"/>
      <c r="AF783" s="37"/>
      <c r="AG783" s="37"/>
      <c r="AH783" s="37"/>
      <c r="AI783" s="37"/>
      <c r="AJ783" s="37"/>
      <c r="AK783" s="37"/>
      <c r="AM783" s="38"/>
      <c r="AN783" s="38"/>
      <c r="AO783" s="38"/>
      <c r="AP783" s="38"/>
      <c r="AQ783" s="38"/>
      <c r="AR783" s="38"/>
      <c r="AS783" s="38" t="s">
        <v>47</v>
      </c>
      <c r="AT783" s="38"/>
      <c r="AU783" s="38"/>
      <c r="AV783" s="38"/>
      <c r="AW783" s="38" t="s">
        <v>47</v>
      </c>
      <c r="AX783" s="38"/>
      <c r="AY783" s="38"/>
      <c r="AZ783" s="38"/>
      <c r="BA783" s="38"/>
      <c r="BB783" s="38"/>
      <c r="BC783" s="38"/>
      <c r="BD783" s="38"/>
      <c r="BE783" s="77">
        <f t="shared" si="54"/>
        <v>2</v>
      </c>
      <c r="BF783" s="38"/>
    </row>
    <row r="784" spans="1:58" ht="22.5" hidden="1" customHeight="1">
      <c r="A784" s="33" t="str">
        <f>IF(OR(ISBLANK(E784),ISBLANK(C784)),"",IF(COUNTIF($E$8:E784,E784)&gt;1,"",(MAX($A$7:A783)+1)))</f>
        <v/>
      </c>
      <c r="B784" s="34">
        <f>IF(ISBLANK(C784),"",SUBTOTAL(3,$C$8:C784))</f>
        <v>44</v>
      </c>
      <c r="C784" s="81" t="s">
        <v>1643</v>
      </c>
      <c r="D784" s="50" t="s">
        <v>1644</v>
      </c>
      <c r="E784" s="50" t="s">
        <v>1585</v>
      </c>
      <c r="F784" s="35" t="str">
        <f t="shared" si="52"/>
        <v/>
      </c>
      <c r="G784" s="36" t="str">
        <f t="shared" si="53"/>
        <v>C</v>
      </c>
      <c r="H784" s="51" t="str">
        <f t="shared" si="51"/>
        <v/>
      </c>
      <c r="I784" s="51">
        <f t="shared" si="51"/>
        <v>2</v>
      </c>
      <c r="J784" s="51">
        <f t="shared" si="51"/>
        <v>4</v>
      </c>
      <c r="K784" s="37"/>
      <c r="L784" s="37" t="s">
        <v>47</v>
      </c>
      <c r="M784" s="37"/>
      <c r="N784" s="37"/>
      <c r="O784" s="37"/>
      <c r="P784" s="37" t="s">
        <v>47</v>
      </c>
      <c r="Q784" s="37"/>
      <c r="R784" s="37"/>
      <c r="S784" s="37" t="s">
        <v>47</v>
      </c>
      <c r="T784" s="37"/>
      <c r="U784" s="37" t="s">
        <v>47</v>
      </c>
      <c r="V784" s="37"/>
      <c r="W784" s="37"/>
      <c r="X784" s="37"/>
      <c r="Y784" s="37" t="s">
        <v>47</v>
      </c>
      <c r="Z784" s="37"/>
      <c r="AA784" s="37"/>
      <c r="AB784" s="37" t="s">
        <v>47</v>
      </c>
      <c r="AC784" s="37"/>
      <c r="AD784" s="37"/>
      <c r="AE784" s="37"/>
      <c r="AF784" s="37"/>
      <c r="AG784" s="37"/>
      <c r="AH784" s="37"/>
      <c r="AI784" s="37"/>
      <c r="AJ784" s="37"/>
      <c r="AK784" s="37"/>
      <c r="AM784" s="38"/>
      <c r="AN784" s="38"/>
      <c r="AO784" s="38"/>
      <c r="AP784" s="38"/>
      <c r="AQ784" s="38"/>
      <c r="AR784" s="38" t="s">
        <v>47</v>
      </c>
      <c r="AS784" s="38"/>
      <c r="AT784" s="38"/>
      <c r="AU784" s="38"/>
      <c r="AV784" s="38"/>
      <c r="AW784" s="38"/>
      <c r="AX784" s="38"/>
      <c r="AY784" s="38"/>
      <c r="AZ784" s="38"/>
      <c r="BA784" s="38"/>
      <c r="BB784" s="38"/>
      <c r="BC784" s="38"/>
      <c r="BD784" s="38"/>
      <c r="BE784" s="77">
        <f t="shared" si="54"/>
        <v>1</v>
      </c>
      <c r="BF784" s="38"/>
    </row>
    <row r="785" spans="1:58" ht="22.5" hidden="1" customHeight="1">
      <c r="A785" s="33" t="str">
        <f>IF(OR(ISBLANK(E785),ISBLANK(C785)),"",IF(COUNTIF($E$8:E785,E785)&gt;1,"",(MAX($A$7:A784)+1)))</f>
        <v/>
      </c>
      <c r="B785" s="34">
        <f>IF(ISBLANK(C785),"",SUBTOTAL(3,$C$8:C785))</f>
        <v>44</v>
      </c>
      <c r="C785" s="83" t="s">
        <v>1645</v>
      </c>
      <c r="D785" s="50" t="s">
        <v>1646</v>
      </c>
      <c r="E785" s="50" t="s">
        <v>1585</v>
      </c>
      <c r="F785" s="35" t="str">
        <f t="shared" si="52"/>
        <v/>
      </c>
      <c r="G785" s="36" t="str">
        <f t="shared" si="53"/>
        <v/>
      </c>
      <c r="H785" s="51" t="str">
        <f t="shared" si="51"/>
        <v/>
      </c>
      <c r="I785" s="51" t="str">
        <f t="shared" si="51"/>
        <v/>
      </c>
      <c r="J785" s="51" t="str">
        <f t="shared" si="51"/>
        <v/>
      </c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  <c r="AJ785" s="37"/>
      <c r="AK785" s="37"/>
      <c r="AM785" s="38"/>
      <c r="AN785" s="38"/>
      <c r="AO785" s="38"/>
      <c r="AP785" s="38"/>
      <c r="AQ785" s="38"/>
      <c r="AR785" s="38"/>
      <c r="AS785" s="38"/>
      <c r="AT785" s="38"/>
      <c r="AU785" s="38"/>
      <c r="AV785" s="38"/>
      <c r="AW785" s="38"/>
      <c r="AX785" s="38"/>
      <c r="AY785" s="38"/>
      <c r="AZ785" s="38"/>
      <c r="BA785" s="38"/>
      <c r="BB785" s="38"/>
      <c r="BC785" s="38"/>
      <c r="BD785" s="38"/>
      <c r="BE785" s="77">
        <f t="shared" si="54"/>
        <v>0</v>
      </c>
      <c r="BF785" s="38"/>
    </row>
    <row r="786" spans="1:58" ht="22.5" hidden="1" customHeight="1">
      <c r="A786" s="33">
        <f>IF(OR(ISBLANK(E786),ISBLANK(C786)),"",IF(COUNTIF($E$8:E786,E786)&gt;1,"",(MAX($A$7:A785)+1)))</f>
        <v>21</v>
      </c>
      <c r="B786" s="34">
        <f>IF(ISBLANK(C786),"",SUBTOTAL(3,$C$8:C786))</f>
        <v>44</v>
      </c>
      <c r="C786" s="83" t="s">
        <v>1647</v>
      </c>
      <c r="D786" s="50" t="s">
        <v>1648</v>
      </c>
      <c r="E786" s="50" t="s">
        <v>1649</v>
      </c>
      <c r="F786" s="35" t="str">
        <f t="shared" si="52"/>
        <v/>
      </c>
      <c r="G786" s="36" t="str">
        <f t="shared" si="53"/>
        <v/>
      </c>
      <c r="H786" s="51" t="str">
        <f t="shared" si="51"/>
        <v/>
      </c>
      <c r="I786" s="51" t="str">
        <f t="shared" si="51"/>
        <v/>
      </c>
      <c r="J786" s="51" t="str">
        <f t="shared" si="51"/>
        <v/>
      </c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M786" s="38"/>
      <c r="AN786" s="38"/>
      <c r="AO786" s="38"/>
      <c r="AP786" s="38"/>
      <c r="AQ786" s="38"/>
      <c r="AR786" s="38"/>
      <c r="AS786" s="38"/>
      <c r="AT786" s="38"/>
      <c r="AU786" s="38"/>
      <c r="AV786" s="38"/>
      <c r="AW786" s="38"/>
      <c r="AX786" s="38"/>
      <c r="AY786" s="38"/>
      <c r="AZ786" s="38"/>
      <c r="BA786" s="38"/>
      <c r="BB786" s="38"/>
      <c r="BC786" s="38"/>
      <c r="BD786" s="38"/>
      <c r="BE786" s="77">
        <f t="shared" si="54"/>
        <v>0</v>
      </c>
      <c r="BF786" s="38"/>
    </row>
    <row r="787" spans="1:58" ht="22.5" hidden="1" customHeight="1">
      <c r="A787" s="33" t="str">
        <f>IF(OR(ISBLANK(E787),ISBLANK(C787)),"",IF(COUNTIF($E$8:E787,E787)&gt;1,"",(MAX($A$7:A786)+1)))</f>
        <v/>
      </c>
      <c r="B787" s="34">
        <f>IF(ISBLANK(C787),"",SUBTOTAL(3,$C$8:C787))</f>
        <v>44</v>
      </c>
      <c r="C787" s="83" t="s">
        <v>1650</v>
      </c>
      <c r="D787" s="50" t="s">
        <v>602</v>
      </c>
      <c r="E787" s="50" t="s">
        <v>1649</v>
      </c>
      <c r="F787" s="35" t="str">
        <f t="shared" si="52"/>
        <v/>
      </c>
      <c r="G787" s="36" t="str">
        <f t="shared" si="53"/>
        <v/>
      </c>
      <c r="H787" s="51" t="str">
        <f t="shared" si="51"/>
        <v/>
      </c>
      <c r="I787" s="51" t="str">
        <f t="shared" si="51"/>
        <v/>
      </c>
      <c r="J787" s="51" t="str">
        <f t="shared" si="51"/>
        <v/>
      </c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M787" s="38"/>
      <c r="AN787" s="38"/>
      <c r="AO787" s="38"/>
      <c r="AP787" s="38"/>
      <c r="AQ787" s="38"/>
      <c r="AR787" s="38"/>
      <c r="AS787" s="38"/>
      <c r="AT787" s="38"/>
      <c r="AU787" s="38"/>
      <c r="AV787" s="38"/>
      <c r="AW787" s="38"/>
      <c r="AX787" s="38"/>
      <c r="AY787" s="38"/>
      <c r="AZ787" s="38"/>
      <c r="BA787" s="38"/>
      <c r="BB787" s="38"/>
      <c r="BC787" s="38"/>
      <c r="BD787" s="38"/>
      <c r="BE787" s="77">
        <f t="shared" si="54"/>
        <v>0</v>
      </c>
      <c r="BF787" s="38"/>
    </row>
    <row r="788" spans="1:58" ht="22.5" hidden="1" customHeight="1">
      <c r="A788" s="33" t="str">
        <f>IF(OR(ISBLANK(E788),ISBLANK(C788)),"",IF(COUNTIF($E$8:E788,E788)&gt;1,"",(MAX($A$7:A787)+1)))</f>
        <v/>
      </c>
      <c r="B788" s="34">
        <f>IF(ISBLANK(C788),"",SUBTOTAL(3,$C$8:C788))</f>
        <v>44</v>
      </c>
      <c r="C788" s="83" t="s">
        <v>1651</v>
      </c>
      <c r="D788" s="50" t="s">
        <v>1652</v>
      </c>
      <c r="E788" s="50" t="s">
        <v>1649</v>
      </c>
      <c r="F788" s="35" t="str">
        <f t="shared" si="52"/>
        <v/>
      </c>
      <c r="G788" s="36" t="str">
        <f t="shared" si="53"/>
        <v/>
      </c>
      <c r="H788" s="51" t="str">
        <f t="shared" si="51"/>
        <v/>
      </c>
      <c r="I788" s="51" t="str">
        <f t="shared" si="51"/>
        <v/>
      </c>
      <c r="J788" s="51" t="str">
        <f t="shared" si="51"/>
        <v/>
      </c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  <c r="AJ788" s="37"/>
      <c r="AK788" s="37"/>
      <c r="AM788" s="38"/>
      <c r="AN788" s="38"/>
      <c r="AO788" s="38"/>
      <c r="AP788" s="38"/>
      <c r="AQ788" s="38"/>
      <c r="AR788" s="38"/>
      <c r="AS788" s="38"/>
      <c r="AT788" s="38"/>
      <c r="AU788" s="38"/>
      <c r="AV788" s="38"/>
      <c r="AW788" s="38"/>
      <c r="AX788" s="38"/>
      <c r="AY788" s="38"/>
      <c r="AZ788" s="38"/>
      <c r="BA788" s="38"/>
      <c r="BB788" s="38"/>
      <c r="BC788" s="38"/>
      <c r="BD788" s="38"/>
      <c r="BE788" s="77">
        <f t="shared" si="54"/>
        <v>0</v>
      </c>
      <c r="BF788" s="38"/>
    </row>
    <row r="789" spans="1:58" ht="22.5" hidden="1" customHeight="1">
      <c r="A789" s="33" t="str">
        <f>IF(OR(ISBLANK(E789),ISBLANK(C789)),"",IF(COUNTIF($E$8:E789,E789)&gt;1,"",(MAX($A$7:A788)+1)))</f>
        <v/>
      </c>
      <c r="B789" s="34">
        <f>IF(ISBLANK(C789),"",SUBTOTAL(3,$C$8:C789))</f>
        <v>44</v>
      </c>
      <c r="C789" s="79" t="s">
        <v>1653</v>
      </c>
      <c r="D789" s="50" t="s">
        <v>1654</v>
      </c>
      <c r="E789" s="50" t="s">
        <v>1649</v>
      </c>
      <c r="F789" s="35" t="str">
        <f t="shared" si="52"/>
        <v/>
      </c>
      <c r="G789" s="36" t="str">
        <f t="shared" si="53"/>
        <v/>
      </c>
      <c r="H789" s="51" t="str">
        <f t="shared" si="51"/>
        <v/>
      </c>
      <c r="I789" s="51" t="str">
        <f t="shared" si="51"/>
        <v/>
      </c>
      <c r="J789" s="51" t="str">
        <f t="shared" si="51"/>
        <v/>
      </c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  <c r="AJ789" s="37"/>
      <c r="AK789" s="37"/>
      <c r="AM789" s="38"/>
      <c r="AN789" s="38"/>
      <c r="AO789" s="38"/>
      <c r="AP789" s="38"/>
      <c r="AQ789" s="38"/>
      <c r="AR789" s="38"/>
      <c r="AS789" s="38"/>
      <c r="AT789" s="38"/>
      <c r="AU789" s="38"/>
      <c r="AV789" s="38"/>
      <c r="AW789" s="38"/>
      <c r="AX789" s="38"/>
      <c r="AY789" s="38"/>
      <c r="AZ789" s="38"/>
      <c r="BA789" s="38"/>
      <c r="BB789" s="38"/>
      <c r="BC789" s="38"/>
      <c r="BD789" s="38"/>
      <c r="BE789" s="77">
        <f t="shared" si="54"/>
        <v>0</v>
      </c>
      <c r="BF789" s="38"/>
    </row>
    <row r="790" spans="1:58" ht="22.5" hidden="1" customHeight="1">
      <c r="A790" s="33" t="str">
        <f>IF(OR(ISBLANK(E790),ISBLANK(C790)),"",IF(COUNTIF($E$8:E790,E790)&gt;1,"",(MAX($A$7:A789)+1)))</f>
        <v/>
      </c>
      <c r="B790" s="34">
        <f>IF(ISBLANK(C790),"",SUBTOTAL(3,$C$8:C790))</f>
        <v>44</v>
      </c>
      <c r="C790" s="83" t="s">
        <v>1655</v>
      </c>
      <c r="D790" s="50" t="s">
        <v>1656</v>
      </c>
      <c r="E790" s="50" t="s">
        <v>1649</v>
      </c>
      <c r="F790" s="35" t="str">
        <f t="shared" si="52"/>
        <v/>
      </c>
      <c r="G790" s="36" t="str">
        <f t="shared" si="53"/>
        <v/>
      </c>
      <c r="H790" s="51" t="str">
        <f t="shared" si="51"/>
        <v/>
      </c>
      <c r="I790" s="51" t="str">
        <f t="shared" si="51"/>
        <v/>
      </c>
      <c r="J790" s="51" t="str">
        <f t="shared" si="51"/>
        <v/>
      </c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M790" s="38"/>
      <c r="AN790" s="38"/>
      <c r="AO790" s="38"/>
      <c r="AP790" s="38"/>
      <c r="AQ790" s="38"/>
      <c r="AR790" s="38"/>
      <c r="AS790" s="38"/>
      <c r="AT790" s="38"/>
      <c r="AU790" s="38"/>
      <c r="AV790" s="38"/>
      <c r="AW790" s="38"/>
      <c r="AX790" s="38"/>
      <c r="AY790" s="38"/>
      <c r="AZ790" s="38"/>
      <c r="BA790" s="38"/>
      <c r="BB790" s="38"/>
      <c r="BC790" s="38"/>
      <c r="BD790" s="38"/>
      <c r="BE790" s="77">
        <f t="shared" si="54"/>
        <v>0</v>
      </c>
      <c r="BF790" s="38"/>
    </row>
    <row r="791" spans="1:58" ht="22.5" hidden="1" customHeight="1">
      <c r="A791" s="33" t="str">
        <f>IF(OR(ISBLANK(E791),ISBLANK(C791)),"",IF(COUNTIF($E$8:E791,E791)&gt;1,"",(MAX($A$7:A790)+1)))</f>
        <v/>
      </c>
      <c r="B791" s="34">
        <f>IF(ISBLANK(C791),"",SUBTOTAL(3,$C$8:C791))</f>
        <v>44</v>
      </c>
      <c r="C791" s="78" t="s">
        <v>1657</v>
      </c>
      <c r="D791" s="50" t="s">
        <v>1658</v>
      </c>
      <c r="E791" s="50" t="s">
        <v>1649</v>
      </c>
      <c r="F791" s="35" t="str">
        <f t="shared" si="52"/>
        <v/>
      </c>
      <c r="G791" s="36" t="str">
        <f t="shared" si="53"/>
        <v/>
      </c>
      <c r="H791" s="51" t="str">
        <f t="shared" si="51"/>
        <v/>
      </c>
      <c r="I791" s="51" t="str">
        <f t="shared" si="51"/>
        <v/>
      </c>
      <c r="J791" s="51" t="str">
        <f t="shared" si="51"/>
        <v/>
      </c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  <c r="AJ791" s="37"/>
      <c r="AK791" s="37"/>
      <c r="AM791" s="38"/>
      <c r="AN791" s="38"/>
      <c r="AO791" s="38"/>
      <c r="AP791" s="38"/>
      <c r="AQ791" s="38"/>
      <c r="AR791" s="38"/>
      <c r="AS791" s="38"/>
      <c r="AT791" s="38"/>
      <c r="AU791" s="38"/>
      <c r="AV791" s="38"/>
      <c r="AW791" s="38"/>
      <c r="AX791" s="38"/>
      <c r="AY791" s="38"/>
      <c r="AZ791" s="38"/>
      <c r="BA791" s="38"/>
      <c r="BB791" s="38"/>
      <c r="BC791" s="38"/>
      <c r="BD791" s="38"/>
      <c r="BE791" s="77">
        <f t="shared" si="54"/>
        <v>0</v>
      </c>
      <c r="BF791" s="38"/>
    </row>
    <row r="792" spans="1:58" ht="22.5" hidden="1" customHeight="1">
      <c r="A792" s="33" t="str">
        <f>IF(OR(ISBLANK(E792),ISBLANK(C792)),"",IF(COUNTIF($E$8:E792,E792)&gt;1,"",(MAX($A$7:A791)+1)))</f>
        <v/>
      </c>
      <c r="B792" s="34">
        <f>IF(ISBLANK(C792),"",SUBTOTAL(3,$C$8:C792))</f>
        <v>44</v>
      </c>
      <c r="C792" s="85" t="s">
        <v>1659</v>
      </c>
      <c r="D792" s="50" t="s">
        <v>1660</v>
      </c>
      <c r="E792" s="50" t="s">
        <v>1649</v>
      </c>
      <c r="F792" s="35" t="str">
        <f t="shared" si="52"/>
        <v/>
      </c>
      <c r="G792" s="36" t="str">
        <f t="shared" si="53"/>
        <v/>
      </c>
      <c r="H792" s="51" t="str">
        <f t="shared" ref="H792:J855" si="55">IF(OR(ISBLANK($C792),COUNTIFS($K792:$AH792,"X",$K$7:$AH$7,H$7)=0,),"",COUNTIFS($K792:$AH792,"X",$K$7:$AH$7,H$7))</f>
        <v/>
      </c>
      <c r="I792" s="51" t="str">
        <f t="shared" si="55"/>
        <v/>
      </c>
      <c r="J792" s="51" t="str">
        <f t="shared" si="55"/>
        <v/>
      </c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  <c r="AJ792" s="37"/>
      <c r="AK792" s="37"/>
      <c r="AM792" s="38"/>
      <c r="AN792" s="38"/>
      <c r="AO792" s="38"/>
      <c r="AP792" s="38"/>
      <c r="AQ792" s="38"/>
      <c r="AR792" s="38"/>
      <c r="AS792" s="38"/>
      <c r="AT792" s="38"/>
      <c r="AU792" s="38"/>
      <c r="AV792" s="38"/>
      <c r="AW792" s="38"/>
      <c r="AX792" s="38"/>
      <c r="AY792" s="38"/>
      <c r="AZ792" s="38"/>
      <c r="BA792" s="38"/>
      <c r="BB792" s="38"/>
      <c r="BC792" s="38"/>
      <c r="BD792" s="38"/>
      <c r="BE792" s="77">
        <f t="shared" si="54"/>
        <v>0</v>
      </c>
      <c r="BF792" s="38"/>
    </row>
    <row r="793" spans="1:58" ht="22.5" hidden="1" customHeight="1">
      <c r="A793" s="33" t="str">
        <f>IF(OR(ISBLANK(E793),ISBLANK(C793)),"",IF(COUNTIF($E$8:E793,E793)&gt;1,"",(MAX($A$7:A792)+1)))</f>
        <v/>
      </c>
      <c r="B793" s="34">
        <f>IF(ISBLANK(C793),"",SUBTOTAL(3,$C$8:C793))</f>
        <v>44</v>
      </c>
      <c r="C793" s="85" t="s">
        <v>1661</v>
      </c>
      <c r="D793" s="50" t="s">
        <v>1662</v>
      </c>
      <c r="E793" s="50" t="s">
        <v>1649</v>
      </c>
      <c r="F793" s="35" t="str">
        <f t="shared" si="52"/>
        <v/>
      </c>
      <c r="G793" s="36" t="str">
        <f t="shared" si="53"/>
        <v/>
      </c>
      <c r="H793" s="51" t="str">
        <f t="shared" si="55"/>
        <v/>
      </c>
      <c r="I793" s="51" t="str">
        <f t="shared" si="55"/>
        <v/>
      </c>
      <c r="J793" s="51" t="str">
        <f t="shared" si="55"/>
        <v/>
      </c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  <c r="AI793" s="37"/>
      <c r="AJ793" s="37"/>
      <c r="AK793" s="37"/>
      <c r="AM793" s="38"/>
      <c r="AN793" s="38"/>
      <c r="AO793" s="38"/>
      <c r="AP793" s="38"/>
      <c r="AQ793" s="38"/>
      <c r="AR793" s="38"/>
      <c r="AS793" s="38"/>
      <c r="AT793" s="38"/>
      <c r="AU793" s="38"/>
      <c r="AV793" s="38"/>
      <c r="AW793" s="38"/>
      <c r="AX793" s="38"/>
      <c r="AY793" s="38"/>
      <c r="AZ793" s="38"/>
      <c r="BA793" s="38"/>
      <c r="BB793" s="38"/>
      <c r="BC793" s="38"/>
      <c r="BD793" s="38"/>
      <c r="BE793" s="77">
        <f t="shared" si="54"/>
        <v>0</v>
      </c>
      <c r="BF793" s="38"/>
    </row>
    <row r="794" spans="1:58" ht="22.5" hidden="1" customHeight="1">
      <c r="A794" s="33" t="str">
        <f>IF(OR(ISBLANK(E794),ISBLANK(C794)),"",IF(COUNTIF($E$8:E794,E794)&gt;1,"",(MAX($A$7:A793)+1)))</f>
        <v/>
      </c>
      <c r="B794" s="34">
        <f>IF(ISBLANK(C794),"",SUBTOTAL(3,$C$8:C794))</f>
        <v>44</v>
      </c>
      <c r="C794" s="85" t="s">
        <v>1663</v>
      </c>
      <c r="D794" s="50" t="s">
        <v>1664</v>
      </c>
      <c r="E794" s="50" t="s">
        <v>1649</v>
      </c>
      <c r="F794" s="35" t="str">
        <f t="shared" si="52"/>
        <v/>
      </c>
      <c r="G794" s="36" t="str">
        <f t="shared" si="53"/>
        <v/>
      </c>
      <c r="H794" s="51" t="str">
        <f t="shared" si="55"/>
        <v/>
      </c>
      <c r="I794" s="51" t="str">
        <f t="shared" si="55"/>
        <v/>
      </c>
      <c r="J794" s="51" t="str">
        <f t="shared" si="55"/>
        <v/>
      </c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  <c r="AJ794" s="37"/>
      <c r="AK794" s="37"/>
      <c r="AM794" s="38"/>
      <c r="AN794" s="38"/>
      <c r="AO794" s="38"/>
      <c r="AP794" s="38"/>
      <c r="AQ794" s="38"/>
      <c r="AR794" s="38"/>
      <c r="AS794" s="38"/>
      <c r="AT794" s="38"/>
      <c r="AU794" s="38"/>
      <c r="AV794" s="38"/>
      <c r="AW794" s="38"/>
      <c r="AX794" s="38"/>
      <c r="AY794" s="38"/>
      <c r="AZ794" s="38"/>
      <c r="BA794" s="38"/>
      <c r="BB794" s="38"/>
      <c r="BC794" s="38"/>
      <c r="BD794" s="38"/>
      <c r="BE794" s="77">
        <f t="shared" si="54"/>
        <v>0</v>
      </c>
      <c r="BF794" s="38"/>
    </row>
    <row r="795" spans="1:58" ht="22.5" hidden="1" customHeight="1">
      <c r="A795" s="33" t="str">
        <f>IF(OR(ISBLANK(E795),ISBLANK(C795)),"",IF(COUNTIF($E$8:E795,E795)&gt;1,"",(MAX($A$7:A794)+1)))</f>
        <v/>
      </c>
      <c r="B795" s="34">
        <f>IF(ISBLANK(C795),"",SUBTOTAL(3,$C$8:C795))</f>
        <v>44</v>
      </c>
      <c r="C795" s="81" t="s">
        <v>1665</v>
      </c>
      <c r="D795" s="50" t="s">
        <v>1666</v>
      </c>
      <c r="E795" s="50" t="s">
        <v>1649</v>
      </c>
      <c r="F795" s="35" t="str">
        <f t="shared" si="52"/>
        <v/>
      </c>
      <c r="G795" s="36" t="str">
        <f t="shared" si="53"/>
        <v/>
      </c>
      <c r="H795" s="51" t="str">
        <f t="shared" si="55"/>
        <v/>
      </c>
      <c r="I795" s="51" t="str">
        <f t="shared" si="55"/>
        <v/>
      </c>
      <c r="J795" s="51" t="str">
        <f t="shared" si="55"/>
        <v/>
      </c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  <c r="AJ795" s="37"/>
      <c r="AK795" s="37"/>
      <c r="AM795" s="38"/>
      <c r="AN795" s="38"/>
      <c r="AO795" s="38"/>
      <c r="AP795" s="38"/>
      <c r="AQ795" s="38"/>
      <c r="AR795" s="38"/>
      <c r="AS795" s="38"/>
      <c r="AT795" s="38"/>
      <c r="AU795" s="38"/>
      <c r="AV795" s="38"/>
      <c r="AW795" s="38"/>
      <c r="AX795" s="38"/>
      <c r="AY795" s="38"/>
      <c r="AZ795" s="38"/>
      <c r="BA795" s="38"/>
      <c r="BB795" s="38"/>
      <c r="BC795" s="38"/>
      <c r="BD795" s="38"/>
      <c r="BE795" s="77">
        <f t="shared" si="54"/>
        <v>0</v>
      </c>
      <c r="BF795" s="38"/>
    </row>
    <row r="796" spans="1:58" ht="22.5" hidden="1" customHeight="1">
      <c r="A796" s="33" t="str">
        <f>IF(OR(ISBLANK(E796),ISBLANK(C796)),"",IF(COUNTIF($E$8:E796,E796)&gt;1,"",(MAX($A$7:A795)+1)))</f>
        <v/>
      </c>
      <c r="B796" s="34">
        <f>IF(ISBLANK(C796),"",SUBTOTAL(3,$C$8:C796))</f>
        <v>44</v>
      </c>
      <c r="C796" s="85" t="s">
        <v>1667</v>
      </c>
      <c r="D796" s="50" t="s">
        <v>1668</v>
      </c>
      <c r="E796" s="50" t="s">
        <v>1649</v>
      </c>
      <c r="F796" s="35" t="str">
        <f t="shared" si="52"/>
        <v/>
      </c>
      <c r="G796" s="36" t="str">
        <f t="shared" si="53"/>
        <v/>
      </c>
      <c r="H796" s="51" t="str">
        <f t="shared" si="55"/>
        <v/>
      </c>
      <c r="I796" s="51" t="str">
        <f t="shared" si="55"/>
        <v/>
      </c>
      <c r="J796" s="51" t="str">
        <f t="shared" si="55"/>
        <v/>
      </c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7"/>
      <c r="AK796" s="37"/>
      <c r="AM796" s="38"/>
      <c r="AN796" s="38"/>
      <c r="AO796" s="38"/>
      <c r="AP796" s="38"/>
      <c r="AQ796" s="38"/>
      <c r="AR796" s="38"/>
      <c r="AS796" s="38"/>
      <c r="AT796" s="38"/>
      <c r="AU796" s="38"/>
      <c r="AV796" s="38"/>
      <c r="AW796" s="38"/>
      <c r="AX796" s="38"/>
      <c r="AY796" s="38"/>
      <c r="AZ796" s="38"/>
      <c r="BA796" s="38"/>
      <c r="BB796" s="38"/>
      <c r="BC796" s="38"/>
      <c r="BD796" s="38"/>
      <c r="BE796" s="77">
        <f t="shared" si="54"/>
        <v>0</v>
      </c>
      <c r="BF796" s="38"/>
    </row>
    <row r="797" spans="1:58" ht="22.5" hidden="1" customHeight="1">
      <c r="A797" s="33" t="str">
        <f>IF(OR(ISBLANK(E797),ISBLANK(C797)),"",IF(COUNTIF($E$8:E797,E797)&gt;1,"",(MAX($A$7:A796)+1)))</f>
        <v/>
      </c>
      <c r="B797" s="34">
        <f>IF(ISBLANK(C797),"",SUBTOTAL(3,$C$8:C797))</f>
        <v>44</v>
      </c>
      <c r="C797" s="85" t="s">
        <v>1669</v>
      </c>
      <c r="D797" s="50" t="s">
        <v>1670</v>
      </c>
      <c r="E797" s="50" t="s">
        <v>1649</v>
      </c>
      <c r="F797" s="35" t="str">
        <f t="shared" si="52"/>
        <v/>
      </c>
      <c r="G797" s="36" t="str">
        <f t="shared" si="53"/>
        <v/>
      </c>
      <c r="H797" s="51" t="str">
        <f t="shared" si="55"/>
        <v/>
      </c>
      <c r="I797" s="51" t="str">
        <f t="shared" si="55"/>
        <v/>
      </c>
      <c r="J797" s="51" t="str">
        <f t="shared" si="55"/>
        <v/>
      </c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  <c r="AJ797" s="37"/>
      <c r="AK797" s="37"/>
      <c r="AM797" s="38"/>
      <c r="AN797" s="38"/>
      <c r="AO797" s="38"/>
      <c r="AP797" s="38"/>
      <c r="AQ797" s="38"/>
      <c r="AR797" s="38"/>
      <c r="AS797" s="38"/>
      <c r="AT797" s="38"/>
      <c r="AU797" s="38"/>
      <c r="AV797" s="38"/>
      <c r="AW797" s="38"/>
      <c r="AX797" s="38"/>
      <c r="AY797" s="38"/>
      <c r="AZ797" s="38"/>
      <c r="BA797" s="38"/>
      <c r="BB797" s="38"/>
      <c r="BC797" s="38"/>
      <c r="BD797" s="38"/>
      <c r="BE797" s="77">
        <f t="shared" si="54"/>
        <v>0</v>
      </c>
      <c r="BF797" s="38"/>
    </row>
    <row r="798" spans="1:58" ht="22.5" hidden="1" customHeight="1">
      <c r="A798" s="33" t="str">
        <f>IF(OR(ISBLANK(E798),ISBLANK(C798)),"",IF(COUNTIF($E$8:E798,E798)&gt;1,"",(MAX($A$7:A797)+1)))</f>
        <v/>
      </c>
      <c r="B798" s="34">
        <f>IF(ISBLANK(C798),"",SUBTOTAL(3,$C$8:C798))</f>
        <v>44</v>
      </c>
      <c r="C798" s="85" t="s">
        <v>1671</v>
      </c>
      <c r="D798" s="50" t="s">
        <v>1672</v>
      </c>
      <c r="E798" s="50" t="s">
        <v>1649</v>
      </c>
      <c r="F798" s="35" t="str">
        <f t="shared" si="52"/>
        <v/>
      </c>
      <c r="G798" s="36" t="str">
        <f t="shared" si="53"/>
        <v/>
      </c>
      <c r="H798" s="51" t="str">
        <f t="shared" si="55"/>
        <v/>
      </c>
      <c r="I798" s="51" t="str">
        <f t="shared" si="55"/>
        <v/>
      </c>
      <c r="J798" s="51" t="str">
        <f t="shared" si="55"/>
        <v/>
      </c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41"/>
      <c r="AB798" s="42"/>
      <c r="AC798" s="37"/>
      <c r="AD798" s="37"/>
      <c r="AE798" s="37"/>
      <c r="AF798" s="37"/>
      <c r="AG798" s="37"/>
      <c r="AH798" s="37"/>
      <c r="AI798" s="37"/>
      <c r="AJ798" s="37"/>
      <c r="AK798" s="37"/>
      <c r="AM798" s="38"/>
      <c r="AN798" s="38"/>
      <c r="AO798" s="38"/>
      <c r="AP798" s="38"/>
      <c r="AQ798" s="38"/>
      <c r="AR798" s="38"/>
      <c r="AS798" s="38"/>
      <c r="AT798" s="38"/>
      <c r="AU798" s="38"/>
      <c r="AV798" s="38"/>
      <c r="AW798" s="38"/>
      <c r="AX798" s="38"/>
      <c r="AY798" s="38"/>
      <c r="AZ798" s="38"/>
      <c r="BA798" s="38"/>
      <c r="BB798" s="38"/>
      <c r="BC798" s="38"/>
      <c r="BD798" s="38"/>
      <c r="BE798" s="77">
        <f t="shared" si="54"/>
        <v>0</v>
      </c>
      <c r="BF798" s="38"/>
    </row>
    <row r="799" spans="1:58" ht="22.5" hidden="1" customHeight="1">
      <c r="A799" s="33" t="str">
        <f>IF(OR(ISBLANK(E799),ISBLANK(C799)),"",IF(COUNTIF($E$8:E799,E799)&gt;1,"",(MAX($A$7:A798)+1)))</f>
        <v/>
      </c>
      <c r="B799" s="34">
        <f>IF(ISBLANK(C799),"",SUBTOTAL(3,$C$8:C799))</f>
        <v>44</v>
      </c>
      <c r="C799" s="83" t="s">
        <v>1673</v>
      </c>
      <c r="D799" s="50" t="s">
        <v>1674</v>
      </c>
      <c r="E799" s="50" t="s">
        <v>1649</v>
      </c>
      <c r="F799" s="35" t="str">
        <f t="shared" si="52"/>
        <v/>
      </c>
      <c r="G799" s="36" t="str">
        <f t="shared" si="53"/>
        <v/>
      </c>
      <c r="H799" s="51" t="str">
        <f t="shared" si="55"/>
        <v/>
      </c>
      <c r="I799" s="51" t="str">
        <f t="shared" si="55"/>
        <v/>
      </c>
      <c r="J799" s="51" t="str">
        <f t="shared" si="55"/>
        <v/>
      </c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  <c r="AJ799" s="37"/>
      <c r="AK799" s="37"/>
      <c r="AM799" s="38"/>
      <c r="AN799" s="38"/>
      <c r="AO799" s="38"/>
      <c r="AP799" s="38"/>
      <c r="AQ799" s="38"/>
      <c r="AR799" s="38"/>
      <c r="AS799" s="38"/>
      <c r="AT799" s="38"/>
      <c r="AU799" s="38"/>
      <c r="AV799" s="38"/>
      <c r="AW799" s="38"/>
      <c r="AX799" s="38"/>
      <c r="AY799" s="38"/>
      <c r="AZ799" s="38"/>
      <c r="BA799" s="38"/>
      <c r="BB799" s="38"/>
      <c r="BC799" s="38"/>
      <c r="BD799" s="38"/>
      <c r="BE799" s="77">
        <f t="shared" si="54"/>
        <v>0</v>
      </c>
      <c r="BF799" s="38"/>
    </row>
    <row r="800" spans="1:58" ht="22.5" hidden="1" customHeight="1">
      <c r="A800" s="33" t="str">
        <f>IF(OR(ISBLANK(E800),ISBLANK(C800)),"",IF(COUNTIF($E$8:E800,E800)&gt;1,"",(MAX($A$7:A799)+1)))</f>
        <v/>
      </c>
      <c r="B800" s="34">
        <f>IF(ISBLANK(C800),"",SUBTOTAL(3,$C$8:C800))</f>
        <v>44</v>
      </c>
      <c r="C800" s="81" t="s">
        <v>1675</v>
      </c>
      <c r="D800" s="50" t="s">
        <v>1676</v>
      </c>
      <c r="E800" s="50" t="s">
        <v>1649</v>
      </c>
      <c r="F800" s="35" t="str">
        <f t="shared" si="52"/>
        <v/>
      </c>
      <c r="G800" s="36" t="str">
        <f t="shared" si="53"/>
        <v/>
      </c>
      <c r="H800" s="51" t="str">
        <f t="shared" si="55"/>
        <v/>
      </c>
      <c r="I800" s="51" t="str">
        <f t="shared" si="55"/>
        <v/>
      </c>
      <c r="J800" s="51" t="str">
        <f t="shared" si="55"/>
        <v/>
      </c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  <c r="AJ800" s="37"/>
      <c r="AK800" s="37"/>
      <c r="AM800" s="38"/>
      <c r="AN800" s="38"/>
      <c r="AO800" s="38"/>
      <c r="AP800" s="38"/>
      <c r="AQ800" s="38"/>
      <c r="AR800" s="38"/>
      <c r="AS800" s="38"/>
      <c r="AT800" s="38"/>
      <c r="AU800" s="38"/>
      <c r="AV800" s="38"/>
      <c r="AW800" s="38"/>
      <c r="AX800" s="38"/>
      <c r="AY800" s="38"/>
      <c r="AZ800" s="38"/>
      <c r="BA800" s="38"/>
      <c r="BB800" s="38"/>
      <c r="BC800" s="38"/>
      <c r="BD800" s="38"/>
      <c r="BE800" s="77">
        <f t="shared" si="54"/>
        <v>0</v>
      </c>
      <c r="BF800" s="38"/>
    </row>
    <row r="801" spans="1:58" ht="22.5" hidden="1" customHeight="1">
      <c r="A801" s="33" t="str">
        <f>IF(OR(ISBLANK(E801),ISBLANK(C801)),"",IF(COUNTIF($E$8:E801,E801)&gt;1,"",(MAX($A$7:A800)+1)))</f>
        <v/>
      </c>
      <c r="B801" s="34">
        <f>IF(ISBLANK(C801),"",SUBTOTAL(3,$C$8:C801))</f>
        <v>44</v>
      </c>
      <c r="C801" s="81" t="s">
        <v>1677</v>
      </c>
      <c r="D801" s="50" t="s">
        <v>1678</v>
      </c>
      <c r="E801" s="50" t="s">
        <v>1649</v>
      </c>
      <c r="F801" s="35" t="str">
        <f t="shared" si="52"/>
        <v/>
      </c>
      <c r="G801" s="36" t="str">
        <f t="shared" si="53"/>
        <v/>
      </c>
      <c r="H801" s="51" t="str">
        <f t="shared" si="55"/>
        <v/>
      </c>
      <c r="I801" s="51" t="str">
        <f t="shared" si="55"/>
        <v/>
      </c>
      <c r="J801" s="51" t="str">
        <f t="shared" si="55"/>
        <v/>
      </c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  <c r="AJ801" s="37"/>
      <c r="AK801" s="37"/>
      <c r="AM801" s="38"/>
      <c r="AN801" s="38"/>
      <c r="AO801" s="38"/>
      <c r="AP801" s="38"/>
      <c r="AQ801" s="38"/>
      <c r="AR801" s="38"/>
      <c r="AS801" s="38"/>
      <c r="AT801" s="38"/>
      <c r="AU801" s="38"/>
      <c r="AV801" s="38"/>
      <c r="AW801" s="38"/>
      <c r="AX801" s="38"/>
      <c r="AY801" s="38"/>
      <c r="AZ801" s="38"/>
      <c r="BA801" s="38"/>
      <c r="BB801" s="38"/>
      <c r="BC801" s="38"/>
      <c r="BD801" s="38"/>
      <c r="BE801" s="77">
        <f t="shared" si="54"/>
        <v>0</v>
      </c>
      <c r="BF801" s="38"/>
    </row>
    <row r="802" spans="1:58" ht="22.5" hidden="1" customHeight="1">
      <c r="A802" s="33" t="str">
        <f>IF(OR(ISBLANK(E802),ISBLANK(C802)),"",IF(COUNTIF($E$8:E802,E802)&gt;1,"",(MAX($A$7:A801)+1)))</f>
        <v/>
      </c>
      <c r="B802" s="34">
        <f>IF(ISBLANK(C802),"",SUBTOTAL(3,$C$8:C802))</f>
        <v>44</v>
      </c>
      <c r="C802" s="80" t="s">
        <v>1679</v>
      </c>
      <c r="D802" s="50" t="s">
        <v>1680</v>
      </c>
      <c r="E802" s="50" t="s">
        <v>1649</v>
      </c>
      <c r="F802" s="35" t="str">
        <f t="shared" si="52"/>
        <v/>
      </c>
      <c r="G802" s="36" t="str">
        <f t="shared" si="53"/>
        <v/>
      </c>
      <c r="H802" s="51" t="str">
        <f t="shared" si="55"/>
        <v/>
      </c>
      <c r="I802" s="51" t="str">
        <f t="shared" si="55"/>
        <v/>
      </c>
      <c r="J802" s="51" t="str">
        <f t="shared" si="55"/>
        <v/>
      </c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  <c r="AJ802" s="37"/>
      <c r="AK802" s="37"/>
      <c r="AM802" s="38"/>
      <c r="AN802" s="38"/>
      <c r="AO802" s="38"/>
      <c r="AP802" s="38"/>
      <c r="AQ802" s="38"/>
      <c r="AR802" s="38"/>
      <c r="AS802" s="38"/>
      <c r="AT802" s="38"/>
      <c r="AU802" s="38"/>
      <c r="AV802" s="38"/>
      <c r="AW802" s="38"/>
      <c r="AX802" s="38"/>
      <c r="AY802" s="38"/>
      <c r="AZ802" s="38"/>
      <c r="BA802" s="38"/>
      <c r="BB802" s="38"/>
      <c r="BC802" s="38"/>
      <c r="BD802" s="38"/>
      <c r="BE802" s="77">
        <f t="shared" si="54"/>
        <v>0</v>
      </c>
      <c r="BF802" s="38"/>
    </row>
    <row r="803" spans="1:58" ht="22.5" hidden="1" customHeight="1">
      <c r="A803" s="33" t="str">
        <f>IF(OR(ISBLANK(E803),ISBLANK(C803)),"",IF(COUNTIF($E$8:E803,E803)&gt;1,"",(MAX($A$7:A802)+1)))</f>
        <v/>
      </c>
      <c r="B803" s="34">
        <f>IF(ISBLANK(C803),"",SUBTOTAL(3,$C$8:C803))</f>
        <v>44</v>
      </c>
      <c r="C803" s="81" t="s">
        <v>1681</v>
      </c>
      <c r="D803" s="50" t="s">
        <v>1682</v>
      </c>
      <c r="E803" s="50" t="s">
        <v>1649</v>
      </c>
      <c r="F803" s="35" t="str">
        <f t="shared" si="52"/>
        <v/>
      </c>
      <c r="G803" s="36" t="str">
        <f t="shared" si="53"/>
        <v/>
      </c>
      <c r="H803" s="51" t="str">
        <f t="shared" si="55"/>
        <v/>
      </c>
      <c r="I803" s="51" t="str">
        <f t="shared" si="55"/>
        <v/>
      </c>
      <c r="J803" s="51" t="str">
        <f t="shared" si="55"/>
        <v/>
      </c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  <c r="AJ803" s="37"/>
      <c r="AK803" s="37"/>
      <c r="AM803" s="38"/>
      <c r="AN803" s="38"/>
      <c r="AO803" s="38"/>
      <c r="AP803" s="38"/>
      <c r="AQ803" s="38"/>
      <c r="AR803" s="38"/>
      <c r="AS803" s="38"/>
      <c r="AT803" s="38"/>
      <c r="AU803" s="38"/>
      <c r="AV803" s="38"/>
      <c r="AW803" s="38"/>
      <c r="AX803" s="38"/>
      <c r="AY803" s="38"/>
      <c r="AZ803" s="38"/>
      <c r="BA803" s="38"/>
      <c r="BB803" s="38"/>
      <c r="BC803" s="38"/>
      <c r="BD803" s="38"/>
      <c r="BE803" s="77">
        <f t="shared" si="54"/>
        <v>0</v>
      </c>
      <c r="BF803" s="38"/>
    </row>
    <row r="804" spans="1:58" ht="22.5" hidden="1" customHeight="1">
      <c r="A804" s="33" t="str">
        <f>IF(OR(ISBLANK(E804),ISBLANK(C804)),"",IF(COUNTIF($E$8:E804,E804)&gt;1,"",(MAX($A$7:A803)+1)))</f>
        <v/>
      </c>
      <c r="B804" s="34">
        <f>IF(ISBLANK(C804),"",SUBTOTAL(3,$C$8:C804))</f>
        <v>44</v>
      </c>
      <c r="C804" s="85" t="s">
        <v>1683</v>
      </c>
      <c r="D804" s="50" t="s">
        <v>1684</v>
      </c>
      <c r="E804" s="50" t="s">
        <v>1649</v>
      </c>
      <c r="F804" s="35" t="str">
        <f t="shared" si="52"/>
        <v/>
      </c>
      <c r="G804" s="36" t="str">
        <f t="shared" si="53"/>
        <v/>
      </c>
      <c r="H804" s="51" t="str">
        <f t="shared" si="55"/>
        <v/>
      </c>
      <c r="I804" s="51" t="str">
        <f t="shared" si="55"/>
        <v/>
      </c>
      <c r="J804" s="51" t="str">
        <f t="shared" si="55"/>
        <v/>
      </c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  <c r="AJ804" s="37"/>
      <c r="AK804" s="37"/>
      <c r="AM804" s="38"/>
      <c r="AN804" s="38"/>
      <c r="AO804" s="38"/>
      <c r="AP804" s="38"/>
      <c r="AQ804" s="38"/>
      <c r="AR804" s="38"/>
      <c r="AS804" s="38"/>
      <c r="AT804" s="38"/>
      <c r="AU804" s="38"/>
      <c r="AV804" s="38"/>
      <c r="AW804" s="38"/>
      <c r="AX804" s="38"/>
      <c r="AY804" s="38"/>
      <c r="AZ804" s="38"/>
      <c r="BA804" s="38"/>
      <c r="BB804" s="38"/>
      <c r="BC804" s="38"/>
      <c r="BD804" s="38"/>
      <c r="BE804" s="77">
        <f t="shared" si="54"/>
        <v>0</v>
      </c>
      <c r="BF804" s="38"/>
    </row>
    <row r="805" spans="1:58" ht="22.5" hidden="1" customHeight="1">
      <c r="A805" s="33" t="str">
        <f>IF(OR(ISBLANK(E805),ISBLANK(C805)),"",IF(COUNTIF($E$8:E805,E805)&gt;1,"",(MAX($A$7:A804)+1)))</f>
        <v/>
      </c>
      <c r="B805" s="34">
        <f>IF(ISBLANK(C805),"",SUBTOTAL(3,$C$8:C805))</f>
        <v>44</v>
      </c>
      <c r="C805" s="81" t="s">
        <v>1685</v>
      </c>
      <c r="D805" s="50" t="s">
        <v>1686</v>
      </c>
      <c r="E805" s="50" t="s">
        <v>1649</v>
      </c>
      <c r="F805" s="35" t="str">
        <f t="shared" si="52"/>
        <v/>
      </c>
      <c r="G805" s="36" t="str">
        <f t="shared" si="53"/>
        <v/>
      </c>
      <c r="H805" s="51" t="str">
        <f t="shared" si="55"/>
        <v/>
      </c>
      <c r="I805" s="51" t="str">
        <f t="shared" si="55"/>
        <v/>
      </c>
      <c r="J805" s="51" t="str">
        <f t="shared" si="55"/>
        <v/>
      </c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7"/>
      <c r="AK805" s="37"/>
      <c r="AM805" s="38"/>
      <c r="AN805" s="38"/>
      <c r="AO805" s="38"/>
      <c r="AP805" s="38"/>
      <c r="AQ805" s="38"/>
      <c r="AR805" s="38"/>
      <c r="AS805" s="38"/>
      <c r="AT805" s="38"/>
      <c r="AU805" s="38"/>
      <c r="AV805" s="38"/>
      <c r="AW805" s="38"/>
      <c r="AX805" s="38"/>
      <c r="AY805" s="38"/>
      <c r="AZ805" s="38"/>
      <c r="BA805" s="38"/>
      <c r="BB805" s="38"/>
      <c r="BC805" s="38"/>
      <c r="BD805" s="38"/>
      <c r="BE805" s="77">
        <f t="shared" si="54"/>
        <v>0</v>
      </c>
      <c r="BF805" s="38"/>
    </row>
    <row r="806" spans="1:58" ht="22.5" hidden="1" customHeight="1">
      <c r="A806" s="33" t="str">
        <f>IF(OR(ISBLANK(E806),ISBLANK(C806)),"",IF(COUNTIF($E$8:E806,E806)&gt;1,"",(MAX($A$7:A805)+1)))</f>
        <v/>
      </c>
      <c r="B806" s="34">
        <f>IF(ISBLANK(C806),"",SUBTOTAL(3,$C$8:C806))</f>
        <v>44</v>
      </c>
      <c r="C806" s="81" t="s">
        <v>1687</v>
      </c>
      <c r="D806" s="50" t="s">
        <v>1688</v>
      </c>
      <c r="E806" s="50" t="s">
        <v>1649</v>
      </c>
      <c r="F806" s="35" t="str">
        <f t="shared" si="52"/>
        <v/>
      </c>
      <c r="G806" s="36" t="str">
        <f t="shared" si="53"/>
        <v/>
      </c>
      <c r="H806" s="51" t="str">
        <f t="shared" si="55"/>
        <v/>
      </c>
      <c r="I806" s="51" t="str">
        <f t="shared" si="55"/>
        <v/>
      </c>
      <c r="J806" s="51" t="str">
        <f t="shared" si="55"/>
        <v/>
      </c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  <c r="AK806" s="37"/>
      <c r="AM806" s="38"/>
      <c r="AN806" s="38"/>
      <c r="AO806" s="38"/>
      <c r="AP806" s="38"/>
      <c r="AQ806" s="38"/>
      <c r="AR806" s="38"/>
      <c r="AS806" s="38"/>
      <c r="AT806" s="38"/>
      <c r="AU806" s="38"/>
      <c r="AV806" s="38"/>
      <c r="AW806" s="38"/>
      <c r="AX806" s="38"/>
      <c r="AY806" s="38"/>
      <c r="AZ806" s="38"/>
      <c r="BA806" s="38"/>
      <c r="BB806" s="38"/>
      <c r="BC806" s="38"/>
      <c r="BD806" s="38"/>
      <c r="BE806" s="77">
        <f t="shared" si="54"/>
        <v>0</v>
      </c>
      <c r="BF806" s="38"/>
    </row>
    <row r="807" spans="1:58" ht="22.5" hidden="1" customHeight="1">
      <c r="A807" s="33" t="str">
        <f>IF(OR(ISBLANK(E807),ISBLANK(C807)),"",IF(COUNTIF($E$8:E807,E807)&gt;1,"",(MAX($A$7:A806)+1)))</f>
        <v/>
      </c>
      <c r="B807" s="34">
        <f>IF(ISBLANK(C807),"",SUBTOTAL(3,$C$8:C807))</f>
        <v>44</v>
      </c>
      <c r="C807" s="85" t="s">
        <v>1689</v>
      </c>
      <c r="D807" s="50" t="s">
        <v>1690</v>
      </c>
      <c r="E807" s="50" t="s">
        <v>1649</v>
      </c>
      <c r="F807" s="35" t="str">
        <f t="shared" si="52"/>
        <v/>
      </c>
      <c r="G807" s="36" t="str">
        <f t="shared" si="53"/>
        <v/>
      </c>
      <c r="H807" s="51" t="str">
        <f t="shared" si="55"/>
        <v/>
      </c>
      <c r="I807" s="51" t="str">
        <f t="shared" si="55"/>
        <v/>
      </c>
      <c r="J807" s="51" t="str">
        <f t="shared" si="55"/>
        <v/>
      </c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  <c r="AI807" s="37"/>
      <c r="AJ807" s="37"/>
      <c r="AK807" s="37"/>
      <c r="AM807" s="38"/>
      <c r="AN807" s="38"/>
      <c r="AO807" s="38"/>
      <c r="AP807" s="38"/>
      <c r="AQ807" s="38"/>
      <c r="AR807" s="38"/>
      <c r="AS807" s="38"/>
      <c r="AT807" s="38"/>
      <c r="AU807" s="38"/>
      <c r="AV807" s="38"/>
      <c r="AW807" s="38"/>
      <c r="AX807" s="38"/>
      <c r="AY807" s="38"/>
      <c r="AZ807" s="38"/>
      <c r="BA807" s="38"/>
      <c r="BB807" s="38"/>
      <c r="BC807" s="38"/>
      <c r="BD807" s="38"/>
      <c r="BE807" s="77">
        <f t="shared" si="54"/>
        <v>0</v>
      </c>
      <c r="BF807" s="38"/>
    </row>
    <row r="808" spans="1:58" ht="22.5" hidden="1" customHeight="1">
      <c r="A808" s="33">
        <f>IF(OR(ISBLANK(E808),ISBLANK(C808)),"",IF(COUNTIF($E$8:E808,E808)&gt;1,"",(MAX($A$7:A807)+1)))</f>
        <v>22</v>
      </c>
      <c r="B808" s="34">
        <f>IF(ISBLANK(C808),"",SUBTOTAL(3,$C$8:C808))</f>
        <v>44</v>
      </c>
      <c r="C808" s="85" t="s">
        <v>1691</v>
      </c>
      <c r="D808" s="50" t="s">
        <v>1692</v>
      </c>
      <c r="E808" s="50" t="s">
        <v>1693</v>
      </c>
      <c r="F808" s="35" t="str">
        <f t="shared" si="52"/>
        <v/>
      </c>
      <c r="G808" s="36" t="str">
        <f t="shared" si="53"/>
        <v/>
      </c>
      <c r="H808" s="51" t="str">
        <f t="shared" si="55"/>
        <v/>
      </c>
      <c r="I808" s="51" t="str">
        <f t="shared" si="55"/>
        <v/>
      </c>
      <c r="J808" s="51" t="str">
        <f t="shared" si="55"/>
        <v/>
      </c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  <c r="AJ808" s="37"/>
      <c r="AK808" s="37"/>
      <c r="AM808" s="38"/>
      <c r="AN808" s="38"/>
      <c r="AO808" s="38"/>
      <c r="AP808" s="38"/>
      <c r="AQ808" s="38"/>
      <c r="AR808" s="38"/>
      <c r="AS808" s="38"/>
      <c r="AT808" s="38"/>
      <c r="AU808" s="38"/>
      <c r="AV808" s="38"/>
      <c r="AW808" s="38"/>
      <c r="AX808" s="38"/>
      <c r="AY808" s="38"/>
      <c r="AZ808" s="38"/>
      <c r="BA808" s="38"/>
      <c r="BB808" s="38"/>
      <c r="BC808" s="38"/>
      <c r="BD808" s="38"/>
      <c r="BE808" s="77">
        <f t="shared" si="54"/>
        <v>0</v>
      </c>
      <c r="BF808" s="38"/>
    </row>
    <row r="809" spans="1:58" ht="22.5" hidden="1" customHeight="1">
      <c r="A809" s="33" t="str">
        <f>IF(OR(ISBLANK(E809),ISBLANK(C809)),"",IF(COUNTIF($E$8:E809,E809)&gt;1,"",(MAX($A$7:A808)+1)))</f>
        <v/>
      </c>
      <c r="B809" s="34">
        <f>IF(ISBLANK(C809),"",SUBTOTAL(3,$C$8:C809))</f>
        <v>44</v>
      </c>
      <c r="C809" s="85" t="s">
        <v>1694</v>
      </c>
      <c r="D809" s="50" t="s">
        <v>1695</v>
      </c>
      <c r="E809" s="50" t="s">
        <v>1693</v>
      </c>
      <c r="F809" s="35" t="str">
        <f t="shared" si="52"/>
        <v/>
      </c>
      <c r="G809" s="36" t="str">
        <f t="shared" si="53"/>
        <v/>
      </c>
      <c r="H809" s="51" t="str">
        <f t="shared" si="55"/>
        <v/>
      </c>
      <c r="I809" s="51" t="str">
        <f t="shared" si="55"/>
        <v/>
      </c>
      <c r="J809" s="51" t="str">
        <f t="shared" si="55"/>
        <v/>
      </c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  <c r="AJ809" s="37"/>
      <c r="AK809" s="37"/>
      <c r="AM809" s="38"/>
      <c r="AN809" s="38"/>
      <c r="AO809" s="38"/>
      <c r="AP809" s="38"/>
      <c r="AQ809" s="38"/>
      <c r="AR809" s="38"/>
      <c r="AS809" s="38"/>
      <c r="AT809" s="38"/>
      <c r="AU809" s="38"/>
      <c r="AV809" s="38"/>
      <c r="AW809" s="38"/>
      <c r="AX809" s="38"/>
      <c r="AY809" s="38"/>
      <c r="AZ809" s="38"/>
      <c r="BA809" s="38"/>
      <c r="BB809" s="38"/>
      <c r="BC809" s="38"/>
      <c r="BD809" s="38"/>
      <c r="BE809" s="77">
        <f t="shared" si="54"/>
        <v>0</v>
      </c>
      <c r="BF809" s="38"/>
    </row>
    <row r="810" spans="1:58" ht="22.5" hidden="1" customHeight="1">
      <c r="A810" s="33" t="str">
        <f>IF(OR(ISBLANK(E810),ISBLANK(C810)),"",IF(COUNTIF($E$8:E810,E810)&gt;1,"",(MAX($A$7:A809)+1)))</f>
        <v/>
      </c>
      <c r="B810" s="34">
        <f>IF(ISBLANK(C810),"",SUBTOTAL(3,$C$8:C810))</f>
        <v>44</v>
      </c>
      <c r="C810" s="85" t="s">
        <v>1696</v>
      </c>
      <c r="D810" s="50" t="s">
        <v>1697</v>
      </c>
      <c r="E810" s="50" t="s">
        <v>1693</v>
      </c>
      <c r="F810" s="35" t="str">
        <f t="shared" si="52"/>
        <v/>
      </c>
      <c r="G810" s="36" t="str">
        <f t="shared" si="53"/>
        <v/>
      </c>
      <c r="H810" s="51" t="str">
        <f t="shared" si="55"/>
        <v/>
      </c>
      <c r="I810" s="51" t="str">
        <f t="shared" si="55"/>
        <v/>
      </c>
      <c r="J810" s="51" t="str">
        <f t="shared" si="55"/>
        <v/>
      </c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  <c r="AJ810" s="37"/>
      <c r="AK810" s="37"/>
      <c r="AM810" s="38"/>
      <c r="AN810" s="38"/>
      <c r="AO810" s="38"/>
      <c r="AP810" s="38"/>
      <c r="AQ810" s="38"/>
      <c r="AR810" s="38"/>
      <c r="AS810" s="38"/>
      <c r="AT810" s="38"/>
      <c r="AU810" s="38"/>
      <c r="AV810" s="38"/>
      <c r="AW810" s="38"/>
      <c r="AX810" s="38"/>
      <c r="AY810" s="38"/>
      <c r="AZ810" s="38"/>
      <c r="BA810" s="38"/>
      <c r="BB810" s="38"/>
      <c r="BC810" s="38"/>
      <c r="BD810" s="38"/>
      <c r="BE810" s="77">
        <f t="shared" si="54"/>
        <v>0</v>
      </c>
      <c r="BF810" s="38"/>
    </row>
    <row r="811" spans="1:58" ht="22.5" hidden="1" customHeight="1">
      <c r="A811" s="33" t="str">
        <f>IF(OR(ISBLANK(E811),ISBLANK(C811)),"",IF(COUNTIF($E$8:E811,E811)&gt;1,"",(MAX($A$7:A810)+1)))</f>
        <v/>
      </c>
      <c r="B811" s="34">
        <f>IF(ISBLANK(C811),"",SUBTOTAL(3,$C$8:C811))</f>
        <v>44</v>
      </c>
      <c r="C811" s="85" t="s">
        <v>1698</v>
      </c>
      <c r="D811" s="50" t="s">
        <v>1699</v>
      </c>
      <c r="E811" s="50" t="s">
        <v>1693</v>
      </c>
      <c r="F811" s="35" t="str">
        <f t="shared" si="52"/>
        <v/>
      </c>
      <c r="G811" s="36" t="str">
        <f t="shared" si="53"/>
        <v/>
      </c>
      <c r="H811" s="51" t="str">
        <f t="shared" si="55"/>
        <v/>
      </c>
      <c r="I811" s="51" t="str">
        <f t="shared" si="55"/>
        <v/>
      </c>
      <c r="J811" s="51" t="str">
        <f t="shared" si="55"/>
        <v/>
      </c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7"/>
      <c r="AK811" s="37"/>
      <c r="AM811" s="38"/>
      <c r="AN811" s="38"/>
      <c r="AO811" s="38"/>
      <c r="AP811" s="38"/>
      <c r="AQ811" s="38"/>
      <c r="AR811" s="38"/>
      <c r="AS811" s="38"/>
      <c r="AT811" s="38"/>
      <c r="AU811" s="38"/>
      <c r="AV811" s="38"/>
      <c r="AW811" s="38"/>
      <c r="AX811" s="38"/>
      <c r="AY811" s="38"/>
      <c r="AZ811" s="38"/>
      <c r="BA811" s="38"/>
      <c r="BB811" s="38"/>
      <c r="BC811" s="38"/>
      <c r="BD811" s="38"/>
      <c r="BE811" s="77">
        <f t="shared" si="54"/>
        <v>0</v>
      </c>
      <c r="BF811" s="38"/>
    </row>
    <row r="812" spans="1:58" ht="22.5" hidden="1" customHeight="1">
      <c r="A812" s="33" t="str">
        <f>IF(OR(ISBLANK(E812),ISBLANK(C812)),"",IF(COUNTIF($E$8:E812,E812)&gt;1,"",(MAX($A$7:A811)+1)))</f>
        <v/>
      </c>
      <c r="B812" s="34">
        <f>IF(ISBLANK(C812),"",SUBTOTAL(3,$C$8:C812))</f>
        <v>44</v>
      </c>
      <c r="C812" s="85" t="s">
        <v>1700</v>
      </c>
      <c r="D812" s="50" t="s">
        <v>1701</v>
      </c>
      <c r="E812" s="50" t="s">
        <v>1693</v>
      </c>
      <c r="F812" s="35" t="str">
        <f t="shared" si="52"/>
        <v/>
      </c>
      <c r="G812" s="36" t="str">
        <f t="shared" si="53"/>
        <v/>
      </c>
      <c r="H812" s="51" t="str">
        <f t="shared" si="55"/>
        <v/>
      </c>
      <c r="I812" s="51" t="str">
        <f t="shared" si="55"/>
        <v/>
      </c>
      <c r="J812" s="51" t="str">
        <f t="shared" si="55"/>
        <v/>
      </c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  <c r="AJ812" s="37"/>
      <c r="AK812" s="37"/>
      <c r="AM812" s="38"/>
      <c r="AN812" s="38"/>
      <c r="AO812" s="38"/>
      <c r="AP812" s="38"/>
      <c r="AQ812" s="38"/>
      <c r="AR812" s="38"/>
      <c r="AS812" s="38"/>
      <c r="AT812" s="38"/>
      <c r="AU812" s="38"/>
      <c r="AV812" s="38"/>
      <c r="AW812" s="38"/>
      <c r="AX812" s="38"/>
      <c r="AY812" s="38"/>
      <c r="AZ812" s="38"/>
      <c r="BA812" s="38"/>
      <c r="BB812" s="38"/>
      <c r="BC812" s="38"/>
      <c r="BD812" s="38"/>
      <c r="BE812" s="77">
        <f t="shared" si="54"/>
        <v>0</v>
      </c>
      <c r="BF812" s="38"/>
    </row>
    <row r="813" spans="1:58" ht="22.5" hidden="1" customHeight="1">
      <c r="A813" s="33" t="str">
        <f>IF(OR(ISBLANK(E813),ISBLANK(C813)),"",IF(COUNTIF($E$8:E813,E813)&gt;1,"",(MAX($A$7:A812)+1)))</f>
        <v/>
      </c>
      <c r="B813" s="34">
        <f>IF(ISBLANK(C813),"",SUBTOTAL(3,$C$8:C813))</f>
        <v>44</v>
      </c>
      <c r="C813" s="85" t="s">
        <v>1702</v>
      </c>
      <c r="D813" s="50" t="s">
        <v>1703</v>
      </c>
      <c r="E813" s="50" t="s">
        <v>1693</v>
      </c>
      <c r="F813" s="35" t="str">
        <f t="shared" si="52"/>
        <v/>
      </c>
      <c r="G813" s="36" t="str">
        <f t="shared" si="53"/>
        <v/>
      </c>
      <c r="H813" s="51" t="str">
        <f t="shared" si="55"/>
        <v/>
      </c>
      <c r="I813" s="51" t="str">
        <f t="shared" si="55"/>
        <v/>
      </c>
      <c r="J813" s="51" t="str">
        <f t="shared" si="55"/>
        <v/>
      </c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  <c r="AJ813" s="37"/>
      <c r="AK813" s="37"/>
      <c r="AM813" s="38"/>
      <c r="AN813" s="38"/>
      <c r="AO813" s="38"/>
      <c r="AP813" s="38"/>
      <c r="AQ813" s="38"/>
      <c r="AR813" s="38"/>
      <c r="AS813" s="38"/>
      <c r="AT813" s="38"/>
      <c r="AU813" s="38"/>
      <c r="AV813" s="38"/>
      <c r="AW813" s="38"/>
      <c r="AX813" s="38"/>
      <c r="AY813" s="38"/>
      <c r="AZ813" s="38"/>
      <c r="BA813" s="38"/>
      <c r="BB813" s="38"/>
      <c r="BC813" s="38"/>
      <c r="BD813" s="38"/>
      <c r="BE813" s="77">
        <f t="shared" si="54"/>
        <v>0</v>
      </c>
      <c r="BF813" s="38"/>
    </row>
    <row r="814" spans="1:58" ht="22.5" hidden="1" customHeight="1">
      <c r="A814" s="33" t="str">
        <f>IF(OR(ISBLANK(E814),ISBLANK(C814)),"",IF(COUNTIF($E$8:E814,E814)&gt;1,"",(MAX($A$7:A813)+1)))</f>
        <v/>
      </c>
      <c r="B814" s="34">
        <f>IF(ISBLANK(C814),"",SUBTOTAL(3,$C$8:C814))</f>
        <v>44</v>
      </c>
      <c r="C814" s="85" t="s">
        <v>1704</v>
      </c>
      <c r="D814" s="50" t="s">
        <v>1705</v>
      </c>
      <c r="E814" s="50" t="s">
        <v>1693</v>
      </c>
      <c r="F814" s="35" t="str">
        <f t="shared" si="52"/>
        <v/>
      </c>
      <c r="G814" s="36" t="str">
        <f t="shared" si="53"/>
        <v/>
      </c>
      <c r="H814" s="51" t="str">
        <f t="shared" si="55"/>
        <v/>
      </c>
      <c r="I814" s="51" t="str">
        <f t="shared" si="55"/>
        <v/>
      </c>
      <c r="J814" s="51" t="str">
        <f t="shared" si="55"/>
        <v/>
      </c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  <c r="AJ814" s="37"/>
      <c r="AK814" s="37"/>
      <c r="AM814" s="38"/>
      <c r="AN814" s="38"/>
      <c r="AO814" s="38"/>
      <c r="AP814" s="38"/>
      <c r="AQ814" s="38"/>
      <c r="AR814" s="38"/>
      <c r="AS814" s="38"/>
      <c r="AT814" s="38"/>
      <c r="AU814" s="38"/>
      <c r="AV814" s="38"/>
      <c r="AW814" s="38"/>
      <c r="AX814" s="38"/>
      <c r="AY814" s="38"/>
      <c r="AZ814" s="38"/>
      <c r="BA814" s="38"/>
      <c r="BB814" s="38"/>
      <c r="BC814" s="38"/>
      <c r="BD814" s="38"/>
      <c r="BE814" s="77">
        <f t="shared" si="54"/>
        <v>0</v>
      </c>
      <c r="BF814" s="38"/>
    </row>
    <row r="815" spans="1:58" ht="22.5" hidden="1" customHeight="1">
      <c r="A815" s="33" t="str">
        <f>IF(OR(ISBLANK(E815),ISBLANK(C815)),"",IF(COUNTIF($E$8:E815,E815)&gt;1,"",(MAX($A$7:A814)+1)))</f>
        <v/>
      </c>
      <c r="B815" s="34">
        <f>IF(ISBLANK(C815),"",SUBTOTAL(3,$C$8:C815))</f>
        <v>44</v>
      </c>
      <c r="C815" s="85" t="s">
        <v>1706</v>
      </c>
      <c r="D815" s="50" t="s">
        <v>1707</v>
      </c>
      <c r="E815" s="50" t="s">
        <v>1693</v>
      </c>
      <c r="F815" s="35" t="str">
        <f t="shared" si="52"/>
        <v/>
      </c>
      <c r="G815" s="36" t="str">
        <f t="shared" si="53"/>
        <v/>
      </c>
      <c r="H815" s="51" t="str">
        <f t="shared" si="55"/>
        <v/>
      </c>
      <c r="I815" s="51" t="str">
        <f t="shared" si="55"/>
        <v/>
      </c>
      <c r="J815" s="51" t="str">
        <f t="shared" si="55"/>
        <v/>
      </c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7"/>
      <c r="AK815" s="37"/>
      <c r="AM815" s="38"/>
      <c r="AN815" s="38"/>
      <c r="AO815" s="38"/>
      <c r="AP815" s="38"/>
      <c r="AQ815" s="38"/>
      <c r="AR815" s="38"/>
      <c r="AS815" s="38"/>
      <c r="AT815" s="38"/>
      <c r="AU815" s="38"/>
      <c r="AV815" s="38"/>
      <c r="AW815" s="38"/>
      <c r="AX815" s="38"/>
      <c r="AY815" s="38"/>
      <c r="AZ815" s="38"/>
      <c r="BA815" s="38"/>
      <c r="BB815" s="38"/>
      <c r="BC815" s="38"/>
      <c r="BD815" s="38"/>
      <c r="BE815" s="77">
        <f t="shared" si="54"/>
        <v>0</v>
      </c>
      <c r="BF815" s="38"/>
    </row>
    <row r="816" spans="1:58" ht="22.5" hidden="1" customHeight="1">
      <c r="A816" s="33">
        <f>IF(OR(ISBLANK(E816),ISBLANK(C816)),"",IF(COUNTIF($E$8:E816,E816)&gt;1,"",(MAX($A$7:A815)+1)))</f>
        <v>23</v>
      </c>
      <c r="B816" s="34">
        <f>IF(ISBLANK(C816),"",SUBTOTAL(3,$C$8:C816))</f>
        <v>44</v>
      </c>
      <c r="C816" s="81" t="s">
        <v>1708</v>
      </c>
      <c r="D816" s="52" t="s">
        <v>1709</v>
      </c>
      <c r="E816" s="50" t="s">
        <v>1710</v>
      </c>
      <c r="F816" s="35" t="str">
        <f t="shared" si="52"/>
        <v/>
      </c>
      <c r="G816" s="36" t="str">
        <f t="shared" si="53"/>
        <v>A</v>
      </c>
      <c r="H816" s="51">
        <f t="shared" si="55"/>
        <v>4</v>
      </c>
      <c r="I816" s="51">
        <f t="shared" si="55"/>
        <v>2</v>
      </c>
      <c r="J816" s="51" t="str">
        <f t="shared" si="55"/>
        <v/>
      </c>
      <c r="K816" s="37" t="s">
        <v>47</v>
      </c>
      <c r="L816" s="37"/>
      <c r="M816" s="37"/>
      <c r="N816" s="37" t="s">
        <v>47</v>
      </c>
      <c r="O816" s="37"/>
      <c r="P816" s="37"/>
      <c r="Q816" s="37" t="s">
        <v>47</v>
      </c>
      <c r="R816" s="37"/>
      <c r="S816" s="37"/>
      <c r="T816" s="37" t="s">
        <v>47</v>
      </c>
      <c r="U816" s="37"/>
      <c r="V816" s="37"/>
      <c r="W816" s="37"/>
      <c r="X816" s="37" t="s">
        <v>47</v>
      </c>
      <c r="Y816" s="37"/>
      <c r="Z816" s="37"/>
      <c r="AA816" s="37" t="s">
        <v>47</v>
      </c>
      <c r="AB816" s="37"/>
      <c r="AC816" s="37"/>
      <c r="AD816" s="37"/>
      <c r="AE816" s="37"/>
      <c r="AF816" s="37"/>
      <c r="AG816" s="37"/>
      <c r="AH816" s="37"/>
      <c r="AI816" s="37"/>
      <c r="AJ816" s="37"/>
      <c r="AK816" s="37"/>
      <c r="AM816" s="38"/>
      <c r="AN816" s="38"/>
      <c r="AO816" s="38"/>
      <c r="AP816" s="38"/>
      <c r="AQ816" s="38"/>
      <c r="AR816" s="38"/>
      <c r="AS816" s="38"/>
      <c r="AT816" s="38"/>
      <c r="AU816" s="38"/>
      <c r="AV816" s="38"/>
      <c r="AW816" s="38"/>
      <c r="AX816" s="38"/>
      <c r="AY816" s="38"/>
      <c r="AZ816" s="38"/>
      <c r="BA816" s="38" t="s">
        <v>47</v>
      </c>
      <c r="BB816" s="38" t="s">
        <v>47</v>
      </c>
      <c r="BC816" s="38" t="s">
        <v>47</v>
      </c>
      <c r="BD816" s="38" t="s">
        <v>47</v>
      </c>
      <c r="BE816" s="77">
        <f t="shared" si="54"/>
        <v>4</v>
      </c>
      <c r="BF816" s="38"/>
    </row>
    <row r="817" spans="1:58" ht="22.5" hidden="1" customHeight="1">
      <c r="A817" s="33" t="str">
        <f>IF(OR(ISBLANK(E817),ISBLANK(C817)),"",IF(COUNTIF($E$8:E817,E817)&gt;1,"",(MAX($A$7:A816)+1)))</f>
        <v/>
      </c>
      <c r="B817" s="34">
        <f>IF(ISBLANK(C817),"",SUBTOTAL(3,$C$8:C817))</f>
        <v>44</v>
      </c>
      <c r="C817" s="85" t="s">
        <v>1711</v>
      </c>
      <c r="D817" s="50" t="s">
        <v>1712</v>
      </c>
      <c r="E817" s="50" t="s">
        <v>1710</v>
      </c>
      <c r="F817" s="35" t="str">
        <f t="shared" si="52"/>
        <v/>
      </c>
      <c r="G817" s="36" t="str">
        <f t="shared" si="53"/>
        <v>A</v>
      </c>
      <c r="H817" s="51">
        <f t="shared" si="55"/>
        <v>2</v>
      </c>
      <c r="I817" s="51">
        <f t="shared" si="55"/>
        <v>2</v>
      </c>
      <c r="J817" s="51" t="str">
        <f t="shared" si="55"/>
        <v/>
      </c>
      <c r="K817" s="37" t="s">
        <v>47</v>
      </c>
      <c r="L817" s="37"/>
      <c r="M817" s="37"/>
      <c r="N817" s="37"/>
      <c r="O817" s="37" t="s">
        <v>47</v>
      </c>
      <c r="P817" s="37"/>
      <c r="Q817" s="37" t="s">
        <v>47</v>
      </c>
      <c r="R817" s="37"/>
      <c r="S817" s="37"/>
      <c r="T817" s="37"/>
      <c r="U817" s="37" t="s">
        <v>47</v>
      </c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  <c r="AJ817" s="37"/>
      <c r="AK817" s="37"/>
      <c r="AM817" s="38"/>
      <c r="AN817" s="38"/>
      <c r="AO817" s="38"/>
      <c r="AP817" s="38"/>
      <c r="AQ817" s="38"/>
      <c r="AR817" s="38"/>
      <c r="AS817" s="38"/>
      <c r="AT817" s="38"/>
      <c r="AU817" s="38"/>
      <c r="AV817" s="38"/>
      <c r="AW817" s="38"/>
      <c r="AX817" s="38"/>
      <c r="AY817" s="38"/>
      <c r="AZ817" s="38"/>
      <c r="BA817" s="38" t="s">
        <v>47</v>
      </c>
      <c r="BB817" s="38"/>
      <c r="BC817" s="38"/>
      <c r="BD817" s="38"/>
      <c r="BE817" s="77">
        <f t="shared" si="54"/>
        <v>1</v>
      </c>
      <c r="BF817" s="38"/>
    </row>
    <row r="818" spans="1:58" ht="22.5" hidden="1" customHeight="1">
      <c r="A818" s="33" t="str">
        <f>IF(OR(ISBLANK(E818),ISBLANK(C818)),"",IF(COUNTIF($E$8:E818,E818)&gt;1,"",(MAX($A$7:A817)+1)))</f>
        <v/>
      </c>
      <c r="B818" s="34">
        <f>IF(ISBLANK(C818),"",SUBTOTAL(3,$C$8:C818))</f>
        <v>44</v>
      </c>
      <c r="C818" s="85" t="s">
        <v>1713</v>
      </c>
      <c r="D818" s="50" t="s">
        <v>1714</v>
      </c>
      <c r="E818" s="50" t="s">
        <v>1710</v>
      </c>
      <c r="F818" s="35" t="str">
        <f t="shared" si="52"/>
        <v/>
      </c>
      <c r="G818" s="36" t="str">
        <f t="shared" si="53"/>
        <v>B</v>
      </c>
      <c r="H818" s="51">
        <f t="shared" si="55"/>
        <v>2</v>
      </c>
      <c r="I818" s="51">
        <f t="shared" si="55"/>
        <v>1</v>
      </c>
      <c r="J818" s="51" t="str">
        <f t="shared" si="55"/>
        <v/>
      </c>
      <c r="K818" s="37" t="s">
        <v>47</v>
      </c>
      <c r="L818" s="37"/>
      <c r="M818" s="37"/>
      <c r="N818" s="37"/>
      <c r="O818" s="37" t="s">
        <v>47</v>
      </c>
      <c r="P818" s="37"/>
      <c r="Q818" s="37" t="s">
        <v>47</v>
      </c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  <c r="AJ818" s="37"/>
      <c r="AK818" s="37"/>
      <c r="AM818" s="38"/>
      <c r="AN818" s="38"/>
      <c r="AO818" s="38"/>
      <c r="AP818" s="38"/>
      <c r="AQ818" s="38"/>
      <c r="AR818" s="38"/>
      <c r="AS818" s="38"/>
      <c r="AT818" s="38"/>
      <c r="AU818" s="38"/>
      <c r="AV818" s="38"/>
      <c r="AW818" s="38"/>
      <c r="AX818" s="38"/>
      <c r="AY818" s="38"/>
      <c r="AZ818" s="38"/>
      <c r="BA818" s="38" t="s">
        <v>47</v>
      </c>
      <c r="BB818" s="38"/>
      <c r="BC818" s="38"/>
      <c r="BD818" s="38"/>
      <c r="BE818" s="77">
        <f t="shared" si="54"/>
        <v>1</v>
      </c>
      <c r="BF818" s="38"/>
    </row>
    <row r="819" spans="1:58" ht="22.5" hidden="1" customHeight="1">
      <c r="A819" s="33" t="str">
        <f>IF(OR(ISBLANK(E819),ISBLANK(C819)),"",IF(COUNTIF($E$8:E819,E819)&gt;1,"",(MAX($A$7:A818)+1)))</f>
        <v/>
      </c>
      <c r="B819" s="34">
        <f>IF(ISBLANK(C819),"",SUBTOTAL(3,$C$8:C819))</f>
        <v>44</v>
      </c>
      <c r="C819" s="85" t="s">
        <v>1715</v>
      </c>
      <c r="D819" s="50" t="s">
        <v>1311</v>
      </c>
      <c r="E819" s="50" t="s">
        <v>1710</v>
      </c>
      <c r="F819" s="35" t="str">
        <f t="shared" si="52"/>
        <v/>
      </c>
      <c r="G819" s="36" t="str">
        <f t="shared" si="53"/>
        <v>A</v>
      </c>
      <c r="H819" s="51">
        <f t="shared" si="55"/>
        <v>4</v>
      </c>
      <c r="I819" s="51" t="str">
        <f t="shared" si="55"/>
        <v/>
      </c>
      <c r="J819" s="51" t="str">
        <f t="shared" si="55"/>
        <v/>
      </c>
      <c r="K819" s="37" t="s">
        <v>47</v>
      </c>
      <c r="L819" s="37"/>
      <c r="M819" s="37"/>
      <c r="N819" s="37" t="s">
        <v>47</v>
      </c>
      <c r="O819" s="37"/>
      <c r="P819" s="37"/>
      <c r="Q819" s="37" t="s">
        <v>47</v>
      </c>
      <c r="R819" s="37"/>
      <c r="S819" s="37"/>
      <c r="T819" s="37" t="s">
        <v>47</v>
      </c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  <c r="AI819" s="37"/>
      <c r="AJ819" s="37"/>
      <c r="AK819" s="37"/>
      <c r="AM819" s="38"/>
      <c r="AN819" s="38"/>
      <c r="AO819" s="38"/>
      <c r="AP819" s="38"/>
      <c r="AQ819" s="38"/>
      <c r="AR819" s="38"/>
      <c r="AS819" s="38"/>
      <c r="AT819" s="38"/>
      <c r="AU819" s="38"/>
      <c r="AV819" s="38"/>
      <c r="AW819" s="38"/>
      <c r="AX819" s="38"/>
      <c r="AY819" s="38"/>
      <c r="AZ819" s="38"/>
      <c r="BA819" s="38"/>
      <c r="BB819" s="38"/>
      <c r="BC819" s="38"/>
      <c r="BD819" s="38" t="s">
        <v>47</v>
      </c>
      <c r="BE819" s="77">
        <f t="shared" si="54"/>
        <v>1</v>
      </c>
      <c r="BF819" s="38"/>
    </row>
    <row r="820" spans="1:58" ht="22.5" hidden="1" customHeight="1">
      <c r="A820" s="33" t="str">
        <f>IF(OR(ISBLANK(E820),ISBLANK(C820)),"",IF(COUNTIF($E$8:E820,E820)&gt;1,"",(MAX($A$7:A819)+1)))</f>
        <v/>
      </c>
      <c r="B820" s="34">
        <f>IF(ISBLANK(C820),"",SUBTOTAL(3,$C$8:C820))</f>
        <v>44</v>
      </c>
      <c r="C820" s="85" t="s">
        <v>1716</v>
      </c>
      <c r="D820" s="50" t="s">
        <v>1717</v>
      </c>
      <c r="E820" s="50" t="s">
        <v>1710</v>
      </c>
      <c r="F820" s="35" t="str">
        <f t="shared" si="52"/>
        <v/>
      </c>
      <c r="G820" s="36" t="str">
        <f t="shared" si="53"/>
        <v>A</v>
      </c>
      <c r="H820" s="51">
        <f t="shared" si="55"/>
        <v>3</v>
      </c>
      <c r="I820" s="51">
        <f t="shared" si="55"/>
        <v>2</v>
      </c>
      <c r="J820" s="51" t="str">
        <f t="shared" si="55"/>
        <v/>
      </c>
      <c r="K820" s="37" t="s">
        <v>47</v>
      </c>
      <c r="L820" s="37"/>
      <c r="M820" s="37"/>
      <c r="N820" s="37" t="s">
        <v>47</v>
      </c>
      <c r="O820" s="37"/>
      <c r="P820" s="37"/>
      <c r="Q820" s="37" t="s">
        <v>47</v>
      </c>
      <c r="R820" s="37"/>
      <c r="S820" s="37"/>
      <c r="T820" s="37"/>
      <c r="U820" s="37" t="s">
        <v>47</v>
      </c>
      <c r="V820" s="37"/>
      <c r="W820" s="37"/>
      <c r="X820" s="37"/>
      <c r="Y820" s="37"/>
      <c r="Z820" s="37"/>
      <c r="AA820" s="37" t="s">
        <v>47</v>
      </c>
      <c r="AB820" s="37"/>
      <c r="AC820" s="37"/>
      <c r="AD820" s="37"/>
      <c r="AE820" s="37"/>
      <c r="AF820" s="37"/>
      <c r="AG820" s="37"/>
      <c r="AH820" s="37"/>
      <c r="AI820" s="37"/>
      <c r="AJ820" s="37"/>
      <c r="AK820" s="37"/>
      <c r="AM820" s="38"/>
      <c r="AN820" s="38"/>
      <c r="AO820" s="38"/>
      <c r="AP820" s="38"/>
      <c r="AQ820" s="38"/>
      <c r="AR820" s="38"/>
      <c r="AS820" s="38"/>
      <c r="AT820" s="38"/>
      <c r="AU820" s="38"/>
      <c r="AV820" s="38"/>
      <c r="AW820" s="38"/>
      <c r="AX820" s="38"/>
      <c r="AY820" s="38"/>
      <c r="AZ820" s="38"/>
      <c r="BA820" s="38"/>
      <c r="BB820" s="38"/>
      <c r="BC820" s="38"/>
      <c r="BD820" s="38" t="s">
        <v>47</v>
      </c>
      <c r="BE820" s="77">
        <f t="shared" si="54"/>
        <v>1</v>
      </c>
      <c r="BF820" s="38"/>
    </row>
    <row r="821" spans="1:58" ht="22.5" hidden="1" customHeight="1">
      <c r="A821" s="33" t="str">
        <f>IF(OR(ISBLANK(E821),ISBLANK(C821)),"",IF(COUNTIF($E$8:E821,E821)&gt;1,"",(MAX($A$7:A820)+1)))</f>
        <v/>
      </c>
      <c r="B821" s="34">
        <f>IF(ISBLANK(C821),"",SUBTOTAL(3,$C$8:C821))</f>
        <v>44</v>
      </c>
      <c r="C821" s="81" t="s">
        <v>1718</v>
      </c>
      <c r="D821" s="50" t="s">
        <v>1719</v>
      </c>
      <c r="E821" s="50" t="s">
        <v>1710</v>
      </c>
      <c r="F821" s="35" t="str">
        <f t="shared" si="52"/>
        <v/>
      </c>
      <c r="G821" s="36" t="str">
        <f t="shared" si="53"/>
        <v>A</v>
      </c>
      <c r="H821" s="51">
        <f t="shared" si="55"/>
        <v>3</v>
      </c>
      <c r="I821" s="51">
        <f t="shared" si="55"/>
        <v>1</v>
      </c>
      <c r="J821" s="51" t="str">
        <f t="shared" si="55"/>
        <v/>
      </c>
      <c r="K821" s="37" t="s">
        <v>47</v>
      </c>
      <c r="L821" s="37"/>
      <c r="M821" s="37"/>
      <c r="N821" s="37" t="s">
        <v>47</v>
      </c>
      <c r="O821" s="37"/>
      <c r="P821" s="37"/>
      <c r="Q821" s="37" t="s">
        <v>47</v>
      </c>
      <c r="R821" s="37"/>
      <c r="S821" s="37"/>
      <c r="T821" s="37"/>
      <c r="U821" s="37" t="s">
        <v>47</v>
      </c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  <c r="AJ821" s="37"/>
      <c r="AK821" s="37"/>
      <c r="AM821" s="38"/>
      <c r="AN821" s="38"/>
      <c r="AO821" s="38"/>
      <c r="AP821" s="38"/>
      <c r="AQ821" s="38"/>
      <c r="AR821" s="38"/>
      <c r="AS821" s="38"/>
      <c r="AT821" s="38"/>
      <c r="AU821" s="38"/>
      <c r="AV821" s="38"/>
      <c r="AW821" s="38"/>
      <c r="AX821" s="38"/>
      <c r="AY821" s="38"/>
      <c r="AZ821" s="38"/>
      <c r="BA821" s="38"/>
      <c r="BB821" s="38"/>
      <c r="BC821" s="38"/>
      <c r="BD821" s="38" t="s">
        <v>47</v>
      </c>
      <c r="BE821" s="77">
        <f t="shared" si="54"/>
        <v>1</v>
      </c>
      <c r="BF821" s="38"/>
    </row>
    <row r="822" spans="1:58" ht="22.5" hidden="1" customHeight="1">
      <c r="A822" s="33" t="str">
        <f>IF(OR(ISBLANK(E822),ISBLANK(C822)),"",IF(COUNTIF($E$8:E822,E822)&gt;1,"",(MAX($A$7:A821)+1)))</f>
        <v/>
      </c>
      <c r="B822" s="34">
        <f>IF(ISBLANK(C822),"",SUBTOTAL(3,$C$8:C822))</f>
        <v>44</v>
      </c>
      <c r="C822" s="81" t="s">
        <v>1720</v>
      </c>
      <c r="D822" s="50" t="s">
        <v>1721</v>
      </c>
      <c r="E822" s="50" t="s">
        <v>1710</v>
      </c>
      <c r="F822" s="35" t="str">
        <f t="shared" si="52"/>
        <v/>
      </c>
      <c r="G822" s="36" t="str">
        <f t="shared" si="53"/>
        <v>A</v>
      </c>
      <c r="H822" s="51">
        <f t="shared" si="55"/>
        <v>3</v>
      </c>
      <c r="I822" s="51">
        <f t="shared" si="55"/>
        <v>1</v>
      </c>
      <c r="J822" s="51" t="str">
        <f t="shared" si="55"/>
        <v/>
      </c>
      <c r="K822" s="37" t="s">
        <v>47</v>
      </c>
      <c r="L822" s="37"/>
      <c r="M822" s="37"/>
      <c r="N822" s="37" t="s">
        <v>47</v>
      </c>
      <c r="O822" s="37"/>
      <c r="P822" s="37"/>
      <c r="Q822" s="37" t="s">
        <v>47</v>
      </c>
      <c r="R822" s="37"/>
      <c r="S822" s="37"/>
      <c r="T822" s="37"/>
      <c r="U822" s="37" t="s">
        <v>47</v>
      </c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M822" s="38"/>
      <c r="AN822" s="38"/>
      <c r="AO822" s="38"/>
      <c r="AP822" s="38"/>
      <c r="AQ822" s="38"/>
      <c r="AR822" s="38"/>
      <c r="AS822" s="38"/>
      <c r="AT822" s="38"/>
      <c r="AU822" s="38"/>
      <c r="AV822" s="38"/>
      <c r="AW822" s="38"/>
      <c r="AX822" s="38"/>
      <c r="AY822" s="38"/>
      <c r="AZ822" s="38"/>
      <c r="BA822" s="38"/>
      <c r="BB822" s="38"/>
      <c r="BC822" s="38"/>
      <c r="BD822" s="38" t="s">
        <v>47</v>
      </c>
      <c r="BE822" s="77">
        <f t="shared" si="54"/>
        <v>1</v>
      </c>
      <c r="BF822" s="38"/>
    </row>
    <row r="823" spans="1:58" ht="22.5" hidden="1" customHeight="1">
      <c r="A823" s="33" t="str">
        <f>IF(OR(ISBLANK(E823),ISBLANK(C823)),"",IF(COUNTIF($E$8:E823,E823)&gt;1,"",(MAX($A$7:A822)+1)))</f>
        <v/>
      </c>
      <c r="B823" s="34">
        <f>IF(ISBLANK(C823),"",SUBTOTAL(3,$C$8:C823))</f>
        <v>44</v>
      </c>
      <c r="C823" s="85" t="s">
        <v>1722</v>
      </c>
      <c r="D823" s="50" t="s">
        <v>1723</v>
      </c>
      <c r="E823" s="50" t="s">
        <v>1710</v>
      </c>
      <c r="F823" s="35" t="str">
        <f t="shared" si="52"/>
        <v/>
      </c>
      <c r="G823" s="36" t="str">
        <f t="shared" si="53"/>
        <v/>
      </c>
      <c r="H823" s="51" t="str">
        <f t="shared" si="55"/>
        <v/>
      </c>
      <c r="I823" s="51" t="str">
        <f t="shared" si="55"/>
        <v/>
      </c>
      <c r="J823" s="51" t="str">
        <f t="shared" si="55"/>
        <v/>
      </c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  <c r="AJ823" s="37"/>
      <c r="AK823" s="37"/>
      <c r="AM823" s="38"/>
      <c r="AN823" s="38"/>
      <c r="AO823" s="38"/>
      <c r="AP823" s="38"/>
      <c r="AQ823" s="38"/>
      <c r="AR823" s="38"/>
      <c r="AS823" s="38"/>
      <c r="AT823" s="38"/>
      <c r="AU823" s="38"/>
      <c r="AV823" s="38"/>
      <c r="AW823" s="38"/>
      <c r="AX823" s="38"/>
      <c r="AY823" s="38"/>
      <c r="AZ823" s="38"/>
      <c r="BA823" s="38"/>
      <c r="BB823" s="38"/>
      <c r="BC823" s="38"/>
      <c r="BD823" s="38"/>
      <c r="BE823" s="77">
        <f t="shared" si="54"/>
        <v>0</v>
      </c>
      <c r="BF823" s="38"/>
    </row>
    <row r="824" spans="1:58" ht="22.5" hidden="1" customHeight="1">
      <c r="A824" s="33" t="str">
        <f>IF(OR(ISBLANK(E824),ISBLANK(C824)),"",IF(COUNTIF($E$8:E824,E824)&gt;1,"",(MAX($A$7:A823)+1)))</f>
        <v/>
      </c>
      <c r="B824" s="34">
        <f>IF(ISBLANK(C824),"",SUBTOTAL(3,$C$8:C824))</f>
        <v>44</v>
      </c>
      <c r="C824" s="85" t="s">
        <v>1724</v>
      </c>
      <c r="D824" s="50" t="s">
        <v>1725</v>
      </c>
      <c r="E824" s="50" t="s">
        <v>1710</v>
      </c>
      <c r="F824" s="35" t="str">
        <f t="shared" si="52"/>
        <v/>
      </c>
      <c r="G824" s="36" t="str">
        <f t="shared" si="53"/>
        <v>A</v>
      </c>
      <c r="H824" s="51">
        <f t="shared" si="55"/>
        <v>4</v>
      </c>
      <c r="I824" s="51">
        <f t="shared" si="55"/>
        <v>1</v>
      </c>
      <c r="J824" s="51" t="str">
        <f t="shared" si="55"/>
        <v/>
      </c>
      <c r="K824" s="37" t="s">
        <v>47</v>
      </c>
      <c r="L824" s="37"/>
      <c r="M824" s="37"/>
      <c r="N824" s="37" t="s">
        <v>47</v>
      </c>
      <c r="O824" s="37"/>
      <c r="P824" s="37"/>
      <c r="Q824" s="37" t="s">
        <v>47</v>
      </c>
      <c r="R824" s="37"/>
      <c r="S824" s="37"/>
      <c r="T824" s="37" t="s">
        <v>47</v>
      </c>
      <c r="U824" s="37"/>
      <c r="V824" s="37"/>
      <c r="W824" s="37"/>
      <c r="X824" s="37" t="s">
        <v>47</v>
      </c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M824" s="38"/>
      <c r="AN824" s="38"/>
      <c r="AO824" s="38"/>
      <c r="AP824" s="38"/>
      <c r="AQ824" s="38"/>
      <c r="AR824" s="38"/>
      <c r="AS824" s="38"/>
      <c r="AT824" s="38"/>
      <c r="AU824" s="38"/>
      <c r="AV824" s="38"/>
      <c r="AW824" s="38"/>
      <c r="AX824" s="38"/>
      <c r="AY824" s="38"/>
      <c r="AZ824" s="38"/>
      <c r="BA824" s="38"/>
      <c r="BB824" s="38"/>
      <c r="BC824" s="38"/>
      <c r="BD824" s="38" t="s">
        <v>47</v>
      </c>
      <c r="BE824" s="77">
        <f t="shared" si="54"/>
        <v>1</v>
      </c>
      <c r="BF824" s="38"/>
    </row>
    <row r="825" spans="1:58" ht="22.5" hidden="1" customHeight="1">
      <c r="A825" s="33" t="str">
        <f>IF(OR(ISBLANK(E825),ISBLANK(C825)),"",IF(COUNTIF($E$8:E825,E825)&gt;1,"",(MAX($A$7:A824)+1)))</f>
        <v/>
      </c>
      <c r="B825" s="34">
        <f>IF(ISBLANK(C825),"",SUBTOTAL(3,$C$8:C825))</f>
        <v>44</v>
      </c>
      <c r="C825" s="85" t="s">
        <v>1726</v>
      </c>
      <c r="D825" s="50" t="s">
        <v>1727</v>
      </c>
      <c r="E825" s="50" t="s">
        <v>1710</v>
      </c>
      <c r="F825" s="35" t="str">
        <f t="shared" si="52"/>
        <v/>
      </c>
      <c r="G825" s="36" t="str">
        <f t="shared" si="53"/>
        <v>B</v>
      </c>
      <c r="H825" s="51">
        <f t="shared" si="55"/>
        <v>2</v>
      </c>
      <c r="I825" s="51" t="str">
        <f t="shared" si="55"/>
        <v/>
      </c>
      <c r="J825" s="51">
        <f t="shared" si="55"/>
        <v>2</v>
      </c>
      <c r="K825" s="37" t="s">
        <v>47</v>
      </c>
      <c r="L825" s="37"/>
      <c r="M825" s="37"/>
      <c r="N825" s="37"/>
      <c r="O825" s="37"/>
      <c r="P825" s="37"/>
      <c r="Q825" s="37" t="s">
        <v>47</v>
      </c>
      <c r="R825" s="37"/>
      <c r="S825" s="37" t="s">
        <v>47</v>
      </c>
      <c r="T825" s="37"/>
      <c r="U825" s="37"/>
      <c r="V825" s="37"/>
      <c r="W825" s="37"/>
      <c r="X825" s="37"/>
      <c r="Y825" s="37" t="s">
        <v>47</v>
      </c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M825" s="38"/>
      <c r="AN825" s="38"/>
      <c r="AO825" s="38"/>
      <c r="AP825" s="38"/>
      <c r="AQ825" s="38"/>
      <c r="AR825" s="38"/>
      <c r="AS825" s="38"/>
      <c r="AT825" s="38"/>
      <c r="AU825" s="38"/>
      <c r="AV825" s="38"/>
      <c r="AW825" s="38"/>
      <c r="AX825" s="38"/>
      <c r="AY825" s="38"/>
      <c r="AZ825" s="38"/>
      <c r="BA825" s="38" t="s">
        <v>47</v>
      </c>
      <c r="BB825" s="38" t="s">
        <v>47</v>
      </c>
      <c r="BC825" s="38" t="s">
        <v>47</v>
      </c>
      <c r="BD825" s="38"/>
      <c r="BE825" s="77">
        <f t="shared" si="54"/>
        <v>3</v>
      </c>
      <c r="BF825" s="38"/>
    </row>
    <row r="826" spans="1:58" ht="22.5" hidden="1" customHeight="1">
      <c r="A826" s="33" t="str">
        <f>IF(OR(ISBLANK(E826),ISBLANK(C826)),"",IF(COUNTIF($E$8:E826,E826)&gt;1,"",(MAX($A$7:A825)+1)))</f>
        <v/>
      </c>
      <c r="B826" s="34">
        <f>IF(ISBLANK(C826),"",SUBTOTAL(3,$C$8:C826))</f>
        <v>44</v>
      </c>
      <c r="C826" s="85" t="s">
        <v>1728</v>
      </c>
      <c r="D826" s="50" t="s">
        <v>1729</v>
      </c>
      <c r="E826" s="50" t="s">
        <v>1710</v>
      </c>
      <c r="F826" s="35" t="str">
        <f t="shared" si="52"/>
        <v/>
      </c>
      <c r="G826" s="36" t="str">
        <f t="shared" si="53"/>
        <v>A</v>
      </c>
      <c r="H826" s="51">
        <f t="shared" si="55"/>
        <v>2</v>
      </c>
      <c r="I826" s="51">
        <f t="shared" si="55"/>
        <v>3</v>
      </c>
      <c r="J826" s="51">
        <f t="shared" si="55"/>
        <v>1</v>
      </c>
      <c r="K826" s="37" t="s">
        <v>47</v>
      </c>
      <c r="L826" s="37"/>
      <c r="M826" s="37"/>
      <c r="N826" s="37"/>
      <c r="O826" s="37" t="s">
        <v>47</v>
      </c>
      <c r="P826" s="37"/>
      <c r="Q826" s="37" t="s">
        <v>47</v>
      </c>
      <c r="R826" s="37"/>
      <c r="S826" s="37"/>
      <c r="T826" s="37"/>
      <c r="U826" s="37" t="s">
        <v>47</v>
      </c>
      <c r="V826" s="37"/>
      <c r="W826" s="37"/>
      <c r="X826" s="37" t="s">
        <v>47</v>
      </c>
      <c r="Y826" s="37"/>
      <c r="Z826" s="37"/>
      <c r="AA826" s="37"/>
      <c r="AB826" s="37" t="s">
        <v>47</v>
      </c>
      <c r="AC826" s="37"/>
      <c r="AD826" s="37"/>
      <c r="AE826" s="37"/>
      <c r="AF826" s="37"/>
      <c r="AG826" s="37"/>
      <c r="AH826" s="37"/>
      <c r="AI826" s="37"/>
      <c r="AJ826" s="37"/>
      <c r="AK826" s="37"/>
      <c r="AM826" s="38"/>
      <c r="AN826" s="38"/>
      <c r="AO826" s="38"/>
      <c r="AP826" s="38"/>
      <c r="AQ826" s="38"/>
      <c r="AR826" s="38"/>
      <c r="AS826" s="38"/>
      <c r="AT826" s="38"/>
      <c r="AU826" s="38"/>
      <c r="AV826" s="38"/>
      <c r="AW826" s="38"/>
      <c r="AX826" s="38"/>
      <c r="AY826" s="38"/>
      <c r="AZ826" s="38"/>
      <c r="BA826" s="38" t="s">
        <v>47</v>
      </c>
      <c r="BB826" s="38"/>
      <c r="BC826" s="38"/>
      <c r="BD826" s="38"/>
      <c r="BE826" s="77">
        <f t="shared" si="54"/>
        <v>1</v>
      </c>
      <c r="BF826" s="38"/>
    </row>
    <row r="827" spans="1:58" ht="22.5" hidden="1" customHeight="1">
      <c r="A827" s="33" t="str">
        <f>IF(OR(ISBLANK(E827),ISBLANK(C827)),"",IF(COUNTIF($E$8:E827,E827)&gt;1,"",(MAX($A$7:A826)+1)))</f>
        <v/>
      </c>
      <c r="B827" s="34">
        <f>IF(ISBLANK(C827),"",SUBTOTAL(3,$C$8:C827))</f>
        <v>44</v>
      </c>
      <c r="C827" s="85" t="s">
        <v>1730</v>
      </c>
      <c r="D827" s="50" t="s">
        <v>1731</v>
      </c>
      <c r="E827" s="50" t="s">
        <v>1710</v>
      </c>
      <c r="F827" s="35" t="str">
        <f t="shared" si="52"/>
        <v/>
      </c>
      <c r="G827" s="36" t="str">
        <f t="shared" si="53"/>
        <v>B</v>
      </c>
      <c r="H827" s="51">
        <f t="shared" si="55"/>
        <v>2</v>
      </c>
      <c r="I827" s="51" t="str">
        <f t="shared" si="55"/>
        <v/>
      </c>
      <c r="J827" s="51" t="str">
        <f t="shared" si="55"/>
        <v/>
      </c>
      <c r="K827" s="37" t="s">
        <v>47</v>
      </c>
      <c r="L827" s="37"/>
      <c r="M827" s="37"/>
      <c r="N827" s="37"/>
      <c r="O827" s="37"/>
      <c r="P827" s="37"/>
      <c r="Q827" s="37" t="s">
        <v>47</v>
      </c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  <c r="AJ827" s="37"/>
      <c r="AK827" s="37"/>
      <c r="AM827" s="38"/>
      <c r="AN827" s="38"/>
      <c r="AO827" s="38"/>
      <c r="AP827" s="38"/>
      <c r="AQ827" s="38"/>
      <c r="AR827" s="38"/>
      <c r="AS827" s="38"/>
      <c r="AT827" s="38"/>
      <c r="AU827" s="38"/>
      <c r="AV827" s="38"/>
      <c r="AW827" s="38"/>
      <c r="AX827" s="38"/>
      <c r="AY827" s="38"/>
      <c r="AZ827" s="38"/>
      <c r="BA827" s="38" t="s">
        <v>47</v>
      </c>
      <c r="BB827" s="38"/>
      <c r="BC827" s="38"/>
      <c r="BD827" s="38"/>
      <c r="BE827" s="77">
        <f t="shared" si="54"/>
        <v>1</v>
      </c>
      <c r="BF827" s="38"/>
    </row>
    <row r="828" spans="1:58" ht="22.5" hidden="1" customHeight="1">
      <c r="A828" s="33" t="str">
        <f>IF(OR(ISBLANK(E828),ISBLANK(C828)),"",IF(COUNTIF($E$8:E828,E828)&gt;1,"",(MAX($A$7:A827)+1)))</f>
        <v/>
      </c>
      <c r="B828" s="34">
        <f>IF(ISBLANK(C828),"",SUBTOTAL(3,$C$8:C828))</f>
        <v>44</v>
      </c>
      <c r="C828" s="85" t="s">
        <v>1732</v>
      </c>
      <c r="D828" s="50" t="s">
        <v>1733</v>
      </c>
      <c r="E828" s="50" t="s">
        <v>1710</v>
      </c>
      <c r="F828" s="35" t="str">
        <f t="shared" si="52"/>
        <v/>
      </c>
      <c r="G828" s="36" t="str">
        <f t="shared" si="53"/>
        <v>A</v>
      </c>
      <c r="H828" s="51">
        <f t="shared" si="55"/>
        <v>3</v>
      </c>
      <c r="I828" s="51" t="str">
        <f t="shared" si="55"/>
        <v/>
      </c>
      <c r="J828" s="51" t="str">
        <f t="shared" si="55"/>
        <v/>
      </c>
      <c r="K828" s="37" t="s">
        <v>47</v>
      </c>
      <c r="L828" s="37"/>
      <c r="M828" s="37"/>
      <c r="N828" s="37" t="s">
        <v>47</v>
      </c>
      <c r="O828" s="37"/>
      <c r="P828" s="37"/>
      <c r="Q828" s="37" t="s">
        <v>47</v>
      </c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M828" s="38"/>
      <c r="AN828" s="38"/>
      <c r="AO828" s="38"/>
      <c r="AP828" s="38"/>
      <c r="AQ828" s="38"/>
      <c r="AR828" s="38"/>
      <c r="AS828" s="38"/>
      <c r="AT828" s="38"/>
      <c r="AU828" s="38"/>
      <c r="AV828" s="38"/>
      <c r="AW828" s="38"/>
      <c r="AX828" s="38"/>
      <c r="AY828" s="38"/>
      <c r="AZ828" s="38"/>
      <c r="BA828" s="38"/>
      <c r="BB828" s="38"/>
      <c r="BC828" s="38"/>
      <c r="BD828" s="38" t="s">
        <v>47</v>
      </c>
      <c r="BE828" s="77">
        <f t="shared" si="54"/>
        <v>1</v>
      </c>
      <c r="BF828" s="38"/>
    </row>
    <row r="829" spans="1:58" ht="22.5" hidden="1" customHeight="1">
      <c r="A829" s="33" t="str">
        <f>IF(OR(ISBLANK(E829),ISBLANK(C829)),"",IF(COUNTIF($E$8:E829,E829)&gt;1,"",(MAX($A$7:A828)+1)))</f>
        <v/>
      </c>
      <c r="B829" s="34">
        <f>IF(ISBLANK(C829),"",SUBTOTAL(3,$C$8:C829))</f>
        <v>44</v>
      </c>
      <c r="C829" s="85" t="s">
        <v>1734</v>
      </c>
      <c r="D829" s="50" t="s">
        <v>1735</v>
      </c>
      <c r="E829" s="50" t="s">
        <v>1710</v>
      </c>
      <c r="F829" s="35" t="str">
        <f t="shared" si="52"/>
        <v/>
      </c>
      <c r="G829" s="36" t="str">
        <f t="shared" si="53"/>
        <v>A</v>
      </c>
      <c r="H829" s="51">
        <f t="shared" si="55"/>
        <v>3</v>
      </c>
      <c r="I829" s="51">
        <f t="shared" si="55"/>
        <v>1</v>
      </c>
      <c r="J829" s="51">
        <f t="shared" si="55"/>
        <v>2</v>
      </c>
      <c r="K829" s="37" t="s">
        <v>47</v>
      </c>
      <c r="L829" s="37"/>
      <c r="M829" s="37"/>
      <c r="N829" s="37" t="s">
        <v>47</v>
      </c>
      <c r="O829" s="37"/>
      <c r="P829" s="37"/>
      <c r="Q829" s="37" t="s">
        <v>47</v>
      </c>
      <c r="R829" s="37"/>
      <c r="S829" s="37"/>
      <c r="T829" s="37"/>
      <c r="U829" s="37" t="s">
        <v>47</v>
      </c>
      <c r="V829" s="37"/>
      <c r="W829" s="37"/>
      <c r="X829" s="37"/>
      <c r="Y829" s="37" t="s">
        <v>47</v>
      </c>
      <c r="Z829" s="37"/>
      <c r="AA829" s="37"/>
      <c r="AB829" s="37" t="s">
        <v>47</v>
      </c>
      <c r="AC829" s="37"/>
      <c r="AD829" s="37"/>
      <c r="AE829" s="37"/>
      <c r="AF829" s="37"/>
      <c r="AG829" s="37"/>
      <c r="AH829" s="37"/>
      <c r="AI829" s="37"/>
      <c r="AJ829" s="37"/>
      <c r="AK829" s="37"/>
      <c r="AM829" s="38"/>
      <c r="AN829" s="38"/>
      <c r="AO829" s="38"/>
      <c r="AP829" s="38"/>
      <c r="AQ829" s="38"/>
      <c r="AR829" s="38"/>
      <c r="AS829" s="38"/>
      <c r="AT829" s="38"/>
      <c r="AU829" s="38"/>
      <c r="AV829" s="38"/>
      <c r="AW829" s="38"/>
      <c r="AX829" s="38"/>
      <c r="AY829" s="38"/>
      <c r="AZ829" s="38"/>
      <c r="BA829" s="38" t="s">
        <v>47</v>
      </c>
      <c r="BB829" s="38"/>
      <c r="BC829" s="38"/>
      <c r="BD829" s="38"/>
      <c r="BE829" s="77">
        <f t="shared" si="54"/>
        <v>1</v>
      </c>
      <c r="BF829" s="38"/>
    </row>
    <row r="830" spans="1:58" ht="22.5" hidden="1" customHeight="1">
      <c r="A830" s="33">
        <f>IF(OR(ISBLANK(E830),ISBLANK(C830)),"",IF(COUNTIF($E$8:E830,E830)&gt;1,"",(MAX($A$7:A829)+1)))</f>
        <v>24</v>
      </c>
      <c r="B830" s="34">
        <f>IF(ISBLANK(C830),"",SUBTOTAL(3,$C$8:C830))</f>
        <v>44</v>
      </c>
      <c r="C830" s="81" t="s">
        <v>1736</v>
      </c>
      <c r="D830" s="50" t="s">
        <v>1737</v>
      </c>
      <c r="E830" s="50" t="s">
        <v>1738</v>
      </c>
      <c r="F830" s="35" t="str">
        <f t="shared" si="52"/>
        <v/>
      </c>
      <c r="G830" s="36" t="str">
        <f t="shared" si="53"/>
        <v>A</v>
      </c>
      <c r="H830" s="51">
        <f t="shared" si="55"/>
        <v>2</v>
      </c>
      <c r="I830" s="51">
        <f t="shared" si="55"/>
        <v>5</v>
      </c>
      <c r="J830" s="51">
        <f t="shared" si="55"/>
        <v>1</v>
      </c>
      <c r="K830" s="37" t="s">
        <v>47</v>
      </c>
      <c r="L830" s="37"/>
      <c r="M830" s="37"/>
      <c r="N830" s="37"/>
      <c r="O830" s="37" t="s">
        <v>47</v>
      </c>
      <c r="P830" s="37"/>
      <c r="Q830" s="37" t="s">
        <v>47</v>
      </c>
      <c r="R830" s="37"/>
      <c r="S830" s="37"/>
      <c r="T830" s="37"/>
      <c r="U830" s="37" t="s">
        <v>47</v>
      </c>
      <c r="V830" s="37"/>
      <c r="W830" s="37"/>
      <c r="X830" s="37" t="s">
        <v>47</v>
      </c>
      <c r="Y830" s="37"/>
      <c r="Z830" s="37"/>
      <c r="AA830" s="37"/>
      <c r="AB830" s="37" t="s">
        <v>47</v>
      </c>
      <c r="AC830" s="37"/>
      <c r="AD830" s="37" t="s">
        <v>47</v>
      </c>
      <c r="AE830" s="37"/>
      <c r="AF830" s="37"/>
      <c r="AG830" s="37" t="s">
        <v>47</v>
      </c>
      <c r="AH830" s="37"/>
      <c r="AI830" s="37"/>
      <c r="AJ830" s="37"/>
      <c r="AK830" s="37"/>
      <c r="AM830" s="38"/>
      <c r="AN830" s="38"/>
      <c r="AO830" s="38"/>
      <c r="AP830" s="38"/>
      <c r="AQ830" s="38"/>
      <c r="AR830" s="38"/>
      <c r="AS830" s="38"/>
      <c r="AT830" s="38"/>
      <c r="AU830" s="38"/>
      <c r="AV830" s="38"/>
      <c r="AW830" s="38" t="s">
        <v>47</v>
      </c>
      <c r="AX830" s="38"/>
      <c r="AY830" s="38"/>
      <c r="AZ830" s="38"/>
      <c r="BA830" s="38"/>
      <c r="BB830" s="38" t="s">
        <v>47</v>
      </c>
      <c r="BC830" s="38"/>
      <c r="BD830" s="38"/>
      <c r="BE830" s="77">
        <f t="shared" si="54"/>
        <v>2</v>
      </c>
      <c r="BF830" s="38"/>
    </row>
    <row r="831" spans="1:58" ht="22.5" hidden="1" customHeight="1">
      <c r="A831" s="33" t="str">
        <f>IF(OR(ISBLANK(E831),ISBLANK(C831)),"",IF(COUNTIF($E$8:E831,E831)&gt;1,"",(MAX($A$7:A830)+1)))</f>
        <v/>
      </c>
      <c r="B831" s="34">
        <f>IF(ISBLANK(C831),"",SUBTOTAL(3,$C$8:C831))</f>
        <v>44</v>
      </c>
      <c r="C831" s="81" t="s">
        <v>1739</v>
      </c>
      <c r="D831" s="50" t="s">
        <v>1740</v>
      </c>
      <c r="E831" s="50" t="s">
        <v>1738</v>
      </c>
      <c r="F831" s="35" t="str">
        <f t="shared" si="52"/>
        <v/>
      </c>
      <c r="G831" s="36" t="str">
        <f t="shared" si="53"/>
        <v>A</v>
      </c>
      <c r="H831" s="51">
        <f t="shared" si="55"/>
        <v>2</v>
      </c>
      <c r="I831" s="51">
        <f t="shared" si="55"/>
        <v>6</v>
      </c>
      <c r="J831" s="51" t="str">
        <f t="shared" si="55"/>
        <v/>
      </c>
      <c r="K831" s="37" t="s">
        <v>47</v>
      </c>
      <c r="L831" s="37"/>
      <c r="M831" s="37"/>
      <c r="N831" s="37"/>
      <c r="O831" s="37" t="s">
        <v>47</v>
      </c>
      <c r="P831" s="37"/>
      <c r="Q831" s="37" t="s">
        <v>47</v>
      </c>
      <c r="R831" s="37"/>
      <c r="S831" s="37"/>
      <c r="T831" s="37"/>
      <c r="U831" s="37" t="s">
        <v>47</v>
      </c>
      <c r="V831" s="37"/>
      <c r="W831" s="37"/>
      <c r="X831" s="37" t="s">
        <v>47</v>
      </c>
      <c r="Y831" s="37"/>
      <c r="Z831" s="37"/>
      <c r="AA831" s="37" t="s">
        <v>47</v>
      </c>
      <c r="AB831" s="37"/>
      <c r="AC831" s="37"/>
      <c r="AD831" s="37" t="s">
        <v>47</v>
      </c>
      <c r="AE831" s="37"/>
      <c r="AF831" s="37"/>
      <c r="AG831" s="37" t="s">
        <v>47</v>
      </c>
      <c r="AH831" s="37"/>
      <c r="AI831" s="37"/>
      <c r="AJ831" s="37"/>
      <c r="AK831" s="37"/>
      <c r="AM831" s="38"/>
      <c r="AN831" s="38"/>
      <c r="AO831" s="38"/>
      <c r="AP831" s="38"/>
      <c r="AQ831" s="38"/>
      <c r="AR831" s="38"/>
      <c r="AS831" s="38"/>
      <c r="AT831" s="38"/>
      <c r="AU831" s="38"/>
      <c r="AV831" s="38"/>
      <c r="AW831" s="38" t="s">
        <v>47</v>
      </c>
      <c r="AX831" s="38"/>
      <c r="AY831" s="38"/>
      <c r="AZ831" s="38"/>
      <c r="BA831" s="38"/>
      <c r="BB831" s="38" t="s">
        <v>47</v>
      </c>
      <c r="BC831" s="38"/>
      <c r="BD831" s="38"/>
      <c r="BE831" s="77">
        <f t="shared" si="54"/>
        <v>2</v>
      </c>
      <c r="BF831" s="38"/>
    </row>
    <row r="832" spans="1:58" ht="22.5" hidden="1" customHeight="1">
      <c r="A832" s="33" t="str">
        <f>IF(OR(ISBLANK(E832),ISBLANK(C832)),"",IF(COUNTIF($E$8:E832,E832)&gt;1,"",(MAX($A$7:A831)+1)))</f>
        <v/>
      </c>
      <c r="B832" s="34">
        <f>IF(ISBLANK(C832),"",SUBTOTAL(3,$C$8:C832))</f>
        <v>44</v>
      </c>
      <c r="C832" s="83" t="s">
        <v>1741</v>
      </c>
      <c r="D832" s="50" t="s">
        <v>1742</v>
      </c>
      <c r="E832" s="50" t="s">
        <v>1738</v>
      </c>
      <c r="F832" s="35" t="str">
        <f t="shared" si="52"/>
        <v/>
      </c>
      <c r="G832" s="36" t="str">
        <f t="shared" si="53"/>
        <v>A</v>
      </c>
      <c r="H832" s="51">
        <f t="shared" si="55"/>
        <v>3</v>
      </c>
      <c r="I832" s="51">
        <f t="shared" si="55"/>
        <v>5</v>
      </c>
      <c r="J832" s="51" t="str">
        <f t="shared" si="55"/>
        <v/>
      </c>
      <c r="K832" s="37" t="s">
        <v>47</v>
      </c>
      <c r="L832" s="37"/>
      <c r="M832" s="37"/>
      <c r="N832" s="37" t="s">
        <v>47</v>
      </c>
      <c r="O832" s="37"/>
      <c r="P832" s="37"/>
      <c r="Q832" s="37" t="s">
        <v>47</v>
      </c>
      <c r="R832" s="37"/>
      <c r="S832" s="37"/>
      <c r="T832" s="37"/>
      <c r="U832" s="37" t="s">
        <v>47</v>
      </c>
      <c r="V832" s="37"/>
      <c r="W832" s="37"/>
      <c r="X832" s="37" t="s">
        <v>47</v>
      </c>
      <c r="Y832" s="37"/>
      <c r="Z832" s="37"/>
      <c r="AA832" s="37" t="s">
        <v>47</v>
      </c>
      <c r="AB832" s="37"/>
      <c r="AC832" s="37"/>
      <c r="AD832" s="37" t="s">
        <v>47</v>
      </c>
      <c r="AE832" s="37"/>
      <c r="AF832" s="37"/>
      <c r="AG832" s="37" t="s">
        <v>47</v>
      </c>
      <c r="AH832" s="37"/>
      <c r="AI832" s="37"/>
      <c r="AJ832" s="37"/>
      <c r="AK832" s="37"/>
      <c r="AM832" s="38"/>
      <c r="AN832" s="38"/>
      <c r="AO832" s="38"/>
      <c r="AP832" s="38"/>
      <c r="AQ832" s="38"/>
      <c r="AR832" s="38"/>
      <c r="AS832" s="38"/>
      <c r="AT832" s="38"/>
      <c r="AU832" s="38"/>
      <c r="AV832" s="38"/>
      <c r="AW832" s="38" t="s">
        <v>47</v>
      </c>
      <c r="AX832" s="38"/>
      <c r="AY832" s="38"/>
      <c r="AZ832" s="38"/>
      <c r="BA832" s="38"/>
      <c r="BB832" s="38" t="s">
        <v>47</v>
      </c>
      <c r="BC832" s="38"/>
      <c r="BD832" s="38"/>
      <c r="BE832" s="77">
        <f t="shared" si="54"/>
        <v>2</v>
      </c>
      <c r="BF832" s="38"/>
    </row>
    <row r="833" spans="1:58" ht="22.5" hidden="1" customHeight="1">
      <c r="A833" s="33" t="str">
        <f>IF(OR(ISBLANK(E833),ISBLANK(C833)),"",IF(COUNTIF($E$8:E833,E833)&gt;1,"",(MAX($A$7:A832)+1)))</f>
        <v/>
      </c>
      <c r="B833" s="34">
        <f>IF(ISBLANK(C833),"",SUBTOTAL(3,$C$8:C833))</f>
        <v>44</v>
      </c>
      <c r="C833" s="83" t="s">
        <v>1743</v>
      </c>
      <c r="D833" s="50" t="s">
        <v>1744</v>
      </c>
      <c r="E833" s="50" t="s">
        <v>1738</v>
      </c>
      <c r="F833" s="35" t="str">
        <f t="shared" si="52"/>
        <v/>
      </c>
      <c r="G833" s="36" t="str">
        <f t="shared" si="53"/>
        <v>A</v>
      </c>
      <c r="H833" s="51">
        <f t="shared" si="55"/>
        <v>5</v>
      </c>
      <c r="I833" s="51">
        <f t="shared" si="55"/>
        <v>3</v>
      </c>
      <c r="J833" s="51" t="str">
        <f t="shared" si="55"/>
        <v/>
      </c>
      <c r="K833" s="37" t="s">
        <v>47</v>
      </c>
      <c r="L833" s="37"/>
      <c r="M833" s="37"/>
      <c r="N833" s="37" t="s">
        <v>47</v>
      </c>
      <c r="O833" s="37"/>
      <c r="P833" s="37"/>
      <c r="Q833" s="37" t="s">
        <v>47</v>
      </c>
      <c r="R833" s="37"/>
      <c r="S833" s="37"/>
      <c r="T833" s="37" t="s">
        <v>47</v>
      </c>
      <c r="U833" s="37"/>
      <c r="V833" s="37"/>
      <c r="W833" s="37"/>
      <c r="X833" s="37" t="s">
        <v>47</v>
      </c>
      <c r="Y833" s="37"/>
      <c r="Z833" s="37"/>
      <c r="AA833" s="37" t="s">
        <v>47</v>
      </c>
      <c r="AB833" s="37"/>
      <c r="AC833" s="37"/>
      <c r="AD833" s="37" t="s">
        <v>47</v>
      </c>
      <c r="AE833" s="37"/>
      <c r="AF833" s="37" t="s">
        <v>47</v>
      </c>
      <c r="AG833" s="37"/>
      <c r="AH833" s="37"/>
      <c r="AI833" s="37"/>
      <c r="AJ833" s="37"/>
      <c r="AK833" s="37"/>
      <c r="AM833" s="38"/>
      <c r="AN833" s="38"/>
      <c r="AO833" s="38"/>
      <c r="AP833" s="38"/>
      <c r="AQ833" s="38"/>
      <c r="AR833" s="38"/>
      <c r="AS833" s="38"/>
      <c r="AT833" s="38"/>
      <c r="AU833" s="38"/>
      <c r="AV833" s="38"/>
      <c r="AW833" s="38" t="s">
        <v>47</v>
      </c>
      <c r="AX833" s="38"/>
      <c r="AY833" s="38"/>
      <c r="AZ833" s="38"/>
      <c r="BA833" s="38"/>
      <c r="BB833" s="38" t="s">
        <v>47</v>
      </c>
      <c r="BC833" s="38"/>
      <c r="BD833" s="38"/>
      <c r="BE833" s="77">
        <f t="shared" si="54"/>
        <v>2</v>
      </c>
      <c r="BF833" s="38"/>
    </row>
    <row r="834" spans="1:58" ht="22.5" hidden="1" customHeight="1">
      <c r="A834" s="33" t="str">
        <f>IF(OR(ISBLANK(E834),ISBLANK(C834)),"",IF(COUNTIF($E$8:E834,E834)&gt;1,"",(MAX($A$7:A833)+1)))</f>
        <v/>
      </c>
      <c r="B834" s="34">
        <f>IF(ISBLANK(C834),"",SUBTOTAL(3,$C$8:C834))</f>
        <v>44</v>
      </c>
      <c r="C834" s="85" t="s">
        <v>1745</v>
      </c>
      <c r="D834" s="50" t="s">
        <v>1746</v>
      </c>
      <c r="E834" s="50" t="s">
        <v>1738</v>
      </c>
      <c r="F834" s="35" t="str">
        <f t="shared" si="52"/>
        <v/>
      </c>
      <c r="G834" s="36" t="str">
        <f t="shared" si="53"/>
        <v>A</v>
      </c>
      <c r="H834" s="51">
        <f t="shared" si="55"/>
        <v>5</v>
      </c>
      <c r="I834" s="51">
        <f t="shared" si="55"/>
        <v>3</v>
      </c>
      <c r="J834" s="51" t="str">
        <f t="shared" si="55"/>
        <v/>
      </c>
      <c r="K834" s="37" t="s">
        <v>47</v>
      </c>
      <c r="L834" s="37"/>
      <c r="M834" s="37"/>
      <c r="N834" s="37" t="s">
        <v>47</v>
      </c>
      <c r="O834" s="37"/>
      <c r="P834" s="37"/>
      <c r="Q834" s="37" t="s">
        <v>47</v>
      </c>
      <c r="R834" s="37"/>
      <c r="S834" s="37"/>
      <c r="T834" s="37" t="s">
        <v>47</v>
      </c>
      <c r="U834" s="37"/>
      <c r="V834" s="37"/>
      <c r="W834" s="37"/>
      <c r="X834" s="37" t="s">
        <v>47</v>
      </c>
      <c r="Y834" s="37"/>
      <c r="Z834" s="37"/>
      <c r="AA834" s="37" t="s">
        <v>47</v>
      </c>
      <c r="AB834" s="37"/>
      <c r="AC834" s="37"/>
      <c r="AD834" s="37" t="s">
        <v>47</v>
      </c>
      <c r="AE834" s="37"/>
      <c r="AF834" s="37" t="s">
        <v>47</v>
      </c>
      <c r="AG834" s="37"/>
      <c r="AH834" s="37"/>
      <c r="AI834" s="37"/>
      <c r="AJ834" s="37"/>
      <c r="AK834" s="37"/>
      <c r="AM834" s="38"/>
      <c r="AN834" s="38"/>
      <c r="AO834" s="38"/>
      <c r="AP834" s="38"/>
      <c r="AQ834" s="38"/>
      <c r="AR834" s="38"/>
      <c r="AS834" s="38"/>
      <c r="AT834" s="38"/>
      <c r="AU834" s="38"/>
      <c r="AV834" s="38"/>
      <c r="AW834" s="38" t="s">
        <v>47</v>
      </c>
      <c r="AX834" s="38"/>
      <c r="AY834" s="38"/>
      <c r="AZ834" s="38"/>
      <c r="BA834" s="38"/>
      <c r="BB834" s="38" t="s">
        <v>47</v>
      </c>
      <c r="BC834" s="38"/>
      <c r="BD834" s="38"/>
      <c r="BE834" s="77">
        <f t="shared" si="54"/>
        <v>2</v>
      </c>
      <c r="BF834" s="38"/>
    </row>
    <row r="835" spans="1:58" ht="22.5" hidden="1" customHeight="1">
      <c r="A835" s="33" t="str">
        <f>IF(OR(ISBLANK(E835),ISBLANK(C835)),"",IF(COUNTIF($E$8:E835,E835)&gt;1,"",(MAX($A$7:A834)+1)))</f>
        <v/>
      </c>
      <c r="B835" s="34">
        <f>IF(ISBLANK(C835),"",SUBTOTAL(3,$C$8:C835))</f>
        <v>44</v>
      </c>
      <c r="C835" s="85" t="s">
        <v>1747</v>
      </c>
      <c r="D835" s="50" t="s">
        <v>1748</v>
      </c>
      <c r="E835" s="50" t="s">
        <v>1738</v>
      </c>
      <c r="F835" s="35" t="str">
        <f t="shared" si="52"/>
        <v/>
      </c>
      <c r="G835" s="36" t="str">
        <f t="shared" si="53"/>
        <v>A</v>
      </c>
      <c r="H835" s="51">
        <f t="shared" si="55"/>
        <v>4</v>
      </c>
      <c r="I835" s="51">
        <f t="shared" si="55"/>
        <v>4</v>
      </c>
      <c r="J835" s="51" t="str">
        <f t="shared" si="55"/>
        <v/>
      </c>
      <c r="K835" s="37" t="s">
        <v>47</v>
      </c>
      <c r="L835" s="37"/>
      <c r="M835" s="37"/>
      <c r="N835" s="37" t="s">
        <v>47</v>
      </c>
      <c r="O835" s="37"/>
      <c r="P835" s="37"/>
      <c r="Q835" s="37" t="s">
        <v>47</v>
      </c>
      <c r="R835" s="37"/>
      <c r="S835" s="37"/>
      <c r="T835" s="37"/>
      <c r="U835" s="37" t="s">
        <v>47</v>
      </c>
      <c r="V835" s="37"/>
      <c r="W835" s="37"/>
      <c r="X835" s="37" t="s">
        <v>47</v>
      </c>
      <c r="Y835" s="37"/>
      <c r="Z835" s="37"/>
      <c r="AA835" s="37" t="s">
        <v>47</v>
      </c>
      <c r="AB835" s="37"/>
      <c r="AC835" s="37"/>
      <c r="AD835" s="37" t="s">
        <v>47</v>
      </c>
      <c r="AE835" s="37"/>
      <c r="AF835" s="37" t="s">
        <v>47</v>
      </c>
      <c r="AG835" s="37"/>
      <c r="AH835" s="37"/>
      <c r="AI835" s="37"/>
      <c r="AJ835" s="37"/>
      <c r="AK835" s="37"/>
      <c r="AM835" s="38"/>
      <c r="AN835" s="38"/>
      <c r="AO835" s="38"/>
      <c r="AP835" s="38"/>
      <c r="AQ835" s="38"/>
      <c r="AR835" s="38"/>
      <c r="AS835" s="38"/>
      <c r="AT835" s="38"/>
      <c r="AU835" s="38"/>
      <c r="AV835" s="38"/>
      <c r="AW835" s="38" t="s">
        <v>47</v>
      </c>
      <c r="AX835" s="38"/>
      <c r="AY835" s="38"/>
      <c r="AZ835" s="38"/>
      <c r="BA835" s="38"/>
      <c r="BB835" s="38" t="s">
        <v>47</v>
      </c>
      <c r="BC835" s="38"/>
      <c r="BD835" s="38"/>
      <c r="BE835" s="77">
        <f t="shared" si="54"/>
        <v>2</v>
      </c>
      <c r="BF835" s="38"/>
    </row>
    <row r="836" spans="1:58" ht="22.5" hidden="1" customHeight="1">
      <c r="A836" s="33" t="str">
        <f>IF(OR(ISBLANK(E836),ISBLANK(C836)),"",IF(COUNTIF($E$8:E836,E836)&gt;1,"",(MAX($A$7:A835)+1)))</f>
        <v/>
      </c>
      <c r="B836" s="34">
        <f>IF(ISBLANK(C836),"",SUBTOTAL(3,$C$8:C836))</f>
        <v>44</v>
      </c>
      <c r="C836" s="85" t="s">
        <v>1749</v>
      </c>
      <c r="D836" s="50" t="s">
        <v>1750</v>
      </c>
      <c r="E836" s="50" t="s">
        <v>1738</v>
      </c>
      <c r="F836" s="35" t="str">
        <f t="shared" si="52"/>
        <v/>
      </c>
      <c r="G836" s="36" t="str">
        <f t="shared" si="53"/>
        <v>A</v>
      </c>
      <c r="H836" s="51">
        <f t="shared" si="55"/>
        <v>3</v>
      </c>
      <c r="I836" s="51">
        <f t="shared" si="55"/>
        <v>5</v>
      </c>
      <c r="J836" s="51" t="str">
        <f t="shared" si="55"/>
        <v/>
      </c>
      <c r="K836" s="37" t="s">
        <v>47</v>
      </c>
      <c r="L836" s="37"/>
      <c r="M836" s="37"/>
      <c r="N836" s="37"/>
      <c r="O836" s="37" t="s">
        <v>47</v>
      </c>
      <c r="P836" s="37"/>
      <c r="Q836" s="37" t="s">
        <v>47</v>
      </c>
      <c r="R836" s="37"/>
      <c r="S836" s="37"/>
      <c r="T836" s="37"/>
      <c r="U836" s="37" t="s">
        <v>47</v>
      </c>
      <c r="V836" s="37"/>
      <c r="W836" s="37"/>
      <c r="X836" s="37" t="s">
        <v>47</v>
      </c>
      <c r="Y836" s="37"/>
      <c r="Z836" s="37"/>
      <c r="AA836" s="37" t="s">
        <v>47</v>
      </c>
      <c r="AB836" s="37"/>
      <c r="AC836" s="37"/>
      <c r="AD836" s="37" t="s">
        <v>47</v>
      </c>
      <c r="AE836" s="37"/>
      <c r="AF836" s="37" t="s">
        <v>47</v>
      </c>
      <c r="AG836" s="37"/>
      <c r="AH836" s="37"/>
      <c r="AI836" s="37"/>
      <c r="AJ836" s="37"/>
      <c r="AK836" s="37"/>
      <c r="AM836" s="38"/>
      <c r="AN836" s="38"/>
      <c r="AO836" s="38"/>
      <c r="AP836" s="38"/>
      <c r="AQ836" s="38"/>
      <c r="AR836" s="38"/>
      <c r="AS836" s="38"/>
      <c r="AT836" s="38"/>
      <c r="AU836" s="38"/>
      <c r="AV836" s="38"/>
      <c r="AW836" s="38" t="s">
        <v>47</v>
      </c>
      <c r="AX836" s="38"/>
      <c r="AY836" s="38"/>
      <c r="AZ836" s="38"/>
      <c r="BA836" s="38"/>
      <c r="BB836" s="38" t="s">
        <v>47</v>
      </c>
      <c r="BC836" s="38"/>
      <c r="BD836" s="38"/>
      <c r="BE836" s="77">
        <f t="shared" si="54"/>
        <v>2</v>
      </c>
      <c r="BF836" s="38"/>
    </row>
    <row r="837" spans="1:58" ht="22.5" hidden="1" customHeight="1">
      <c r="A837" s="33" t="str">
        <f>IF(OR(ISBLANK(E837),ISBLANK(C837)),"",IF(COUNTIF($E$8:E837,E837)&gt;1,"",(MAX($A$7:A836)+1)))</f>
        <v/>
      </c>
      <c r="B837" s="34">
        <f>IF(ISBLANK(C837),"",SUBTOTAL(3,$C$8:C837))</f>
        <v>44</v>
      </c>
      <c r="C837" s="85" t="s">
        <v>1751</v>
      </c>
      <c r="D837" s="50" t="s">
        <v>1752</v>
      </c>
      <c r="E837" s="50" t="s">
        <v>1738</v>
      </c>
      <c r="F837" s="35" t="str">
        <f t="shared" si="52"/>
        <v/>
      </c>
      <c r="G837" s="36" t="str">
        <f t="shared" si="53"/>
        <v>A</v>
      </c>
      <c r="H837" s="51">
        <f t="shared" si="55"/>
        <v>5</v>
      </c>
      <c r="I837" s="51">
        <f t="shared" si="55"/>
        <v>3</v>
      </c>
      <c r="J837" s="51" t="str">
        <f t="shared" si="55"/>
        <v/>
      </c>
      <c r="K837" s="37" t="s">
        <v>47</v>
      </c>
      <c r="L837" s="37"/>
      <c r="M837" s="37"/>
      <c r="N837" s="37" t="s">
        <v>47</v>
      </c>
      <c r="O837" s="37"/>
      <c r="P837" s="37"/>
      <c r="Q837" s="37" t="s">
        <v>47</v>
      </c>
      <c r="R837" s="37"/>
      <c r="S837" s="37"/>
      <c r="T837" s="37" t="s">
        <v>47</v>
      </c>
      <c r="U837" s="37"/>
      <c r="V837" s="37"/>
      <c r="W837" s="37"/>
      <c r="X837" s="37" t="s">
        <v>47</v>
      </c>
      <c r="Y837" s="37"/>
      <c r="Z837" s="37"/>
      <c r="AA837" s="37" t="s">
        <v>47</v>
      </c>
      <c r="AB837" s="37"/>
      <c r="AC837" s="37"/>
      <c r="AD837" s="37" t="s">
        <v>47</v>
      </c>
      <c r="AE837" s="37"/>
      <c r="AF837" s="37" t="s">
        <v>47</v>
      </c>
      <c r="AG837" s="37"/>
      <c r="AH837" s="37"/>
      <c r="AI837" s="37"/>
      <c r="AJ837" s="37"/>
      <c r="AK837" s="37"/>
      <c r="AM837" s="38"/>
      <c r="AN837" s="38"/>
      <c r="AO837" s="38"/>
      <c r="AP837" s="38"/>
      <c r="AQ837" s="38"/>
      <c r="AR837" s="38"/>
      <c r="AS837" s="38"/>
      <c r="AT837" s="38"/>
      <c r="AU837" s="38"/>
      <c r="AV837" s="38"/>
      <c r="AW837" s="38" t="s">
        <v>47</v>
      </c>
      <c r="AX837" s="38"/>
      <c r="AY837" s="38"/>
      <c r="AZ837" s="38"/>
      <c r="BA837" s="38"/>
      <c r="BB837" s="38" t="s">
        <v>47</v>
      </c>
      <c r="BC837" s="38"/>
      <c r="BD837" s="38"/>
      <c r="BE837" s="77">
        <f t="shared" si="54"/>
        <v>2</v>
      </c>
      <c r="BF837" s="38"/>
    </row>
    <row r="838" spans="1:58" ht="22.5" hidden="1" customHeight="1">
      <c r="A838" s="33" t="str">
        <f>IF(OR(ISBLANK(E838),ISBLANK(C838)),"",IF(COUNTIF($E$8:E838,E838)&gt;1,"",(MAX($A$7:A837)+1)))</f>
        <v/>
      </c>
      <c r="B838" s="34">
        <f>IF(ISBLANK(C838),"",SUBTOTAL(3,$C$8:C838))</f>
        <v>44</v>
      </c>
      <c r="C838" s="85" t="s">
        <v>1753</v>
      </c>
      <c r="D838" s="50" t="s">
        <v>1754</v>
      </c>
      <c r="E838" s="50" t="s">
        <v>1738</v>
      </c>
      <c r="F838" s="35" t="str">
        <f t="shared" si="52"/>
        <v/>
      </c>
      <c r="G838" s="36" t="str">
        <f t="shared" si="53"/>
        <v>A</v>
      </c>
      <c r="H838" s="51">
        <f t="shared" si="55"/>
        <v>7</v>
      </c>
      <c r="I838" s="51">
        <f t="shared" si="55"/>
        <v>1</v>
      </c>
      <c r="J838" s="51" t="str">
        <f t="shared" si="55"/>
        <v/>
      </c>
      <c r="K838" s="37" t="s">
        <v>47</v>
      </c>
      <c r="L838" s="37"/>
      <c r="M838" s="37"/>
      <c r="N838" s="37" t="s">
        <v>47</v>
      </c>
      <c r="O838" s="37"/>
      <c r="P838" s="37"/>
      <c r="Q838" s="37" t="s">
        <v>47</v>
      </c>
      <c r="R838" s="37"/>
      <c r="S838" s="37"/>
      <c r="T838" s="37" t="s">
        <v>47</v>
      </c>
      <c r="U838" s="37"/>
      <c r="V838" s="37"/>
      <c r="W838" s="37"/>
      <c r="X838" s="37" t="s">
        <v>47</v>
      </c>
      <c r="Y838" s="37"/>
      <c r="Z838" s="37" t="s">
        <v>47</v>
      </c>
      <c r="AA838" s="37"/>
      <c r="AB838" s="37"/>
      <c r="AC838" s="37" t="s">
        <v>47</v>
      </c>
      <c r="AD838" s="37"/>
      <c r="AE838" s="37"/>
      <c r="AF838" s="37" t="s">
        <v>47</v>
      </c>
      <c r="AG838" s="37"/>
      <c r="AH838" s="37"/>
      <c r="AI838" s="37"/>
      <c r="AJ838" s="37"/>
      <c r="AK838" s="37"/>
      <c r="AM838" s="38"/>
      <c r="AN838" s="38"/>
      <c r="AO838" s="38" t="s">
        <v>47</v>
      </c>
      <c r="AP838" s="38" t="s">
        <v>47</v>
      </c>
      <c r="AQ838" s="38"/>
      <c r="AR838" s="38" t="s">
        <v>47</v>
      </c>
      <c r="AS838" s="38"/>
      <c r="AT838" s="38"/>
      <c r="AU838" s="38"/>
      <c r="AV838" s="38"/>
      <c r="AW838" s="38" t="s">
        <v>47</v>
      </c>
      <c r="AX838" s="38"/>
      <c r="AY838" s="38"/>
      <c r="AZ838" s="38"/>
      <c r="BA838" s="38"/>
      <c r="BB838" s="38" t="s">
        <v>47</v>
      </c>
      <c r="BC838" s="38"/>
      <c r="BD838" s="38"/>
      <c r="BE838" s="77">
        <f t="shared" si="54"/>
        <v>5</v>
      </c>
      <c r="BF838" s="38"/>
    </row>
    <row r="839" spans="1:58" ht="22.5" hidden="1" customHeight="1">
      <c r="A839" s="33" t="str">
        <f>IF(OR(ISBLANK(E839),ISBLANK(C839)),"",IF(COUNTIF($E$8:E839,E839)&gt;1,"",(MAX($A$7:A838)+1)))</f>
        <v/>
      </c>
      <c r="B839" s="34">
        <f>IF(ISBLANK(C839),"",SUBTOTAL(3,$C$8:C839))</f>
        <v>44</v>
      </c>
      <c r="C839" s="85" t="s">
        <v>1755</v>
      </c>
      <c r="D839" s="50" t="s">
        <v>1756</v>
      </c>
      <c r="E839" s="50" t="s">
        <v>1738</v>
      </c>
      <c r="F839" s="35" t="str">
        <f t="shared" si="52"/>
        <v/>
      </c>
      <c r="G839" s="36" t="str">
        <f t="shared" si="53"/>
        <v>A</v>
      </c>
      <c r="H839" s="51">
        <f t="shared" si="55"/>
        <v>2</v>
      </c>
      <c r="I839" s="51">
        <f t="shared" si="55"/>
        <v>6</v>
      </c>
      <c r="J839" s="51" t="str">
        <f t="shared" si="55"/>
        <v/>
      </c>
      <c r="K839" s="37" t="s">
        <v>47</v>
      </c>
      <c r="L839" s="37"/>
      <c r="M839" s="37"/>
      <c r="N839" s="37"/>
      <c r="O839" s="37" t="s">
        <v>47</v>
      </c>
      <c r="P839" s="37"/>
      <c r="Q839" s="37" t="s">
        <v>47</v>
      </c>
      <c r="R839" s="37"/>
      <c r="S839" s="37"/>
      <c r="T839" s="37"/>
      <c r="U839" s="37" t="s">
        <v>47</v>
      </c>
      <c r="V839" s="37"/>
      <c r="W839" s="37"/>
      <c r="X839" s="37" t="s">
        <v>47</v>
      </c>
      <c r="Y839" s="37"/>
      <c r="Z839" s="37"/>
      <c r="AA839" s="37" t="s">
        <v>47</v>
      </c>
      <c r="AB839" s="37"/>
      <c r="AC839" s="37"/>
      <c r="AD839" s="37" t="s">
        <v>47</v>
      </c>
      <c r="AE839" s="37"/>
      <c r="AF839" s="37"/>
      <c r="AG839" s="37" t="s">
        <v>47</v>
      </c>
      <c r="AH839" s="37"/>
      <c r="AI839" s="37"/>
      <c r="AJ839" s="37"/>
      <c r="AK839" s="37"/>
      <c r="AM839" s="38"/>
      <c r="AN839" s="38"/>
      <c r="AO839" s="38"/>
      <c r="AP839" s="38"/>
      <c r="AQ839" s="38"/>
      <c r="AR839" s="38" t="s">
        <v>47</v>
      </c>
      <c r="AS839" s="38"/>
      <c r="AT839" s="38"/>
      <c r="AU839" s="38"/>
      <c r="AV839" s="38"/>
      <c r="AW839" s="38" t="s">
        <v>47</v>
      </c>
      <c r="AX839" s="38"/>
      <c r="AY839" s="38"/>
      <c r="AZ839" s="38"/>
      <c r="BA839" s="38"/>
      <c r="BB839" s="38" t="s">
        <v>47</v>
      </c>
      <c r="BC839" s="38"/>
      <c r="BD839" s="38"/>
      <c r="BE839" s="77">
        <f t="shared" si="54"/>
        <v>3</v>
      </c>
      <c r="BF839" s="38"/>
    </row>
    <row r="840" spans="1:58" ht="22.5" hidden="1" customHeight="1">
      <c r="A840" s="33" t="str">
        <f>IF(OR(ISBLANK(E840),ISBLANK(C840)),"",IF(COUNTIF($E$8:E840,E840)&gt;1,"",(MAX($A$7:A839)+1)))</f>
        <v/>
      </c>
      <c r="B840" s="34">
        <f>IF(ISBLANK(C840),"",SUBTOTAL(3,$C$8:C840))</f>
        <v>44</v>
      </c>
      <c r="C840" s="81" t="s">
        <v>1757</v>
      </c>
      <c r="D840" s="50" t="s">
        <v>1758</v>
      </c>
      <c r="E840" s="50" t="s">
        <v>1738</v>
      </c>
      <c r="F840" s="35" t="str">
        <f t="shared" ref="F840:F903" si="56">IFERROR(IF(OR(ISBLANK($C840),B840=""),"",INDEX(Luonggio,MATCH($C840,MaNVLuong,0))),"")</f>
        <v/>
      </c>
      <c r="G840" s="36" t="str">
        <f t="shared" si="53"/>
        <v>A</v>
      </c>
      <c r="H840" s="51">
        <f t="shared" si="55"/>
        <v>7</v>
      </c>
      <c r="I840" s="51">
        <f t="shared" si="55"/>
        <v>1</v>
      </c>
      <c r="J840" s="51" t="str">
        <f t="shared" si="55"/>
        <v/>
      </c>
      <c r="K840" s="37" t="s">
        <v>47</v>
      </c>
      <c r="L840" s="37"/>
      <c r="M840" s="37"/>
      <c r="N840" s="37" t="s">
        <v>47</v>
      </c>
      <c r="O840" s="37"/>
      <c r="P840" s="37"/>
      <c r="Q840" s="37" t="s">
        <v>47</v>
      </c>
      <c r="R840" s="37"/>
      <c r="S840" s="37"/>
      <c r="T840" s="37" t="s">
        <v>47</v>
      </c>
      <c r="U840" s="37"/>
      <c r="V840" s="37"/>
      <c r="W840" s="37"/>
      <c r="X840" s="37" t="s">
        <v>47</v>
      </c>
      <c r="Y840" s="37"/>
      <c r="Z840" s="37" t="s">
        <v>47</v>
      </c>
      <c r="AA840" s="37"/>
      <c r="AB840" s="37"/>
      <c r="AC840" s="37" t="s">
        <v>47</v>
      </c>
      <c r="AD840" s="37"/>
      <c r="AE840" s="37"/>
      <c r="AF840" s="37" t="s">
        <v>47</v>
      </c>
      <c r="AG840" s="37"/>
      <c r="AH840" s="37"/>
      <c r="AI840" s="37"/>
      <c r="AJ840" s="37"/>
      <c r="AK840" s="37"/>
      <c r="AM840" s="38"/>
      <c r="AN840" s="38"/>
      <c r="AO840" s="38"/>
      <c r="AP840" s="38"/>
      <c r="AQ840" s="38"/>
      <c r="AR840" s="38"/>
      <c r="AS840" s="38"/>
      <c r="AT840" s="38"/>
      <c r="AU840" s="38"/>
      <c r="AV840" s="38"/>
      <c r="AW840" s="38" t="s">
        <v>47</v>
      </c>
      <c r="AX840" s="38"/>
      <c r="AY840" s="38"/>
      <c r="AZ840" s="38"/>
      <c r="BA840" s="38"/>
      <c r="BB840" s="38" t="s">
        <v>47</v>
      </c>
      <c r="BC840" s="38"/>
      <c r="BD840" s="38"/>
      <c r="BE840" s="77">
        <f t="shared" si="54"/>
        <v>2</v>
      </c>
      <c r="BF840" s="38"/>
    </row>
    <row r="841" spans="1:58" ht="22.5" hidden="1" customHeight="1">
      <c r="A841" s="33" t="str">
        <f>IF(OR(ISBLANK(E841),ISBLANK(C841)),"",IF(COUNTIF($E$8:E841,E841)&gt;1,"",(MAX($A$7:A840)+1)))</f>
        <v/>
      </c>
      <c r="B841" s="34">
        <f>IF(ISBLANK(C841),"",SUBTOTAL(3,$C$8:C841))</f>
        <v>44</v>
      </c>
      <c r="C841" s="85" t="s">
        <v>1759</v>
      </c>
      <c r="D841" s="50" t="s">
        <v>1760</v>
      </c>
      <c r="E841" s="50" t="s">
        <v>1738</v>
      </c>
      <c r="F841" s="35" t="str">
        <f t="shared" si="56"/>
        <v/>
      </c>
      <c r="G841" s="36" t="str">
        <f t="shared" ref="G841:G904" si="57">IF(COUNTIF(H841:J841,"&gt;0")=0,"",IF(AND(OR(OR(SUM(H841)&gt;=2)),SUM(H841:J841)&gt;=4,OR(OR(SUM(I841)&gt;=1))),"A",IF(OR(OR(SUM(H841)&gt;=3)),"A",IF(AND(SUM(I841)&gt;=2,SUM(H841)=1),"B",IF(AND(SUM(I841)&gt;=1,SUM(H841)=2),"B",IF(H841=2,"B",IF(SUM(I841)&gt;=2,"C",IF(H841=1,"C",IF(AND(H841=1,I841=1),"C",IF(AND(SUM(H841:I841)=0,SUM(J841)&lt;=1),"D","D"))))))))))</f>
        <v>A</v>
      </c>
      <c r="H841" s="51">
        <f t="shared" si="55"/>
        <v>7</v>
      </c>
      <c r="I841" s="51">
        <f t="shared" si="55"/>
        <v>1</v>
      </c>
      <c r="J841" s="51" t="str">
        <f t="shared" si="55"/>
        <v/>
      </c>
      <c r="K841" s="37" t="s">
        <v>47</v>
      </c>
      <c r="L841" s="37"/>
      <c r="M841" s="37"/>
      <c r="N841" s="37" t="s">
        <v>47</v>
      </c>
      <c r="O841" s="37"/>
      <c r="P841" s="37"/>
      <c r="Q841" s="37" t="s">
        <v>47</v>
      </c>
      <c r="R841" s="37"/>
      <c r="S841" s="37"/>
      <c r="T841" s="37" t="s">
        <v>47</v>
      </c>
      <c r="U841" s="37"/>
      <c r="V841" s="37"/>
      <c r="W841" s="37"/>
      <c r="X841" s="37" t="s">
        <v>47</v>
      </c>
      <c r="Y841" s="37"/>
      <c r="Z841" s="37" t="s">
        <v>47</v>
      </c>
      <c r="AA841" s="37"/>
      <c r="AB841" s="37"/>
      <c r="AC841" s="37" t="s">
        <v>47</v>
      </c>
      <c r="AD841" s="37"/>
      <c r="AE841" s="37"/>
      <c r="AF841" s="37" t="s">
        <v>47</v>
      </c>
      <c r="AG841" s="37"/>
      <c r="AH841" s="37"/>
      <c r="AI841" s="37"/>
      <c r="AJ841" s="37"/>
      <c r="AK841" s="37"/>
      <c r="AM841" s="38"/>
      <c r="AN841" s="38"/>
      <c r="AO841" s="38"/>
      <c r="AP841" s="38"/>
      <c r="AQ841" s="38"/>
      <c r="AR841" s="38"/>
      <c r="AS841" s="38"/>
      <c r="AT841" s="38"/>
      <c r="AU841" s="38"/>
      <c r="AV841" s="38"/>
      <c r="AW841" s="38" t="s">
        <v>47</v>
      </c>
      <c r="AX841" s="38"/>
      <c r="AY841" s="38"/>
      <c r="AZ841" s="38"/>
      <c r="BA841" s="38"/>
      <c r="BB841" s="38" t="s">
        <v>47</v>
      </c>
      <c r="BC841" s="38"/>
      <c r="BD841" s="38"/>
      <c r="BE841" s="77">
        <f t="shared" ref="BE841:BE847" si="58">COUNTIF(AM841:BD841,"X")</f>
        <v>2</v>
      </c>
      <c r="BF841" s="38"/>
    </row>
    <row r="842" spans="1:58" ht="22.5" hidden="1" customHeight="1">
      <c r="A842" s="33" t="str">
        <f>IF(OR(ISBLANK(E842),ISBLANK(C842)),"",IF(COUNTIF($E$8:E842,E842)&gt;1,"",(MAX($A$7:A841)+1)))</f>
        <v/>
      </c>
      <c r="B842" s="34">
        <f>IF(ISBLANK(C842),"",SUBTOTAL(3,$C$8:C842))</f>
        <v>44</v>
      </c>
      <c r="C842" s="85" t="s">
        <v>1761</v>
      </c>
      <c r="D842" s="50" t="s">
        <v>1762</v>
      </c>
      <c r="E842" s="50" t="s">
        <v>1738</v>
      </c>
      <c r="F842" s="35" t="str">
        <f t="shared" si="56"/>
        <v/>
      </c>
      <c r="G842" s="36" t="str">
        <f t="shared" si="57"/>
        <v>A</v>
      </c>
      <c r="H842" s="51">
        <f t="shared" si="55"/>
        <v>7</v>
      </c>
      <c r="I842" s="51">
        <f t="shared" si="55"/>
        <v>1</v>
      </c>
      <c r="J842" s="51" t="str">
        <f t="shared" si="55"/>
        <v/>
      </c>
      <c r="K842" s="37" t="s">
        <v>47</v>
      </c>
      <c r="L842" s="37"/>
      <c r="M842" s="37"/>
      <c r="N842" s="37" t="s">
        <v>47</v>
      </c>
      <c r="O842" s="37"/>
      <c r="P842" s="37"/>
      <c r="Q842" s="37" t="s">
        <v>47</v>
      </c>
      <c r="R842" s="37"/>
      <c r="S842" s="37"/>
      <c r="T842" s="37" t="s">
        <v>47</v>
      </c>
      <c r="U842" s="37"/>
      <c r="V842" s="37"/>
      <c r="W842" s="37"/>
      <c r="X842" s="37" t="s">
        <v>47</v>
      </c>
      <c r="Y842" s="37"/>
      <c r="Z842" s="37" t="s">
        <v>47</v>
      </c>
      <c r="AA842" s="37"/>
      <c r="AB842" s="37"/>
      <c r="AC842" s="37" t="s">
        <v>47</v>
      </c>
      <c r="AD842" s="37"/>
      <c r="AE842" s="37"/>
      <c r="AF842" s="37" t="s">
        <v>47</v>
      </c>
      <c r="AG842" s="37"/>
      <c r="AH842" s="37"/>
      <c r="AI842" s="37"/>
      <c r="AJ842" s="37"/>
      <c r="AK842" s="37"/>
      <c r="AM842" s="38"/>
      <c r="AN842" s="38"/>
      <c r="AO842" s="38"/>
      <c r="AP842" s="38"/>
      <c r="AQ842" s="38"/>
      <c r="AR842" s="38"/>
      <c r="AS842" s="38"/>
      <c r="AT842" s="38"/>
      <c r="AU842" s="38"/>
      <c r="AV842" s="38"/>
      <c r="AW842" s="38" t="s">
        <v>47</v>
      </c>
      <c r="AX842" s="38"/>
      <c r="AY842" s="38"/>
      <c r="AZ842" s="38"/>
      <c r="BA842" s="38"/>
      <c r="BB842" s="38" t="s">
        <v>47</v>
      </c>
      <c r="BC842" s="38"/>
      <c r="BD842" s="38"/>
      <c r="BE842" s="77">
        <f t="shared" si="58"/>
        <v>2</v>
      </c>
      <c r="BF842" s="38"/>
    </row>
    <row r="843" spans="1:58" ht="22.5" hidden="1" customHeight="1">
      <c r="A843" s="33" t="str">
        <f>IF(OR(ISBLANK(E843),ISBLANK(C843)),"",IF(COUNTIF($E$8:E843,E843)&gt;1,"",(MAX($A$7:A842)+1)))</f>
        <v/>
      </c>
      <c r="B843" s="34">
        <f>IF(ISBLANK(C843),"",SUBTOTAL(3,$C$8:C843))</f>
        <v>44</v>
      </c>
      <c r="C843" s="85" t="s">
        <v>1763</v>
      </c>
      <c r="D843" s="50" t="s">
        <v>1764</v>
      </c>
      <c r="E843" s="50" t="s">
        <v>1738</v>
      </c>
      <c r="F843" s="35" t="str">
        <f t="shared" si="56"/>
        <v/>
      </c>
      <c r="G843" s="36" t="str">
        <f t="shared" si="57"/>
        <v>A</v>
      </c>
      <c r="H843" s="51">
        <f t="shared" si="55"/>
        <v>4</v>
      </c>
      <c r="I843" s="51">
        <f t="shared" si="55"/>
        <v>4</v>
      </c>
      <c r="J843" s="51" t="str">
        <f t="shared" si="55"/>
        <v/>
      </c>
      <c r="K843" s="37" t="s">
        <v>47</v>
      </c>
      <c r="L843" s="37"/>
      <c r="M843" s="37"/>
      <c r="N843" s="37" t="s">
        <v>47</v>
      </c>
      <c r="O843" s="37"/>
      <c r="P843" s="37"/>
      <c r="Q843" s="37" t="s">
        <v>47</v>
      </c>
      <c r="R843" s="37"/>
      <c r="S843" s="37"/>
      <c r="T843" s="37" t="s">
        <v>47</v>
      </c>
      <c r="U843" s="37"/>
      <c r="V843" s="37"/>
      <c r="W843" s="37"/>
      <c r="X843" s="37" t="s">
        <v>47</v>
      </c>
      <c r="Y843" s="37"/>
      <c r="Z843" s="37"/>
      <c r="AA843" s="37" t="s">
        <v>47</v>
      </c>
      <c r="AB843" s="37"/>
      <c r="AC843" s="37"/>
      <c r="AD843" s="37" t="s">
        <v>47</v>
      </c>
      <c r="AE843" s="37"/>
      <c r="AF843" s="37"/>
      <c r="AG843" s="37" t="s">
        <v>47</v>
      </c>
      <c r="AH843" s="37"/>
      <c r="AI843" s="37"/>
      <c r="AJ843" s="37"/>
      <c r="AK843" s="37"/>
      <c r="AM843" s="38"/>
      <c r="AN843" s="38"/>
      <c r="AO843" s="38"/>
      <c r="AP843" s="38"/>
      <c r="AQ843" s="38"/>
      <c r="AR843" s="38"/>
      <c r="AS843" s="38"/>
      <c r="AT843" s="38"/>
      <c r="AU843" s="38"/>
      <c r="AV843" s="38"/>
      <c r="AW843" s="38" t="s">
        <v>47</v>
      </c>
      <c r="AX843" s="38"/>
      <c r="AY843" s="38"/>
      <c r="AZ843" s="38"/>
      <c r="BA843" s="38"/>
      <c r="BB843" s="38" t="s">
        <v>47</v>
      </c>
      <c r="BC843" s="38"/>
      <c r="BD843" s="38"/>
      <c r="BE843" s="77">
        <f t="shared" si="58"/>
        <v>2</v>
      </c>
      <c r="BF843" s="38"/>
    </row>
    <row r="844" spans="1:58" ht="22.5" hidden="1" customHeight="1">
      <c r="A844" s="33" t="str">
        <f>IF(OR(ISBLANK(E844),ISBLANK(C844)),"",IF(COUNTIF($E$8:E844,E844)&gt;1,"",(MAX($A$7:A843)+1)))</f>
        <v/>
      </c>
      <c r="B844" s="34">
        <f>IF(ISBLANK(C844),"",SUBTOTAL(3,$C$8:C844))</f>
        <v>44</v>
      </c>
      <c r="C844" s="81" t="s">
        <v>1765</v>
      </c>
      <c r="D844" s="52" t="s">
        <v>1766</v>
      </c>
      <c r="E844" s="50" t="s">
        <v>1738</v>
      </c>
      <c r="F844" s="35" t="str">
        <f t="shared" si="56"/>
        <v/>
      </c>
      <c r="G844" s="36" t="str">
        <f t="shared" si="57"/>
        <v>A</v>
      </c>
      <c r="H844" s="51">
        <f t="shared" si="55"/>
        <v>4</v>
      </c>
      <c r="I844" s="51">
        <f t="shared" si="55"/>
        <v>4</v>
      </c>
      <c r="J844" s="51" t="str">
        <f t="shared" si="55"/>
        <v/>
      </c>
      <c r="K844" s="37" t="s">
        <v>47</v>
      </c>
      <c r="L844" s="37"/>
      <c r="M844" s="37"/>
      <c r="N844" s="37" t="s">
        <v>47</v>
      </c>
      <c r="O844" s="37"/>
      <c r="P844" s="37"/>
      <c r="Q844" s="37" t="s">
        <v>47</v>
      </c>
      <c r="R844" s="37"/>
      <c r="S844" s="37"/>
      <c r="T844" s="37" t="s">
        <v>47</v>
      </c>
      <c r="U844" s="37"/>
      <c r="V844" s="37"/>
      <c r="W844" s="37"/>
      <c r="X844" s="37" t="s">
        <v>47</v>
      </c>
      <c r="Y844" s="37"/>
      <c r="Z844" s="37"/>
      <c r="AA844" s="37" t="s">
        <v>47</v>
      </c>
      <c r="AB844" s="37"/>
      <c r="AC844" s="37"/>
      <c r="AD844" s="37" t="s">
        <v>47</v>
      </c>
      <c r="AE844" s="37"/>
      <c r="AF844" s="37"/>
      <c r="AG844" s="37" t="s">
        <v>47</v>
      </c>
      <c r="AH844" s="37"/>
      <c r="AI844" s="37"/>
      <c r="AJ844" s="37"/>
      <c r="AK844" s="37"/>
      <c r="AM844" s="38"/>
      <c r="AN844" s="38"/>
      <c r="AO844" s="38"/>
      <c r="AP844" s="38"/>
      <c r="AQ844" s="38"/>
      <c r="AR844" s="38"/>
      <c r="AS844" s="38"/>
      <c r="AT844" s="38"/>
      <c r="AU844" s="38"/>
      <c r="AV844" s="38"/>
      <c r="AW844" s="38" t="s">
        <v>47</v>
      </c>
      <c r="AX844" s="38"/>
      <c r="AY844" s="38"/>
      <c r="AZ844" s="38"/>
      <c r="BA844" s="38"/>
      <c r="BB844" s="38" t="s">
        <v>47</v>
      </c>
      <c r="BC844" s="38"/>
      <c r="BD844" s="38"/>
      <c r="BE844" s="77">
        <f t="shared" si="58"/>
        <v>2</v>
      </c>
      <c r="BF844" s="38"/>
    </row>
    <row r="845" spans="1:58" ht="22.5" hidden="1" customHeight="1">
      <c r="A845" s="33" t="str">
        <f>IF(OR(ISBLANK(E845),ISBLANK(C845)),"",IF(COUNTIF($E$8:E845,E845)&gt;1,"",(MAX($A$7:A844)+1)))</f>
        <v/>
      </c>
      <c r="B845" s="34">
        <f>IF(ISBLANK(C845),"",SUBTOTAL(3,$C$8:C845))</f>
        <v>44</v>
      </c>
      <c r="C845" s="81" t="s">
        <v>1767</v>
      </c>
      <c r="D845" s="52" t="s">
        <v>1768</v>
      </c>
      <c r="E845" s="50" t="s">
        <v>1738</v>
      </c>
      <c r="F845" s="35" t="str">
        <f t="shared" si="56"/>
        <v/>
      </c>
      <c r="G845" s="36" t="str">
        <f t="shared" si="57"/>
        <v>A</v>
      </c>
      <c r="H845" s="51">
        <f t="shared" si="55"/>
        <v>4</v>
      </c>
      <c r="I845" s="51">
        <f t="shared" si="55"/>
        <v>4</v>
      </c>
      <c r="J845" s="51" t="str">
        <f t="shared" si="55"/>
        <v/>
      </c>
      <c r="K845" s="37" t="s">
        <v>47</v>
      </c>
      <c r="L845" s="37"/>
      <c r="M845" s="37"/>
      <c r="N845" s="37" t="s">
        <v>47</v>
      </c>
      <c r="O845" s="37"/>
      <c r="P845" s="37"/>
      <c r="Q845" s="37" t="s">
        <v>47</v>
      </c>
      <c r="R845" s="37"/>
      <c r="S845" s="37"/>
      <c r="T845" s="37" t="s">
        <v>47</v>
      </c>
      <c r="U845" s="37"/>
      <c r="V845" s="37"/>
      <c r="W845" s="37"/>
      <c r="X845" s="37" t="s">
        <v>47</v>
      </c>
      <c r="Y845" s="37"/>
      <c r="Z845" s="37"/>
      <c r="AA845" s="37" t="s">
        <v>47</v>
      </c>
      <c r="AB845" s="37"/>
      <c r="AC845" s="37"/>
      <c r="AD845" s="37" t="s">
        <v>47</v>
      </c>
      <c r="AE845" s="37"/>
      <c r="AF845" s="37"/>
      <c r="AG845" s="37" t="s">
        <v>47</v>
      </c>
      <c r="AH845" s="37"/>
      <c r="AI845" s="37"/>
      <c r="AJ845" s="37"/>
      <c r="AK845" s="37"/>
      <c r="AM845" s="38"/>
      <c r="AN845" s="38"/>
      <c r="AO845" s="38"/>
      <c r="AP845" s="38"/>
      <c r="AQ845" s="38"/>
      <c r="AR845" s="38"/>
      <c r="AS845" s="38"/>
      <c r="AT845" s="38"/>
      <c r="AU845" s="38"/>
      <c r="AV845" s="38"/>
      <c r="AW845" s="38" t="s">
        <v>47</v>
      </c>
      <c r="AX845" s="38"/>
      <c r="AY845" s="38"/>
      <c r="AZ845" s="38"/>
      <c r="BA845" s="38"/>
      <c r="BB845" s="38" t="s">
        <v>47</v>
      </c>
      <c r="BC845" s="38"/>
      <c r="BD845" s="38"/>
      <c r="BE845" s="77">
        <f t="shared" si="58"/>
        <v>2</v>
      </c>
      <c r="BF845" s="38"/>
    </row>
    <row r="846" spans="1:58" ht="22.5" hidden="1" customHeight="1">
      <c r="A846" s="33" t="str">
        <f>IF(OR(ISBLANK(E846),ISBLANK(C846)),"",IF(COUNTIF($E$8:E846,E846)&gt;1,"",(MAX($A$7:A845)+1)))</f>
        <v/>
      </c>
      <c r="B846" s="34">
        <f>IF(ISBLANK(C846),"",SUBTOTAL(3,$C$8:C846))</f>
        <v>44</v>
      </c>
      <c r="C846" s="81" t="s">
        <v>1769</v>
      </c>
      <c r="D846" s="52" t="s">
        <v>1770</v>
      </c>
      <c r="E846" s="50" t="s">
        <v>1738</v>
      </c>
      <c r="F846" s="35" t="str">
        <f t="shared" si="56"/>
        <v/>
      </c>
      <c r="G846" s="36" t="str">
        <f t="shared" si="57"/>
        <v>A</v>
      </c>
      <c r="H846" s="51">
        <f t="shared" si="55"/>
        <v>4</v>
      </c>
      <c r="I846" s="51">
        <f t="shared" si="55"/>
        <v>4</v>
      </c>
      <c r="J846" s="51" t="str">
        <f t="shared" si="55"/>
        <v/>
      </c>
      <c r="K846" s="37" t="s">
        <v>47</v>
      </c>
      <c r="L846" s="37"/>
      <c r="M846" s="37"/>
      <c r="N846" s="37" t="s">
        <v>47</v>
      </c>
      <c r="O846" s="37"/>
      <c r="P846" s="37"/>
      <c r="Q846" s="37" t="s">
        <v>47</v>
      </c>
      <c r="R846" s="37"/>
      <c r="S846" s="37"/>
      <c r="T846" s="37" t="s">
        <v>47</v>
      </c>
      <c r="U846" s="37"/>
      <c r="V846" s="37"/>
      <c r="W846" s="37"/>
      <c r="X846" s="37" t="s">
        <v>47</v>
      </c>
      <c r="Y846" s="37"/>
      <c r="Z846" s="37"/>
      <c r="AA846" s="37" t="s">
        <v>47</v>
      </c>
      <c r="AB846" s="37"/>
      <c r="AC846" s="37"/>
      <c r="AD846" s="37" t="s">
        <v>47</v>
      </c>
      <c r="AE846" s="37"/>
      <c r="AF846" s="37"/>
      <c r="AG846" s="37" t="s">
        <v>47</v>
      </c>
      <c r="AH846" s="37"/>
      <c r="AI846" s="37"/>
      <c r="AJ846" s="37"/>
      <c r="AK846" s="37"/>
      <c r="AM846" s="38"/>
      <c r="AN846" s="38"/>
      <c r="AO846" s="38"/>
      <c r="AP846" s="38"/>
      <c r="AQ846" s="38"/>
      <c r="AR846" s="38"/>
      <c r="AS846" s="38"/>
      <c r="AT846" s="38"/>
      <c r="AU846" s="38"/>
      <c r="AV846" s="38"/>
      <c r="AW846" s="38" t="s">
        <v>47</v>
      </c>
      <c r="AX846" s="38"/>
      <c r="AY846" s="38"/>
      <c r="AZ846" s="38"/>
      <c r="BA846" s="38"/>
      <c r="BB846" s="38" t="s">
        <v>47</v>
      </c>
      <c r="BC846" s="38"/>
      <c r="BD846" s="38"/>
      <c r="BE846" s="77">
        <f t="shared" si="58"/>
        <v>2</v>
      </c>
      <c r="BF846" s="38"/>
    </row>
    <row r="847" spans="1:58" ht="22.5" hidden="1" customHeight="1">
      <c r="A847" s="33" t="str">
        <f>IF(OR(ISBLANK(E847),ISBLANK(C847)),"",IF(COUNTIF($E$8:E847,E847)&gt;1,"",(MAX($A$7:A846)+1)))</f>
        <v/>
      </c>
      <c r="B847" s="34">
        <f>IF(ISBLANK(C847),"",SUBTOTAL(3,$C$8:C847))</f>
        <v>44</v>
      </c>
      <c r="C847" s="81" t="s">
        <v>1771</v>
      </c>
      <c r="D847" s="50" t="s">
        <v>1772</v>
      </c>
      <c r="E847" s="50" t="s">
        <v>1738</v>
      </c>
      <c r="F847" s="35" t="str">
        <f t="shared" si="56"/>
        <v/>
      </c>
      <c r="G847" s="36" t="str">
        <f t="shared" si="57"/>
        <v>A</v>
      </c>
      <c r="H847" s="51">
        <f t="shared" si="55"/>
        <v>4</v>
      </c>
      <c r="I847" s="51">
        <f t="shared" si="55"/>
        <v>4</v>
      </c>
      <c r="J847" s="51" t="str">
        <f t="shared" si="55"/>
        <v/>
      </c>
      <c r="K847" s="37" t="s">
        <v>47</v>
      </c>
      <c r="L847" s="37"/>
      <c r="M847" s="37"/>
      <c r="N847" s="37" t="s">
        <v>47</v>
      </c>
      <c r="O847" s="37"/>
      <c r="P847" s="37"/>
      <c r="Q847" s="37" t="s">
        <v>47</v>
      </c>
      <c r="R847" s="37"/>
      <c r="S847" s="37"/>
      <c r="T847" s="37" t="s">
        <v>47</v>
      </c>
      <c r="U847" s="37"/>
      <c r="V847" s="37"/>
      <c r="W847" s="37"/>
      <c r="X847" s="37" t="s">
        <v>47</v>
      </c>
      <c r="Y847" s="37"/>
      <c r="Z847" s="37"/>
      <c r="AA847" s="37" t="s">
        <v>47</v>
      </c>
      <c r="AB847" s="37"/>
      <c r="AC847" s="37"/>
      <c r="AD847" s="37" t="s">
        <v>47</v>
      </c>
      <c r="AE847" s="37"/>
      <c r="AF847" s="37"/>
      <c r="AG847" s="37" t="s">
        <v>47</v>
      </c>
      <c r="AH847" s="37"/>
      <c r="AI847" s="37"/>
      <c r="AJ847" s="37"/>
      <c r="AK847" s="37"/>
      <c r="AM847" s="38"/>
      <c r="AN847" s="38"/>
      <c r="AO847" s="38"/>
      <c r="AP847" s="38"/>
      <c r="AQ847" s="38"/>
      <c r="AR847" s="38"/>
      <c r="AS847" s="38"/>
      <c r="AT847" s="38"/>
      <c r="AU847" s="38"/>
      <c r="AV847" s="38"/>
      <c r="AW847" s="38"/>
      <c r="AX847" s="38"/>
      <c r="AY847" s="38"/>
      <c r="AZ847" s="38"/>
      <c r="BA847" s="38"/>
      <c r="BB847" s="38" t="s">
        <v>47</v>
      </c>
      <c r="BC847" s="38"/>
      <c r="BD847" s="38"/>
      <c r="BE847" s="77">
        <f t="shared" si="58"/>
        <v>1</v>
      </c>
      <c r="BF847" s="38"/>
    </row>
    <row r="848" spans="1:58" ht="22.5" hidden="1" customHeight="1">
      <c r="A848" s="33" t="str">
        <f>IF(OR(ISBLANK(E848),ISBLANK(C848)),"",IF(COUNTIF($E$8:E848,E848)&gt;1,"",(MAX($A$7:A847)+1)))</f>
        <v/>
      </c>
      <c r="B848" s="34" t="str">
        <f>IF(ISBLANK(C848),"",SUBTOTAL(3,$C$8:C848))</f>
        <v/>
      </c>
      <c r="C848" s="81"/>
      <c r="D848" s="50"/>
      <c r="E848" s="50"/>
      <c r="F848" s="35" t="str">
        <f t="shared" si="56"/>
        <v/>
      </c>
      <c r="G848" s="36" t="str">
        <f t="shared" si="57"/>
        <v/>
      </c>
      <c r="H848" s="51" t="str">
        <f t="shared" si="55"/>
        <v/>
      </c>
      <c r="I848" s="51" t="str">
        <f t="shared" si="55"/>
        <v/>
      </c>
      <c r="J848" s="51" t="str">
        <f t="shared" si="55"/>
        <v/>
      </c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  <c r="AJ848" s="37"/>
      <c r="AK848" s="37"/>
      <c r="AM848" s="38"/>
      <c r="AN848" s="38"/>
      <c r="AO848" s="38"/>
      <c r="AP848" s="38"/>
      <c r="AQ848" s="38"/>
      <c r="AR848" s="38"/>
      <c r="AS848" s="38"/>
      <c r="AT848" s="38"/>
      <c r="AU848" s="38"/>
      <c r="AV848" s="38"/>
      <c r="AW848" s="38"/>
      <c r="AX848" s="38"/>
      <c r="AY848" s="38"/>
      <c r="AZ848" s="38"/>
      <c r="BA848" s="38"/>
      <c r="BB848" s="38"/>
      <c r="BC848" s="38"/>
      <c r="BD848" s="38"/>
      <c r="BE848" s="38"/>
      <c r="BF848" s="38"/>
    </row>
    <row r="849" spans="1:58" ht="22.5" hidden="1" customHeight="1">
      <c r="A849" s="33" t="str">
        <f>IF(OR(ISBLANK(E849),ISBLANK(C849)),"",IF(COUNTIF($E$8:E849,E849)&gt;1,"",(MAX($A$7:A848)+1)))</f>
        <v/>
      </c>
      <c r="B849" s="34" t="str">
        <f>IF(ISBLANK(C849),"",SUBTOTAL(3,$C$8:C849))</f>
        <v/>
      </c>
      <c r="C849" s="81"/>
      <c r="D849" s="50"/>
      <c r="E849" s="50"/>
      <c r="F849" s="35" t="str">
        <f t="shared" si="56"/>
        <v/>
      </c>
      <c r="G849" s="36" t="str">
        <f t="shared" si="57"/>
        <v/>
      </c>
      <c r="H849" s="51" t="str">
        <f t="shared" si="55"/>
        <v/>
      </c>
      <c r="I849" s="51" t="str">
        <f t="shared" si="55"/>
        <v/>
      </c>
      <c r="J849" s="51" t="str">
        <f t="shared" si="55"/>
        <v/>
      </c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  <c r="AJ849" s="37"/>
      <c r="AK849" s="37"/>
      <c r="AM849" s="38"/>
      <c r="AN849" s="38"/>
      <c r="AO849" s="38"/>
      <c r="AP849" s="38"/>
      <c r="AQ849" s="38"/>
      <c r="AR849" s="38"/>
      <c r="AS849" s="38"/>
      <c r="AT849" s="38"/>
      <c r="AU849" s="38"/>
      <c r="AV849" s="38"/>
      <c r="AW849" s="38"/>
      <c r="AX849" s="38"/>
      <c r="AY849" s="38"/>
      <c r="AZ849" s="38"/>
      <c r="BA849" s="38"/>
      <c r="BB849" s="38"/>
      <c r="BC849" s="38"/>
      <c r="BD849" s="38"/>
      <c r="BE849" s="38"/>
      <c r="BF849" s="38"/>
    </row>
    <row r="850" spans="1:58" ht="22.5" hidden="1" customHeight="1">
      <c r="A850" s="33" t="str">
        <f>IF(OR(ISBLANK(E850),ISBLANK(C850)),"",IF(COUNTIF($E$8:E850,E850)&gt;1,"",(MAX($A$7:A849)+1)))</f>
        <v/>
      </c>
      <c r="B850" s="34" t="str">
        <f>IF(ISBLANK(C850),"",SUBTOTAL(3,$C$8:C850))</f>
        <v/>
      </c>
      <c r="C850" s="85"/>
      <c r="D850" s="50"/>
      <c r="E850" s="50"/>
      <c r="F850" s="35" t="str">
        <f t="shared" si="56"/>
        <v/>
      </c>
      <c r="G850" s="36" t="str">
        <f t="shared" si="57"/>
        <v/>
      </c>
      <c r="H850" s="51" t="str">
        <f t="shared" si="55"/>
        <v/>
      </c>
      <c r="I850" s="51" t="str">
        <f t="shared" si="55"/>
        <v/>
      </c>
      <c r="J850" s="51" t="str">
        <f t="shared" si="55"/>
        <v/>
      </c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  <c r="AJ850" s="37"/>
      <c r="AK850" s="37"/>
      <c r="AM850" s="38"/>
      <c r="AN850" s="38"/>
      <c r="AO850" s="38"/>
      <c r="AP850" s="38"/>
      <c r="AQ850" s="38"/>
      <c r="AR850" s="38"/>
      <c r="AS850" s="38"/>
      <c r="AT850" s="38"/>
      <c r="AU850" s="38"/>
      <c r="AV850" s="38"/>
      <c r="AW850" s="38"/>
      <c r="AX850" s="38"/>
      <c r="AY850" s="38"/>
      <c r="AZ850" s="38"/>
      <c r="BA850" s="38"/>
      <c r="BB850" s="38"/>
      <c r="BC850" s="38"/>
      <c r="BD850" s="38"/>
      <c r="BE850" s="38"/>
      <c r="BF850" s="38"/>
    </row>
    <row r="851" spans="1:58" ht="22.5" hidden="1" customHeight="1">
      <c r="A851" s="33" t="str">
        <f>IF(OR(ISBLANK(E851),ISBLANK(C851)),"",IF(COUNTIF($E$8:E851,E851)&gt;1,"",(MAX($A$7:A850)+1)))</f>
        <v/>
      </c>
      <c r="B851" s="34" t="str">
        <f>IF(ISBLANK(C851),"",SUBTOTAL(3,$C$8:C851))</f>
        <v/>
      </c>
      <c r="C851" s="81"/>
      <c r="D851" s="50"/>
      <c r="E851" s="50"/>
      <c r="F851" s="35" t="str">
        <f t="shared" si="56"/>
        <v/>
      </c>
      <c r="G851" s="36" t="str">
        <f t="shared" si="57"/>
        <v/>
      </c>
      <c r="H851" s="51" t="str">
        <f t="shared" si="55"/>
        <v/>
      </c>
      <c r="I851" s="51" t="str">
        <f t="shared" si="55"/>
        <v/>
      </c>
      <c r="J851" s="51" t="str">
        <f t="shared" si="55"/>
        <v/>
      </c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  <c r="AI851" s="37"/>
      <c r="AJ851" s="37"/>
      <c r="AK851" s="37"/>
      <c r="AM851" s="38"/>
      <c r="AN851" s="38"/>
      <c r="AO851" s="38"/>
      <c r="AP851" s="38"/>
      <c r="AQ851" s="38"/>
      <c r="AR851" s="38"/>
      <c r="AS851" s="38"/>
      <c r="AT851" s="38"/>
      <c r="AU851" s="38"/>
      <c r="AV851" s="38"/>
      <c r="AW851" s="38"/>
      <c r="AX851" s="38"/>
      <c r="AY851" s="38"/>
      <c r="AZ851" s="38"/>
      <c r="BA851" s="38"/>
      <c r="BB851" s="38"/>
      <c r="BC851" s="38"/>
      <c r="BD851" s="38"/>
      <c r="BE851" s="38"/>
      <c r="BF851" s="38"/>
    </row>
    <row r="852" spans="1:58" ht="22.5" hidden="1" customHeight="1">
      <c r="A852" s="33" t="str">
        <f>IF(OR(ISBLANK(E852),ISBLANK(C852)),"",IF(COUNTIF($E$8:E852,E852)&gt;1,"",(MAX($A$7:A851)+1)))</f>
        <v/>
      </c>
      <c r="B852" s="34" t="str">
        <f>IF(ISBLANK(C852),"",SUBTOTAL(3,$C$8:C852))</f>
        <v/>
      </c>
      <c r="C852" s="85"/>
      <c r="D852" s="50"/>
      <c r="E852" s="50"/>
      <c r="F852" s="35" t="str">
        <f t="shared" si="56"/>
        <v/>
      </c>
      <c r="G852" s="36" t="str">
        <f t="shared" si="57"/>
        <v/>
      </c>
      <c r="H852" s="51" t="str">
        <f t="shared" si="55"/>
        <v/>
      </c>
      <c r="I852" s="51" t="str">
        <f t="shared" si="55"/>
        <v/>
      </c>
      <c r="J852" s="51" t="str">
        <f t="shared" si="55"/>
        <v/>
      </c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  <c r="AI852" s="37"/>
      <c r="AJ852" s="37"/>
      <c r="AK852" s="37"/>
      <c r="AM852" s="38"/>
      <c r="AN852" s="38"/>
      <c r="AO852" s="38"/>
      <c r="AP852" s="38"/>
      <c r="AQ852" s="38"/>
      <c r="AR852" s="38"/>
      <c r="AS852" s="38"/>
      <c r="AT852" s="38"/>
      <c r="AU852" s="38"/>
      <c r="AV852" s="38"/>
      <c r="AW852" s="38"/>
      <c r="AX852" s="38"/>
      <c r="AY852" s="38"/>
      <c r="AZ852" s="38"/>
      <c r="BA852" s="38"/>
      <c r="BB852" s="38"/>
      <c r="BC852" s="38"/>
      <c r="BD852" s="38"/>
      <c r="BE852" s="38"/>
      <c r="BF852" s="38"/>
    </row>
    <row r="853" spans="1:58" ht="22.5" hidden="1" customHeight="1">
      <c r="A853" s="33" t="str">
        <f>IF(OR(ISBLANK(E853),ISBLANK(C853)),"",IF(COUNTIF($E$8:E853,E853)&gt;1,"",(MAX($A$7:A852)+1)))</f>
        <v/>
      </c>
      <c r="B853" s="34" t="str">
        <f>IF(ISBLANK(C853),"",SUBTOTAL(3,$C$8:C853))</f>
        <v/>
      </c>
      <c r="C853" s="78"/>
      <c r="D853" s="50"/>
      <c r="E853" s="50"/>
      <c r="F853" s="35" t="str">
        <f t="shared" si="56"/>
        <v/>
      </c>
      <c r="G853" s="36" t="str">
        <f t="shared" si="57"/>
        <v/>
      </c>
      <c r="H853" s="51" t="str">
        <f t="shared" si="55"/>
        <v/>
      </c>
      <c r="I853" s="51" t="str">
        <f t="shared" si="55"/>
        <v/>
      </c>
      <c r="J853" s="51" t="str">
        <f t="shared" si="55"/>
        <v/>
      </c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  <c r="AJ853" s="37"/>
      <c r="AK853" s="37"/>
      <c r="AM853" s="38"/>
      <c r="AN853" s="38"/>
      <c r="AO853" s="38"/>
      <c r="AP853" s="38"/>
      <c r="AQ853" s="38"/>
      <c r="AR853" s="38"/>
      <c r="AS853" s="38"/>
      <c r="AT853" s="38"/>
      <c r="AU853" s="38"/>
      <c r="AV853" s="38"/>
      <c r="AW853" s="38"/>
      <c r="AX853" s="38"/>
      <c r="AY853" s="38"/>
      <c r="AZ853" s="38"/>
      <c r="BA853" s="38"/>
      <c r="BB853" s="38"/>
      <c r="BC853" s="38"/>
      <c r="BD853" s="38"/>
      <c r="BE853" s="38"/>
      <c r="BF853" s="38"/>
    </row>
    <row r="854" spans="1:58" ht="22.5" hidden="1" customHeight="1">
      <c r="A854" s="33" t="str">
        <f>IF(OR(ISBLANK(E854),ISBLANK(C854)),"",IF(COUNTIF($E$8:E854,E854)&gt;1,"",(MAX($A$7:A853)+1)))</f>
        <v/>
      </c>
      <c r="B854" s="34" t="str">
        <f>IF(ISBLANK(C854),"",SUBTOTAL(3,$C$8:C854))</f>
        <v/>
      </c>
      <c r="C854" s="85"/>
      <c r="D854" s="50"/>
      <c r="E854" s="50"/>
      <c r="F854" s="35" t="str">
        <f t="shared" si="56"/>
        <v/>
      </c>
      <c r="G854" s="36" t="str">
        <f t="shared" si="57"/>
        <v/>
      </c>
      <c r="H854" s="51" t="str">
        <f t="shared" si="55"/>
        <v/>
      </c>
      <c r="I854" s="51" t="str">
        <f t="shared" si="55"/>
        <v/>
      </c>
      <c r="J854" s="51" t="str">
        <f t="shared" si="55"/>
        <v/>
      </c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  <c r="AJ854" s="37"/>
      <c r="AK854" s="37"/>
      <c r="AM854" s="38"/>
      <c r="AN854" s="38"/>
      <c r="AO854" s="38"/>
      <c r="AP854" s="38"/>
      <c r="AQ854" s="38"/>
      <c r="AR854" s="38"/>
      <c r="AS854" s="38"/>
      <c r="AT854" s="38"/>
      <c r="AU854" s="38"/>
      <c r="AV854" s="38"/>
      <c r="AW854" s="38"/>
      <c r="AX854" s="38"/>
      <c r="AY854" s="38"/>
      <c r="AZ854" s="38"/>
      <c r="BA854" s="38"/>
      <c r="BB854" s="38"/>
      <c r="BC854" s="38"/>
      <c r="BD854" s="38"/>
      <c r="BE854" s="38"/>
      <c r="BF854" s="38"/>
    </row>
    <row r="855" spans="1:58" ht="22.5" hidden="1" customHeight="1">
      <c r="A855" s="33" t="str">
        <f>IF(OR(ISBLANK(E855),ISBLANK(C855)),"",IF(COUNTIF($E$8:E855,E855)&gt;1,"",(MAX($A$7:A854)+1)))</f>
        <v/>
      </c>
      <c r="B855" s="34" t="str">
        <f>IF(ISBLANK(C855),"",SUBTOTAL(3,$C$8:C855))</f>
        <v/>
      </c>
      <c r="C855" s="80"/>
      <c r="D855" s="52"/>
      <c r="E855" s="50"/>
      <c r="F855" s="35" t="str">
        <f t="shared" si="56"/>
        <v/>
      </c>
      <c r="G855" s="36" t="str">
        <f t="shared" si="57"/>
        <v/>
      </c>
      <c r="H855" s="51" t="str">
        <f t="shared" si="55"/>
        <v/>
      </c>
      <c r="I855" s="51" t="str">
        <f t="shared" si="55"/>
        <v/>
      </c>
      <c r="J855" s="51" t="str">
        <f t="shared" si="55"/>
        <v/>
      </c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  <c r="AJ855" s="37"/>
      <c r="AK855" s="37"/>
      <c r="AM855" s="38"/>
      <c r="AN855" s="38"/>
      <c r="AO855" s="38"/>
      <c r="AP855" s="38"/>
      <c r="AQ855" s="38"/>
      <c r="AR855" s="38"/>
      <c r="AS855" s="38"/>
      <c r="AT855" s="38"/>
      <c r="AU855" s="38"/>
      <c r="AV855" s="38"/>
      <c r="AW855" s="38"/>
      <c r="AX855" s="38"/>
      <c r="AY855" s="38"/>
      <c r="AZ855" s="38"/>
      <c r="BA855" s="38"/>
      <c r="BB855" s="38"/>
      <c r="BC855" s="38"/>
      <c r="BD855" s="38"/>
      <c r="BE855" s="38"/>
      <c r="BF855" s="38"/>
    </row>
    <row r="856" spans="1:58" ht="22.5" hidden="1" customHeight="1">
      <c r="A856" s="33" t="str">
        <f>IF(OR(ISBLANK(E856),ISBLANK(C856)),"",IF(COUNTIF($E$8:E856,E856)&gt;1,"",(MAX($A$7:A855)+1)))</f>
        <v/>
      </c>
      <c r="B856" s="34" t="str">
        <f>IF(ISBLANK(C856),"",SUBTOTAL(3,$C$8:C856))</f>
        <v/>
      </c>
      <c r="C856" s="81"/>
      <c r="D856" s="52"/>
      <c r="E856" s="50"/>
      <c r="F856" s="35" t="str">
        <f t="shared" si="56"/>
        <v/>
      </c>
      <c r="G856" s="36" t="str">
        <f t="shared" si="57"/>
        <v/>
      </c>
      <c r="H856" s="51" t="str">
        <f t="shared" ref="H856:J919" si="59">IF(OR(ISBLANK($C856),COUNTIFS($K856:$AH856,"X",$K$7:$AH$7,H$7)=0,),"",COUNTIFS($K856:$AH856,"X",$K$7:$AH$7,H$7))</f>
        <v/>
      </c>
      <c r="I856" s="51" t="str">
        <f t="shared" si="59"/>
        <v/>
      </c>
      <c r="J856" s="51" t="str">
        <f t="shared" si="59"/>
        <v/>
      </c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  <c r="AI856" s="37"/>
      <c r="AJ856" s="37"/>
      <c r="AK856" s="37"/>
      <c r="AM856" s="38"/>
      <c r="AN856" s="38"/>
      <c r="AO856" s="38"/>
      <c r="AP856" s="38"/>
      <c r="AQ856" s="38"/>
      <c r="AR856" s="38"/>
      <c r="AS856" s="38"/>
      <c r="AT856" s="38"/>
      <c r="AU856" s="38"/>
      <c r="AV856" s="38"/>
      <c r="AW856" s="38"/>
      <c r="AX856" s="38"/>
      <c r="AY856" s="38"/>
      <c r="AZ856" s="38"/>
      <c r="BA856" s="38"/>
      <c r="BB856" s="38"/>
      <c r="BC856" s="38"/>
      <c r="BD856" s="38"/>
      <c r="BE856" s="38"/>
      <c r="BF856" s="38"/>
    </row>
    <row r="857" spans="1:58" ht="22.5" hidden="1" customHeight="1">
      <c r="A857" s="33" t="str">
        <f>IF(OR(ISBLANK(E857),ISBLANK(C857)),"",IF(COUNTIF($E$8:E857,E857)&gt;1,"",(MAX($A$7:A856)+1)))</f>
        <v/>
      </c>
      <c r="B857" s="34" t="str">
        <f>IF(ISBLANK(C857),"",SUBTOTAL(3,$C$8:C857))</f>
        <v/>
      </c>
      <c r="C857" s="81"/>
      <c r="D857" s="50"/>
      <c r="E857" s="50"/>
      <c r="F857" s="35" t="str">
        <f t="shared" si="56"/>
        <v/>
      </c>
      <c r="G857" s="36" t="str">
        <f t="shared" si="57"/>
        <v/>
      </c>
      <c r="H857" s="51" t="str">
        <f t="shared" si="59"/>
        <v/>
      </c>
      <c r="I857" s="51" t="str">
        <f t="shared" si="59"/>
        <v/>
      </c>
      <c r="J857" s="51" t="str">
        <f t="shared" si="59"/>
        <v/>
      </c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7"/>
      <c r="AK857" s="37"/>
      <c r="AM857" s="38"/>
      <c r="AN857" s="38"/>
      <c r="AO857" s="38"/>
      <c r="AP857" s="38"/>
      <c r="AQ857" s="38"/>
      <c r="AR857" s="38"/>
      <c r="AS857" s="38"/>
      <c r="AT857" s="38"/>
      <c r="AU857" s="38"/>
      <c r="AV857" s="38"/>
      <c r="AW857" s="38"/>
      <c r="AX857" s="38"/>
      <c r="AY857" s="38"/>
      <c r="AZ857" s="38"/>
      <c r="BA857" s="38"/>
      <c r="BB857" s="38"/>
      <c r="BC857" s="38"/>
      <c r="BD857" s="38"/>
      <c r="BE857" s="38"/>
      <c r="BF857" s="38"/>
    </row>
    <row r="858" spans="1:58" ht="22.5" hidden="1" customHeight="1">
      <c r="A858" s="33" t="str">
        <f>IF(OR(ISBLANK(E858),ISBLANK(C858)),"",IF(COUNTIF($E$8:E858,E858)&gt;1,"",(MAX($A$7:A857)+1)))</f>
        <v/>
      </c>
      <c r="B858" s="34" t="str">
        <f>IF(ISBLANK(C858),"",SUBTOTAL(3,$C$8:C858))</f>
        <v/>
      </c>
      <c r="C858" s="81"/>
      <c r="D858" s="50"/>
      <c r="E858" s="50"/>
      <c r="F858" s="35" t="str">
        <f t="shared" si="56"/>
        <v/>
      </c>
      <c r="G858" s="36" t="str">
        <f t="shared" si="57"/>
        <v/>
      </c>
      <c r="H858" s="51" t="str">
        <f t="shared" si="59"/>
        <v/>
      </c>
      <c r="I858" s="51" t="str">
        <f t="shared" si="59"/>
        <v/>
      </c>
      <c r="J858" s="51" t="str">
        <f t="shared" si="59"/>
        <v/>
      </c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7"/>
      <c r="AK858" s="37"/>
      <c r="AM858" s="38"/>
      <c r="AN858" s="38"/>
      <c r="AO858" s="38"/>
      <c r="AP858" s="38"/>
      <c r="AQ858" s="38"/>
      <c r="AR858" s="38"/>
      <c r="AS858" s="38"/>
      <c r="AT858" s="38"/>
      <c r="AU858" s="38"/>
      <c r="AV858" s="38"/>
      <c r="AW858" s="38"/>
      <c r="AX858" s="38"/>
      <c r="AY858" s="38"/>
      <c r="AZ858" s="38"/>
      <c r="BA858" s="38"/>
      <c r="BB858" s="38"/>
      <c r="BC858" s="38"/>
      <c r="BD858" s="38"/>
      <c r="BE858" s="38"/>
      <c r="BF858" s="38"/>
    </row>
    <row r="859" spans="1:58" ht="22.5" hidden="1" customHeight="1">
      <c r="A859" s="33" t="str">
        <f>IF(OR(ISBLANK(E859),ISBLANK(C859)),"",IF(COUNTIF($E$8:E859,E859)&gt;1,"",(MAX($A$7:A858)+1)))</f>
        <v/>
      </c>
      <c r="B859" s="34" t="str">
        <f>IF(ISBLANK(C859),"",SUBTOTAL(3,$C$8:C859))</f>
        <v/>
      </c>
      <c r="C859" s="81"/>
      <c r="D859" s="50"/>
      <c r="E859" s="50"/>
      <c r="F859" s="35" t="str">
        <f t="shared" si="56"/>
        <v/>
      </c>
      <c r="G859" s="36" t="str">
        <f t="shared" si="57"/>
        <v/>
      </c>
      <c r="H859" s="51" t="str">
        <f t="shared" si="59"/>
        <v/>
      </c>
      <c r="I859" s="51" t="str">
        <f t="shared" si="59"/>
        <v/>
      </c>
      <c r="J859" s="51" t="str">
        <f t="shared" si="59"/>
        <v/>
      </c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  <c r="AJ859" s="37"/>
      <c r="AK859" s="37"/>
      <c r="AM859" s="38"/>
      <c r="AN859" s="38"/>
      <c r="AO859" s="38"/>
      <c r="AP859" s="38"/>
      <c r="AQ859" s="38"/>
      <c r="AR859" s="38"/>
      <c r="AS859" s="38"/>
      <c r="AT859" s="38"/>
      <c r="AU859" s="38"/>
      <c r="AV859" s="38"/>
      <c r="AW859" s="38"/>
      <c r="AX859" s="38"/>
      <c r="AY859" s="38"/>
      <c r="AZ859" s="38"/>
      <c r="BA859" s="38"/>
      <c r="BB859" s="38"/>
      <c r="BC859" s="38"/>
      <c r="BD859" s="38"/>
      <c r="BE859" s="38"/>
      <c r="BF859" s="38"/>
    </row>
    <row r="860" spans="1:58" ht="22.5" hidden="1" customHeight="1">
      <c r="A860" s="33" t="str">
        <f>IF(OR(ISBLANK(E860),ISBLANK(C860)),"",IF(COUNTIF($E$8:E860,E860)&gt;1,"",(MAX($A$7:A859)+1)))</f>
        <v/>
      </c>
      <c r="B860" s="34" t="str">
        <f>IF(ISBLANK(C860),"",SUBTOTAL(3,$C$8:C860))</f>
        <v/>
      </c>
      <c r="C860" s="81"/>
      <c r="D860" s="50"/>
      <c r="E860" s="50"/>
      <c r="F860" s="35" t="str">
        <f t="shared" si="56"/>
        <v/>
      </c>
      <c r="G860" s="36" t="str">
        <f t="shared" si="57"/>
        <v/>
      </c>
      <c r="H860" s="51" t="str">
        <f t="shared" si="59"/>
        <v/>
      </c>
      <c r="I860" s="51" t="str">
        <f t="shared" si="59"/>
        <v/>
      </c>
      <c r="J860" s="51" t="str">
        <f t="shared" si="59"/>
        <v/>
      </c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M860" s="38"/>
      <c r="AN860" s="38"/>
      <c r="AO860" s="38"/>
      <c r="AP860" s="38"/>
      <c r="AQ860" s="38"/>
      <c r="AR860" s="38"/>
      <c r="AS860" s="38"/>
      <c r="AT860" s="38"/>
      <c r="AU860" s="38"/>
      <c r="AV860" s="38"/>
      <c r="AW860" s="38"/>
      <c r="AX860" s="38"/>
      <c r="AY860" s="38"/>
      <c r="AZ860" s="38"/>
      <c r="BA860" s="38"/>
      <c r="BB860" s="38"/>
      <c r="BC860" s="38"/>
      <c r="BD860" s="38"/>
      <c r="BE860" s="38"/>
      <c r="BF860" s="38"/>
    </row>
    <row r="861" spans="1:58" ht="22.5" hidden="1" customHeight="1">
      <c r="A861" s="33" t="str">
        <f>IF(OR(ISBLANK(E861),ISBLANK(C861)),"",IF(COUNTIF($E$8:E861,E861)&gt;1,"",(MAX($A$7:A860)+1)))</f>
        <v/>
      </c>
      <c r="B861" s="34" t="str">
        <f>IF(ISBLANK(C861),"",SUBTOTAL(3,$C$8:C861))</f>
        <v/>
      </c>
      <c r="C861" s="81"/>
      <c r="D861" s="50"/>
      <c r="E861" s="50"/>
      <c r="F861" s="35" t="str">
        <f t="shared" si="56"/>
        <v/>
      </c>
      <c r="G861" s="36" t="str">
        <f t="shared" si="57"/>
        <v/>
      </c>
      <c r="H861" s="51" t="str">
        <f t="shared" si="59"/>
        <v/>
      </c>
      <c r="I861" s="51" t="str">
        <f t="shared" si="59"/>
        <v/>
      </c>
      <c r="J861" s="51" t="str">
        <f t="shared" si="59"/>
        <v/>
      </c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7"/>
      <c r="AK861" s="37"/>
      <c r="AM861" s="38"/>
      <c r="AN861" s="38"/>
      <c r="AO861" s="38"/>
      <c r="AP861" s="38"/>
      <c r="AQ861" s="38"/>
      <c r="AR861" s="38"/>
      <c r="AS861" s="38"/>
      <c r="AT861" s="38"/>
      <c r="AU861" s="38"/>
      <c r="AV861" s="38"/>
      <c r="AW861" s="38"/>
      <c r="AX861" s="38"/>
      <c r="AY861" s="38"/>
      <c r="AZ861" s="38"/>
      <c r="BA861" s="38"/>
      <c r="BB861" s="38"/>
      <c r="BC861" s="38"/>
      <c r="BD861" s="38"/>
      <c r="BE861" s="38"/>
      <c r="BF861" s="38"/>
    </row>
    <row r="862" spans="1:58" ht="22.5" hidden="1" customHeight="1">
      <c r="A862" s="33" t="str">
        <f>IF(OR(ISBLANK(E862),ISBLANK(C862)),"",IF(COUNTIF($E$8:E862,E862)&gt;1,"",(MAX($A$7:A861)+1)))</f>
        <v/>
      </c>
      <c r="B862" s="34" t="str">
        <f>IF(ISBLANK(C862),"",SUBTOTAL(3,$C$8:C862))</f>
        <v/>
      </c>
      <c r="C862" s="81"/>
      <c r="D862" s="50"/>
      <c r="E862" s="50"/>
      <c r="F862" s="35" t="str">
        <f t="shared" si="56"/>
        <v/>
      </c>
      <c r="G862" s="36" t="str">
        <f t="shared" si="57"/>
        <v/>
      </c>
      <c r="H862" s="51" t="str">
        <f t="shared" si="59"/>
        <v/>
      </c>
      <c r="I862" s="51" t="str">
        <f t="shared" si="59"/>
        <v/>
      </c>
      <c r="J862" s="51" t="str">
        <f t="shared" si="59"/>
        <v/>
      </c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M862" s="38"/>
      <c r="AN862" s="38"/>
      <c r="AO862" s="38"/>
      <c r="AP862" s="38"/>
      <c r="AQ862" s="38"/>
      <c r="AR862" s="38"/>
      <c r="AS862" s="38"/>
      <c r="AT862" s="38"/>
      <c r="AU862" s="38"/>
      <c r="AV862" s="38"/>
      <c r="AW862" s="38"/>
      <c r="AX862" s="38"/>
      <c r="AY862" s="38"/>
      <c r="AZ862" s="38"/>
      <c r="BA862" s="38"/>
      <c r="BB862" s="38"/>
      <c r="BC862" s="38"/>
      <c r="BD862" s="38"/>
      <c r="BE862" s="38"/>
      <c r="BF862" s="38"/>
    </row>
    <row r="863" spans="1:58" ht="22.5" hidden="1" customHeight="1">
      <c r="A863" s="33" t="str">
        <f>IF(OR(ISBLANK(E863),ISBLANK(C863)),"",IF(COUNTIF($E$8:E863,E863)&gt;1,"",(MAX($A$7:A862)+1)))</f>
        <v/>
      </c>
      <c r="B863" s="34" t="str">
        <f>IF(ISBLANK(C863),"",SUBTOTAL(3,$C$8:C863))</f>
        <v/>
      </c>
      <c r="C863" s="81"/>
      <c r="D863" s="50"/>
      <c r="E863" s="50"/>
      <c r="F863" s="35" t="str">
        <f t="shared" si="56"/>
        <v/>
      </c>
      <c r="G863" s="36" t="str">
        <f t="shared" si="57"/>
        <v/>
      </c>
      <c r="H863" s="51" t="str">
        <f t="shared" si="59"/>
        <v/>
      </c>
      <c r="I863" s="51" t="str">
        <f t="shared" si="59"/>
        <v/>
      </c>
      <c r="J863" s="51" t="str">
        <f t="shared" si="59"/>
        <v/>
      </c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M863" s="38"/>
      <c r="AN863" s="38"/>
      <c r="AO863" s="38"/>
      <c r="AP863" s="38"/>
      <c r="AQ863" s="38"/>
      <c r="AR863" s="38"/>
      <c r="AS863" s="38"/>
      <c r="AT863" s="38"/>
      <c r="AU863" s="38"/>
      <c r="AV863" s="38"/>
      <c r="AW863" s="38"/>
      <c r="AX863" s="38"/>
      <c r="AY863" s="38"/>
      <c r="AZ863" s="38"/>
      <c r="BA863" s="38"/>
      <c r="BB863" s="38"/>
      <c r="BC863" s="38"/>
      <c r="BD863" s="38"/>
      <c r="BE863" s="38"/>
      <c r="BF863" s="38"/>
    </row>
    <row r="864" spans="1:58" ht="22.5" hidden="1" customHeight="1">
      <c r="A864" s="33" t="str">
        <f>IF(OR(ISBLANK(E864),ISBLANK(C864)),"",IF(COUNTIF($E$8:E864,E864)&gt;1,"",(MAX($A$7:A863)+1)))</f>
        <v/>
      </c>
      <c r="B864" s="34" t="str">
        <f>IF(ISBLANK(C864),"",SUBTOTAL(3,$C$8:C864))</f>
        <v/>
      </c>
      <c r="C864" s="81"/>
      <c r="D864" s="50"/>
      <c r="E864" s="50"/>
      <c r="F864" s="35" t="str">
        <f t="shared" si="56"/>
        <v/>
      </c>
      <c r="G864" s="36" t="str">
        <f t="shared" si="57"/>
        <v/>
      </c>
      <c r="H864" s="51" t="str">
        <f t="shared" si="59"/>
        <v/>
      </c>
      <c r="I864" s="51" t="str">
        <f t="shared" si="59"/>
        <v/>
      </c>
      <c r="J864" s="51" t="str">
        <f t="shared" si="59"/>
        <v/>
      </c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  <c r="AJ864" s="37"/>
      <c r="AK864" s="37"/>
      <c r="AM864" s="38"/>
      <c r="AN864" s="38"/>
      <c r="AO864" s="38"/>
      <c r="AP864" s="38"/>
      <c r="AQ864" s="38"/>
      <c r="AR864" s="38"/>
      <c r="AS864" s="38"/>
      <c r="AT864" s="38"/>
      <c r="AU864" s="38"/>
      <c r="AV864" s="38"/>
      <c r="AW864" s="38"/>
      <c r="AX864" s="38"/>
      <c r="AY864" s="38"/>
      <c r="AZ864" s="38"/>
      <c r="BA864" s="38"/>
      <c r="BB864" s="38"/>
      <c r="BC864" s="38"/>
      <c r="BD864" s="38"/>
      <c r="BE864" s="38"/>
      <c r="BF864" s="38"/>
    </row>
    <row r="865" spans="1:58" ht="22.5" hidden="1" customHeight="1">
      <c r="A865" s="33" t="str">
        <f>IF(OR(ISBLANK(E865),ISBLANK(C865)),"",IF(COUNTIF($E$8:E865,E865)&gt;1,"",(MAX($A$7:A864)+1)))</f>
        <v/>
      </c>
      <c r="B865" s="34" t="str">
        <f>IF(ISBLANK(C865),"",SUBTOTAL(3,$C$8:C865))</f>
        <v/>
      </c>
      <c r="C865" s="81"/>
      <c r="D865" s="50"/>
      <c r="E865" s="50"/>
      <c r="F865" s="35" t="str">
        <f t="shared" si="56"/>
        <v/>
      </c>
      <c r="G865" s="36" t="str">
        <f t="shared" si="57"/>
        <v/>
      </c>
      <c r="H865" s="51" t="str">
        <f t="shared" si="59"/>
        <v/>
      </c>
      <c r="I865" s="51" t="str">
        <f t="shared" si="59"/>
        <v/>
      </c>
      <c r="J865" s="51" t="str">
        <f t="shared" si="59"/>
        <v/>
      </c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  <c r="AJ865" s="37"/>
      <c r="AK865" s="37"/>
      <c r="AM865" s="38"/>
      <c r="AN865" s="38"/>
      <c r="AO865" s="38"/>
      <c r="AP865" s="38"/>
      <c r="AQ865" s="38"/>
      <c r="AR865" s="38"/>
      <c r="AS865" s="38"/>
      <c r="AT865" s="38"/>
      <c r="AU865" s="38"/>
      <c r="AV865" s="38"/>
      <c r="AW865" s="38"/>
      <c r="AX865" s="38"/>
      <c r="AY865" s="38"/>
      <c r="AZ865" s="38"/>
      <c r="BA865" s="38"/>
      <c r="BB865" s="38"/>
      <c r="BC865" s="38"/>
      <c r="BD865" s="38"/>
      <c r="BE865" s="38"/>
      <c r="BF865" s="38"/>
    </row>
    <row r="866" spans="1:58" ht="22.5" hidden="1" customHeight="1">
      <c r="A866" s="33" t="str">
        <f>IF(OR(ISBLANK(E866),ISBLANK(C866)),"",IF(COUNTIF($E$8:E866,E866)&gt;1,"",(MAX($A$7:A865)+1)))</f>
        <v/>
      </c>
      <c r="B866" s="34" t="str">
        <f>IF(ISBLANK(C866),"",SUBTOTAL(3,$C$8:C866))</f>
        <v/>
      </c>
      <c r="C866" s="81"/>
      <c r="D866" s="50"/>
      <c r="E866" s="50"/>
      <c r="F866" s="35" t="str">
        <f t="shared" si="56"/>
        <v/>
      </c>
      <c r="G866" s="36" t="str">
        <f t="shared" si="57"/>
        <v/>
      </c>
      <c r="H866" s="51" t="str">
        <f t="shared" si="59"/>
        <v/>
      </c>
      <c r="I866" s="51" t="str">
        <f t="shared" si="59"/>
        <v/>
      </c>
      <c r="J866" s="51" t="str">
        <f t="shared" si="59"/>
        <v/>
      </c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M866" s="38"/>
      <c r="AN866" s="38"/>
      <c r="AO866" s="38"/>
      <c r="AP866" s="38"/>
      <c r="AQ866" s="38"/>
      <c r="AR866" s="38"/>
      <c r="AS866" s="38"/>
      <c r="AT866" s="38"/>
      <c r="AU866" s="38"/>
      <c r="AV866" s="38"/>
      <c r="AW866" s="38"/>
      <c r="AX866" s="38"/>
      <c r="AY866" s="38"/>
      <c r="AZ866" s="38"/>
      <c r="BA866" s="38"/>
      <c r="BB866" s="38"/>
      <c r="BC866" s="38"/>
      <c r="BD866" s="38"/>
      <c r="BE866" s="38"/>
      <c r="BF866" s="38"/>
    </row>
    <row r="867" spans="1:58" ht="22.5" hidden="1" customHeight="1">
      <c r="A867" s="33" t="str">
        <f>IF(OR(ISBLANK(E867),ISBLANK(C867)),"",IF(COUNTIF($E$8:E867,E867)&gt;1,"",(MAX($A$7:A866)+1)))</f>
        <v/>
      </c>
      <c r="B867" s="34" t="str">
        <f>IF(ISBLANK(C867),"",SUBTOTAL(3,$C$8:C867))</f>
        <v/>
      </c>
      <c r="C867" s="81"/>
      <c r="D867" s="50"/>
      <c r="E867" s="50"/>
      <c r="F867" s="35" t="str">
        <f t="shared" si="56"/>
        <v/>
      </c>
      <c r="G867" s="36" t="str">
        <f t="shared" si="57"/>
        <v/>
      </c>
      <c r="H867" s="51" t="str">
        <f t="shared" si="59"/>
        <v/>
      </c>
      <c r="I867" s="51" t="str">
        <f t="shared" si="59"/>
        <v/>
      </c>
      <c r="J867" s="51" t="str">
        <f t="shared" si="59"/>
        <v/>
      </c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  <c r="AJ867" s="37"/>
      <c r="AK867" s="37"/>
      <c r="AM867" s="38"/>
      <c r="AN867" s="38"/>
      <c r="AO867" s="38"/>
      <c r="AP867" s="38"/>
      <c r="AQ867" s="38"/>
      <c r="AR867" s="38"/>
      <c r="AS867" s="38"/>
      <c r="AT867" s="38"/>
      <c r="AU867" s="38"/>
      <c r="AV867" s="38"/>
      <c r="AW867" s="38"/>
      <c r="AX867" s="38"/>
      <c r="AY867" s="38"/>
      <c r="AZ867" s="38"/>
      <c r="BA867" s="38"/>
      <c r="BB867" s="38"/>
      <c r="BC867" s="38"/>
      <c r="BD867" s="38"/>
      <c r="BE867" s="38"/>
      <c r="BF867" s="38"/>
    </row>
    <row r="868" spans="1:58" ht="22.5" hidden="1" customHeight="1">
      <c r="A868" s="33" t="str">
        <f>IF(OR(ISBLANK(E868),ISBLANK(C868)),"",IF(COUNTIF($E$8:E868,E868)&gt;1,"",(MAX($A$7:A867)+1)))</f>
        <v/>
      </c>
      <c r="B868" s="34" t="str">
        <f>IF(ISBLANK(C868),"",SUBTOTAL(3,$C$8:C868))</f>
        <v/>
      </c>
      <c r="C868" s="85"/>
      <c r="D868" s="50"/>
      <c r="E868" s="50"/>
      <c r="F868" s="35" t="str">
        <f t="shared" si="56"/>
        <v/>
      </c>
      <c r="G868" s="36" t="str">
        <f t="shared" si="57"/>
        <v/>
      </c>
      <c r="H868" s="51" t="str">
        <f t="shared" si="59"/>
        <v/>
      </c>
      <c r="I868" s="51" t="str">
        <f t="shared" si="59"/>
        <v/>
      </c>
      <c r="J868" s="51" t="str">
        <f t="shared" si="59"/>
        <v/>
      </c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  <c r="AJ868" s="37"/>
      <c r="AK868" s="37"/>
      <c r="AM868" s="38"/>
      <c r="AN868" s="38"/>
      <c r="AO868" s="38"/>
      <c r="AP868" s="38"/>
      <c r="AQ868" s="38"/>
      <c r="AR868" s="38"/>
      <c r="AS868" s="38"/>
      <c r="AT868" s="38"/>
      <c r="AU868" s="38"/>
      <c r="AV868" s="38"/>
      <c r="AW868" s="38"/>
      <c r="AX868" s="38"/>
      <c r="AY868" s="38"/>
      <c r="AZ868" s="38"/>
      <c r="BA868" s="38"/>
      <c r="BB868" s="38"/>
      <c r="BC868" s="38"/>
      <c r="BD868" s="38"/>
      <c r="BE868" s="38"/>
      <c r="BF868" s="38"/>
    </row>
    <row r="869" spans="1:58" ht="22.5" hidden="1" customHeight="1">
      <c r="A869" s="33" t="str">
        <f>IF(OR(ISBLANK(E869),ISBLANK(C869)),"",IF(COUNTIF($E$8:E869,E869)&gt;1,"",(MAX($A$7:A868)+1)))</f>
        <v/>
      </c>
      <c r="B869" s="34" t="str">
        <f>IF(ISBLANK(C869),"",SUBTOTAL(3,$C$8:C869))</f>
        <v/>
      </c>
      <c r="C869" s="78"/>
      <c r="D869" s="50"/>
      <c r="E869" s="50"/>
      <c r="F869" s="35" t="str">
        <f t="shared" si="56"/>
        <v/>
      </c>
      <c r="G869" s="36" t="str">
        <f t="shared" si="57"/>
        <v/>
      </c>
      <c r="H869" s="51" t="str">
        <f t="shared" si="59"/>
        <v/>
      </c>
      <c r="I869" s="51" t="str">
        <f t="shared" si="59"/>
        <v/>
      </c>
      <c r="J869" s="51" t="str">
        <f t="shared" si="59"/>
        <v/>
      </c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  <c r="AJ869" s="37"/>
      <c r="AK869" s="37"/>
      <c r="AM869" s="38"/>
      <c r="AN869" s="38"/>
      <c r="AO869" s="38"/>
      <c r="AP869" s="38"/>
      <c r="AQ869" s="38"/>
      <c r="AR869" s="38"/>
      <c r="AS869" s="38"/>
      <c r="AT869" s="38"/>
      <c r="AU869" s="38"/>
      <c r="AV869" s="38"/>
      <c r="AW869" s="38"/>
      <c r="AX869" s="38"/>
      <c r="AY869" s="38"/>
      <c r="AZ869" s="38"/>
      <c r="BA869" s="38"/>
      <c r="BB869" s="38"/>
      <c r="BC869" s="38"/>
      <c r="BD869" s="38"/>
      <c r="BE869" s="38"/>
      <c r="BF869" s="38"/>
    </row>
    <row r="870" spans="1:58" ht="22.5" hidden="1" customHeight="1">
      <c r="A870" s="33" t="str">
        <f>IF(OR(ISBLANK(E870),ISBLANK(C870)),"",IF(COUNTIF($E$8:E870,E870)&gt;1,"",(MAX($A$7:A869)+1)))</f>
        <v/>
      </c>
      <c r="B870" s="34" t="str">
        <f>IF(ISBLANK(C870),"",SUBTOTAL(3,$C$8:C870))</f>
        <v/>
      </c>
      <c r="C870" s="85"/>
      <c r="D870" s="50"/>
      <c r="E870" s="50"/>
      <c r="F870" s="35" t="str">
        <f t="shared" si="56"/>
        <v/>
      </c>
      <c r="G870" s="36" t="str">
        <f t="shared" si="57"/>
        <v/>
      </c>
      <c r="H870" s="51" t="str">
        <f t="shared" si="59"/>
        <v/>
      </c>
      <c r="I870" s="51" t="str">
        <f t="shared" si="59"/>
        <v/>
      </c>
      <c r="J870" s="51" t="str">
        <f t="shared" si="59"/>
        <v/>
      </c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  <c r="AJ870" s="37"/>
      <c r="AK870" s="37"/>
      <c r="AM870" s="38"/>
      <c r="AN870" s="38"/>
      <c r="AO870" s="38"/>
      <c r="AP870" s="38"/>
      <c r="AQ870" s="38"/>
      <c r="AR870" s="38"/>
      <c r="AS870" s="38"/>
      <c r="AT870" s="38"/>
      <c r="AU870" s="38"/>
      <c r="AV870" s="38"/>
      <c r="AW870" s="38"/>
      <c r="AX870" s="38"/>
      <c r="AY870" s="38"/>
      <c r="AZ870" s="38"/>
      <c r="BA870" s="38"/>
      <c r="BB870" s="38"/>
      <c r="BC870" s="38"/>
      <c r="BD870" s="38"/>
      <c r="BE870" s="38"/>
      <c r="BF870" s="38"/>
    </row>
    <row r="871" spans="1:58" ht="22.5" hidden="1" customHeight="1">
      <c r="A871" s="33" t="str">
        <f>IF(OR(ISBLANK(E871),ISBLANK(C871)),"",IF(COUNTIF($E$8:E871,E871)&gt;1,"",(MAX($A$7:A870)+1)))</f>
        <v/>
      </c>
      <c r="B871" s="34" t="str">
        <f>IF(ISBLANK(C871),"",SUBTOTAL(3,$C$8:C871))</f>
        <v/>
      </c>
      <c r="C871" s="85"/>
      <c r="D871" s="50"/>
      <c r="E871" s="50"/>
      <c r="F871" s="35" t="str">
        <f t="shared" si="56"/>
        <v/>
      </c>
      <c r="G871" s="36" t="str">
        <f t="shared" si="57"/>
        <v/>
      </c>
      <c r="H871" s="51" t="str">
        <f t="shared" si="59"/>
        <v/>
      </c>
      <c r="I871" s="51" t="str">
        <f t="shared" si="59"/>
        <v/>
      </c>
      <c r="J871" s="51" t="str">
        <f t="shared" si="59"/>
        <v/>
      </c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  <c r="AI871" s="37"/>
      <c r="AJ871" s="37"/>
      <c r="AK871" s="37"/>
      <c r="AM871" s="38"/>
      <c r="AN871" s="38"/>
      <c r="AO871" s="38"/>
      <c r="AP871" s="38"/>
      <c r="AQ871" s="38"/>
      <c r="AR871" s="38"/>
      <c r="AS871" s="38"/>
      <c r="AT871" s="38"/>
      <c r="AU871" s="38"/>
      <c r="AV871" s="38"/>
      <c r="AW871" s="38"/>
      <c r="AX871" s="38"/>
      <c r="AY871" s="38"/>
      <c r="AZ871" s="38"/>
      <c r="BA871" s="38"/>
      <c r="BB871" s="38"/>
      <c r="BC871" s="38"/>
      <c r="BD871" s="38"/>
      <c r="BE871" s="38"/>
      <c r="BF871" s="38"/>
    </row>
    <row r="872" spans="1:58" ht="22.5" hidden="1" customHeight="1">
      <c r="A872" s="33" t="str">
        <f>IF(OR(ISBLANK(E872),ISBLANK(C872)),"",IF(COUNTIF($E$8:E872,E872)&gt;1,"",(MAX($A$7:A871)+1)))</f>
        <v/>
      </c>
      <c r="B872" s="34" t="str">
        <f>IF(ISBLANK(C872),"",SUBTOTAL(3,$C$8:C872))</f>
        <v/>
      </c>
      <c r="C872" s="85"/>
      <c r="D872" s="50"/>
      <c r="E872" s="50"/>
      <c r="F872" s="35" t="str">
        <f t="shared" si="56"/>
        <v/>
      </c>
      <c r="G872" s="36" t="str">
        <f t="shared" si="57"/>
        <v/>
      </c>
      <c r="H872" s="51" t="str">
        <f t="shared" si="59"/>
        <v/>
      </c>
      <c r="I872" s="51" t="str">
        <f t="shared" si="59"/>
        <v/>
      </c>
      <c r="J872" s="51" t="str">
        <f t="shared" si="59"/>
        <v/>
      </c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  <c r="AI872" s="37"/>
      <c r="AJ872" s="37"/>
      <c r="AK872" s="37"/>
      <c r="AM872" s="38"/>
      <c r="AN872" s="38"/>
      <c r="AO872" s="38"/>
      <c r="AP872" s="38"/>
      <c r="AQ872" s="38"/>
      <c r="AR872" s="38"/>
      <c r="AS872" s="38"/>
      <c r="AT872" s="38"/>
      <c r="AU872" s="38"/>
      <c r="AV872" s="38"/>
      <c r="AW872" s="38"/>
      <c r="AX872" s="38"/>
      <c r="AY872" s="38"/>
      <c r="AZ872" s="38"/>
      <c r="BA872" s="38"/>
      <c r="BB872" s="38"/>
      <c r="BC872" s="38"/>
      <c r="BD872" s="38"/>
      <c r="BE872" s="38"/>
      <c r="BF872" s="38"/>
    </row>
    <row r="873" spans="1:58" ht="22.5" hidden="1" customHeight="1">
      <c r="A873" s="33" t="str">
        <f>IF(OR(ISBLANK(E873),ISBLANK(C873)),"",IF(COUNTIF($E$8:E873,E873)&gt;1,"",(MAX($A$7:A872)+1)))</f>
        <v/>
      </c>
      <c r="B873" s="34" t="str">
        <f>IF(ISBLANK(C873),"",SUBTOTAL(3,$C$8:C873))</f>
        <v/>
      </c>
      <c r="C873" s="85"/>
      <c r="D873" s="50"/>
      <c r="E873" s="50"/>
      <c r="F873" s="35" t="str">
        <f t="shared" si="56"/>
        <v/>
      </c>
      <c r="G873" s="36" t="str">
        <f t="shared" si="57"/>
        <v/>
      </c>
      <c r="H873" s="51" t="str">
        <f t="shared" si="59"/>
        <v/>
      </c>
      <c r="I873" s="51" t="str">
        <f t="shared" si="59"/>
        <v/>
      </c>
      <c r="J873" s="51" t="str">
        <f t="shared" si="59"/>
        <v/>
      </c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  <c r="AJ873" s="37"/>
      <c r="AK873" s="37"/>
      <c r="AM873" s="38"/>
      <c r="AN873" s="38"/>
      <c r="AO873" s="38"/>
      <c r="AP873" s="38"/>
      <c r="AQ873" s="38"/>
      <c r="AR873" s="38"/>
      <c r="AS873" s="38"/>
      <c r="AT873" s="38"/>
      <c r="AU873" s="38"/>
      <c r="AV873" s="38"/>
      <c r="AW873" s="38"/>
      <c r="AX873" s="38"/>
      <c r="AY873" s="38"/>
      <c r="AZ873" s="38"/>
      <c r="BA873" s="38"/>
      <c r="BB873" s="38"/>
      <c r="BC873" s="38"/>
      <c r="BD873" s="38"/>
      <c r="BE873" s="38"/>
      <c r="BF873" s="38"/>
    </row>
    <row r="874" spans="1:58" ht="22.5" hidden="1" customHeight="1">
      <c r="A874" s="33" t="str">
        <f>IF(OR(ISBLANK(E874),ISBLANK(C874)),"",IF(COUNTIF($E$8:E874,E874)&gt;1,"",(MAX($A$7:A873)+1)))</f>
        <v/>
      </c>
      <c r="B874" s="34" t="str">
        <f>IF(ISBLANK(C874),"",SUBTOTAL(3,$C$8:C874))</f>
        <v/>
      </c>
      <c r="C874" s="85"/>
      <c r="D874" s="50"/>
      <c r="E874" s="50"/>
      <c r="F874" s="35" t="str">
        <f t="shared" si="56"/>
        <v/>
      </c>
      <c r="G874" s="36" t="str">
        <f t="shared" si="57"/>
        <v/>
      </c>
      <c r="H874" s="51" t="str">
        <f t="shared" si="59"/>
        <v/>
      </c>
      <c r="I874" s="51" t="str">
        <f t="shared" si="59"/>
        <v/>
      </c>
      <c r="J874" s="51" t="str">
        <f t="shared" si="59"/>
        <v/>
      </c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  <c r="AJ874" s="37"/>
      <c r="AK874" s="37"/>
      <c r="AM874" s="38"/>
      <c r="AN874" s="38"/>
      <c r="AO874" s="38"/>
      <c r="AP874" s="38"/>
      <c r="AQ874" s="38"/>
      <c r="AR874" s="38"/>
      <c r="AS874" s="38"/>
      <c r="AT874" s="38"/>
      <c r="AU874" s="38"/>
      <c r="AV874" s="38"/>
      <c r="AW874" s="38"/>
      <c r="AX874" s="38"/>
      <c r="AY874" s="38"/>
      <c r="AZ874" s="38"/>
      <c r="BA874" s="38"/>
      <c r="BB874" s="38"/>
      <c r="BC874" s="38"/>
      <c r="BD874" s="38"/>
      <c r="BE874" s="38"/>
      <c r="BF874" s="38"/>
    </row>
    <row r="875" spans="1:58" ht="22.5" hidden="1" customHeight="1">
      <c r="A875" s="33" t="str">
        <f>IF(OR(ISBLANK(E875),ISBLANK(C875)),"",IF(COUNTIF($E$8:E875,E875)&gt;1,"",(MAX($A$7:A874)+1)))</f>
        <v/>
      </c>
      <c r="B875" s="34" t="str">
        <f>IF(ISBLANK(C875),"",SUBTOTAL(3,$C$8:C875))</f>
        <v/>
      </c>
      <c r="C875" s="85"/>
      <c r="D875" s="50"/>
      <c r="E875" s="50"/>
      <c r="F875" s="35" t="str">
        <f t="shared" si="56"/>
        <v/>
      </c>
      <c r="G875" s="36" t="str">
        <f t="shared" si="57"/>
        <v/>
      </c>
      <c r="H875" s="51" t="str">
        <f t="shared" si="59"/>
        <v/>
      </c>
      <c r="I875" s="51" t="str">
        <f t="shared" si="59"/>
        <v/>
      </c>
      <c r="J875" s="51" t="str">
        <f t="shared" si="59"/>
        <v/>
      </c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  <c r="AJ875" s="37"/>
      <c r="AK875" s="37"/>
      <c r="AM875" s="38"/>
      <c r="AN875" s="38"/>
      <c r="AO875" s="38"/>
      <c r="AP875" s="38"/>
      <c r="AQ875" s="38"/>
      <c r="AR875" s="38"/>
      <c r="AS875" s="38"/>
      <c r="AT875" s="38"/>
      <c r="AU875" s="38"/>
      <c r="AV875" s="38"/>
      <c r="AW875" s="38"/>
      <c r="AX875" s="38"/>
      <c r="AY875" s="38"/>
      <c r="AZ875" s="38"/>
      <c r="BA875" s="38"/>
      <c r="BB875" s="38"/>
      <c r="BC875" s="38"/>
      <c r="BD875" s="38"/>
      <c r="BE875" s="38"/>
      <c r="BF875" s="38"/>
    </row>
    <row r="876" spans="1:58" ht="22.5" hidden="1" customHeight="1">
      <c r="A876" s="33" t="str">
        <f>IF(OR(ISBLANK(E876),ISBLANK(C876)),"",IF(COUNTIF($E$8:E876,E876)&gt;1,"",(MAX($A$7:A875)+1)))</f>
        <v/>
      </c>
      <c r="B876" s="34" t="str">
        <f>IF(ISBLANK(C876),"",SUBTOTAL(3,$C$8:C876))</f>
        <v/>
      </c>
      <c r="C876" s="85"/>
      <c r="D876" s="50"/>
      <c r="E876" s="50"/>
      <c r="F876" s="35" t="str">
        <f t="shared" si="56"/>
        <v/>
      </c>
      <c r="G876" s="36" t="str">
        <f t="shared" si="57"/>
        <v/>
      </c>
      <c r="H876" s="51" t="str">
        <f t="shared" si="59"/>
        <v/>
      </c>
      <c r="I876" s="51" t="str">
        <f t="shared" si="59"/>
        <v/>
      </c>
      <c r="J876" s="51" t="str">
        <f t="shared" si="59"/>
        <v/>
      </c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  <c r="AJ876" s="37"/>
      <c r="AK876" s="37"/>
      <c r="AM876" s="38"/>
      <c r="AN876" s="38"/>
      <c r="AO876" s="38"/>
      <c r="AP876" s="38"/>
      <c r="AQ876" s="38"/>
      <c r="AR876" s="38"/>
      <c r="AS876" s="38"/>
      <c r="AT876" s="38"/>
      <c r="AU876" s="38"/>
      <c r="AV876" s="38"/>
      <c r="AW876" s="38"/>
      <c r="AX876" s="38"/>
      <c r="AY876" s="38"/>
      <c r="AZ876" s="38"/>
      <c r="BA876" s="38"/>
      <c r="BB876" s="38"/>
      <c r="BC876" s="38"/>
      <c r="BD876" s="38"/>
      <c r="BE876" s="38"/>
      <c r="BF876" s="38"/>
    </row>
    <row r="877" spans="1:58" ht="22.5" hidden="1" customHeight="1">
      <c r="A877" s="33" t="str">
        <f>IF(OR(ISBLANK(E877),ISBLANK(C877)),"",IF(COUNTIF($E$8:E877,E877)&gt;1,"",(MAX($A$7:A876)+1)))</f>
        <v/>
      </c>
      <c r="B877" s="34" t="str">
        <f>IF(ISBLANK(C877),"",SUBTOTAL(3,$C$8:C877))</f>
        <v/>
      </c>
      <c r="C877" s="85"/>
      <c r="D877" s="50"/>
      <c r="E877" s="50"/>
      <c r="F877" s="35" t="str">
        <f t="shared" si="56"/>
        <v/>
      </c>
      <c r="G877" s="36" t="str">
        <f t="shared" si="57"/>
        <v/>
      </c>
      <c r="H877" s="51" t="str">
        <f t="shared" si="59"/>
        <v/>
      </c>
      <c r="I877" s="51" t="str">
        <f t="shared" si="59"/>
        <v/>
      </c>
      <c r="J877" s="51" t="str">
        <f t="shared" si="59"/>
        <v/>
      </c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  <c r="AJ877" s="37"/>
      <c r="AK877" s="37"/>
      <c r="AM877" s="38"/>
      <c r="AN877" s="38"/>
      <c r="AO877" s="38"/>
      <c r="AP877" s="38"/>
      <c r="AQ877" s="38"/>
      <c r="AR877" s="38"/>
      <c r="AS877" s="38"/>
      <c r="AT877" s="38"/>
      <c r="AU877" s="38"/>
      <c r="AV877" s="38"/>
      <c r="AW877" s="38"/>
      <c r="AX877" s="38"/>
      <c r="AY877" s="38"/>
      <c r="AZ877" s="38"/>
      <c r="BA877" s="38"/>
      <c r="BB877" s="38"/>
      <c r="BC877" s="38"/>
      <c r="BD877" s="38"/>
      <c r="BE877" s="38"/>
      <c r="BF877" s="38"/>
    </row>
    <row r="878" spans="1:58" ht="22.5" hidden="1" customHeight="1">
      <c r="A878" s="33" t="str">
        <f>IF(OR(ISBLANK(E878),ISBLANK(C878)),"",IF(COUNTIF($E$8:E878,E878)&gt;1,"",(MAX($A$7:A877)+1)))</f>
        <v/>
      </c>
      <c r="B878" s="34" t="str">
        <f>IF(ISBLANK(C878),"",SUBTOTAL(3,$C$8:C878))</f>
        <v/>
      </c>
      <c r="C878" s="85"/>
      <c r="D878" s="50"/>
      <c r="E878" s="50"/>
      <c r="F878" s="35" t="str">
        <f t="shared" si="56"/>
        <v/>
      </c>
      <c r="G878" s="36" t="str">
        <f t="shared" si="57"/>
        <v/>
      </c>
      <c r="H878" s="51" t="str">
        <f t="shared" si="59"/>
        <v/>
      </c>
      <c r="I878" s="51" t="str">
        <f t="shared" si="59"/>
        <v/>
      </c>
      <c r="J878" s="51" t="str">
        <f t="shared" si="59"/>
        <v/>
      </c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  <c r="AJ878" s="37"/>
      <c r="AK878" s="37"/>
      <c r="AM878" s="38"/>
      <c r="AN878" s="38"/>
      <c r="AO878" s="38"/>
      <c r="AP878" s="38"/>
      <c r="AQ878" s="38"/>
      <c r="AR878" s="38"/>
      <c r="AS878" s="38"/>
      <c r="AT878" s="38"/>
      <c r="AU878" s="38"/>
      <c r="AV878" s="38"/>
      <c r="AW878" s="38"/>
      <c r="AX878" s="38"/>
      <c r="AY878" s="38"/>
      <c r="AZ878" s="38"/>
      <c r="BA878" s="38"/>
      <c r="BB878" s="38"/>
      <c r="BC878" s="38"/>
      <c r="BD878" s="38"/>
      <c r="BE878" s="38"/>
      <c r="BF878" s="38"/>
    </row>
    <row r="879" spans="1:58" ht="22.5" hidden="1" customHeight="1">
      <c r="A879" s="33" t="str">
        <f>IF(OR(ISBLANK(E879),ISBLANK(C879)),"",IF(COUNTIF($E$8:E879,E879)&gt;1,"",(MAX($A$7:A878)+1)))</f>
        <v/>
      </c>
      <c r="B879" s="34" t="str">
        <f>IF(ISBLANK(C879),"",SUBTOTAL(3,$C$8:C879))</f>
        <v/>
      </c>
      <c r="C879" s="85"/>
      <c r="D879" s="50"/>
      <c r="E879" s="50"/>
      <c r="F879" s="35" t="str">
        <f t="shared" si="56"/>
        <v/>
      </c>
      <c r="G879" s="36" t="str">
        <f t="shared" si="57"/>
        <v/>
      </c>
      <c r="H879" s="51" t="str">
        <f t="shared" si="59"/>
        <v/>
      </c>
      <c r="I879" s="51" t="str">
        <f t="shared" si="59"/>
        <v/>
      </c>
      <c r="J879" s="51" t="str">
        <f t="shared" si="59"/>
        <v/>
      </c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  <c r="AJ879" s="37"/>
      <c r="AK879" s="37"/>
      <c r="AM879" s="38"/>
      <c r="AN879" s="38"/>
      <c r="AO879" s="38"/>
      <c r="AP879" s="38"/>
      <c r="AQ879" s="38"/>
      <c r="AR879" s="38"/>
      <c r="AS879" s="38"/>
      <c r="AT879" s="38"/>
      <c r="AU879" s="38"/>
      <c r="AV879" s="38"/>
      <c r="AW879" s="38"/>
      <c r="AX879" s="38"/>
      <c r="AY879" s="38"/>
      <c r="AZ879" s="38"/>
      <c r="BA879" s="38"/>
      <c r="BB879" s="38"/>
      <c r="BC879" s="38"/>
      <c r="BD879" s="38"/>
      <c r="BE879" s="38"/>
      <c r="BF879" s="38"/>
    </row>
    <row r="880" spans="1:58" ht="22.5" hidden="1" customHeight="1">
      <c r="A880" s="33" t="str">
        <f>IF(OR(ISBLANK(E880),ISBLANK(C880)),"",IF(COUNTIF($E$8:E880,E880)&gt;1,"",(MAX($A$7:A879)+1)))</f>
        <v/>
      </c>
      <c r="B880" s="34" t="str">
        <f>IF(ISBLANK(C880),"",SUBTOTAL(3,$C$8:C880))</f>
        <v/>
      </c>
      <c r="C880" s="85"/>
      <c r="D880" s="50"/>
      <c r="E880" s="50"/>
      <c r="F880" s="35" t="str">
        <f t="shared" si="56"/>
        <v/>
      </c>
      <c r="G880" s="36" t="str">
        <f t="shared" si="57"/>
        <v/>
      </c>
      <c r="H880" s="51" t="str">
        <f t="shared" si="59"/>
        <v/>
      </c>
      <c r="I880" s="51" t="str">
        <f t="shared" si="59"/>
        <v/>
      </c>
      <c r="J880" s="51" t="str">
        <f t="shared" si="59"/>
        <v/>
      </c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7"/>
      <c r="AK880" s="37"/>
      <c r="AM880" s="38"/>
      <c r="AN880" s="38"/>
      <c r="AO880" s="38"/>
      <c r="AP880" s="38"/>
      <c r="AQ880" s="38"/>
      <c r="AR880" s="38"/>
      <c r="AS880" s="38"/>
      <c r="AT880" s="38"/>
      <c r="AU880" s="38"/>
      <c r="AV880" s="38"/>
      <c r="AW880" s="38"/>
      <c r="AX880" s="38"/>
      <c r="AY880" s="38"/>
      <c r="AZ880" s="38"/>
      <c r="BA880" s="38"/>
      <c r="BB880" s="38"/>
      <c r="BC880" s="38"/>
      <c r="BD880" s="38"/>
      <c r="BE880" s="38"/>
      <c r="BF880" s="38"/>
    </row>
    <row r="881" spans="1:58" ht="22.5" hidden="1" customHeight="1">
      <c r="A881" s="33" t="str">
        <f>IF(OR(ISBLANK(E881),ISBLANK(C881)),"",IF(COUNTIF($E$8:E881,E881)&gt;1,"",(MAX($A$7:A880)+1)))</f>
        <v/>
      </c>
      <c r="B881" s="34" t="str">
        <f>IF(ISBLANK(C881),"",SUBTOTAL(3,$C$8:C881))</f>
        <v/>
      </c>
      <c r="C881" s="85"/>
      <c r="D881" s="50"/>
      <c r="E881" s="50"/>
      <c r="F881" s="35" t="str">
        <f t="shared" si="56"/>
        <v/>
      </c>
      <c r="G881" s="36" t="str">
        <f t="shared" si="57"/>
        <v/>
      </c>
      <c r="H881" s="51" t="str">
        <f t="shared" si="59"/>
        <v/>
      </c>
      <c r="I881" s="51" t="str">
        <f t="shared" si="59"/>
        <v/>
      </c>
      <c r="J881" s="51" t="str">
        <f t="shared" si="59"/>
        <v/>
      </c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  <c r="AJ881" s="37"/>
      <c r="AK881" s="37"/>
      <c r="AM881" s="38"/>
      <c r="AN881" s="38"/>
      <c r="AO881" s="38"/>
      <c r="AP881" s="38"/>
      <c r="AQ881" s="38"/>
      <c r="AR881" s="38"/>
      <c r="AS881" s="38"/>
      <c r="AT881" s="38"/>
      <c r="AU881" s="38"/>
      <c r="AV881" s="38"/>
      <c r="AW881" s="38"/>
      <c r="AX881" s="38"/>
      <c r="AY881" s="38"/>
      <c r="AZ881" s="38"/>
      <c r="BA881" s="38"/>
      <c r="BB881" s="38"/>
      <c r="BC881" s="38"/>
      <c r="BD881" s="38"/>
      <c r="BE881" s="38"/>
      <c r="BF881" s="38"/>
    </row>
    <row r="882" spans="1:58" ht="22.5" hidden="1" customHeight="1">
      <c r="A882" s="33" t="str">
        <f>IF(OR(ISBLANK(E882),ISBLANK(C882)),"",IF(COUNTIF($E$8:E882,E882)&gt;1,"",(MAX($A$7:A881)+1)))</f>
        <v/>
      </c>
      <c r="B882" s="34" t="str">
        <f>IF(ISBLANK(C882),"",SUBTOTAL(3,$C$8:C882))</f>
        <v/>
      </c>
      <c r="C882" s="85"/>
      <c r="D882" s="50"/>
      <c r="E882" s="50"/>
      <c r="F882" s="35" t="str">
        <f t="shared" si="56"/>
        <v/>
      </c>
      <c r="G882" s="36" t="str">
        <f t="shared" si="57"/>
        <v/>
      </c>
      <c r="H882" s="51" t="str">
        <f t="shared" si="59"/>
        <v/>
      </c>
      <c r="I882" s="51" t="str">
        <f t="shared" si="59"/>
        <v/>
      </c>
      <c r="J882" s="51" t="str">
        <f t="shared" si="59"/>
        <v/>
      </c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  <c r="AJ882" s="37"/>
      <c r="AK882" s="37"/>
      <c r="AM882" s="38"/>
      <c r="AN882" s="38"/>
      <c r="AO882" s="38"/>
      <c r="AP882" s="38"/>
      <c r="AQ882" s="38"/>
      <c r="AR882" s="38"/>
      <c r="AS882" s="38"/>
      <c r="AT882" s="38"/>
      <c r="AU882" s="38"/>
      <c r="AV882" s="38"/>
      <c r="AW882" s="38"/>
      <c r="AX882" s="38"/>
      <c r="AY882" s="38"/>
      <c r="AZ882" s="38"/>
      <c r="BA882" s="38"/>
      <c r="BB882" s="38"/>
      <c r="BC882" s="38"/>
      <c r="BD882" s="38"/>
      <c r="BE882" s="38"/>
      <c r="BF882" s="38"/>
    </row>
    <row r="883" spans="1:58" ht="22.5" hidden="1" customHeight="1">
      <c r="A883" s="33" t="str">
        <f>IF(OR(ISBLANK(E883),ISBLANK(C883)),"",IF(COUNTIF($E$8:E883,E883)&gt;1,"",(MAX($A$7:A882)+1)))</f>
        <v/>
      </c>
      <c r="B883" s="34" t="str">
        <f>IF(ISBLANK(C883),"",SUBTOTAL(3,$C$8:C883))</f>
        <v/>
      </c>
      <c r="C883" s="85"/>
      <c r="D883" s="50"/>
      <c r="E883" s="50"/>
      <c r="F883" s="35" t="str">
        <f t="shared" si="56"/>
        <v/>
      </c>
      <c r="G883" s="36" t="str">
        <f t="shared" si="57"/>
        <v/>
      </c>
      <c r="H883" s="51" t="str">
        <f t="shared" si="59"/>
        <v/>
      </c>
      <c r="I883" s="51" t="str">
        <f t="shared" si="59"/>
        <v/>
      </c>
      <c r="J883" s="51" t="str">
        <f t="shared" si="59"/>
        <v/>
      </c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  <c r="AJ883" s="37"/>
      <c r="AK883" s="37"/>
      <c r="AM883" s="38"/>
      <c r="AN883" s="38"/>
      <c r="AO883" s="38"/>
      <c r="AP883" s="38"/>
      <c r="AQ883" s="38"/>
      <c r="AR883" s="38"/>
      <c r="AS883" s="38"/>
      <c r="AT883" s="38"/>
      <c r="AU883" s="38"/>
      <c r="AV883" s="38"/>
      <c r="AW883" s="38"/>
      <c r="AX883" s="38"/>
      <c r="AY883" s="38"/>
      <c r="AZ883" s="38"/>
      <c r="BA883" s="38"/>
      <c r="BB883" s="38"/>
      <c r="BC883" s="38"/>
      <c r="BD883" s="38"/>
      <c r="BE883" s="38"/>
      <c r="BF883" s="38"/>
    </row>
    <row r="884" spans="1:58" ht="22.5" hidden="1" customHeight="1">
      <c r="A884" s="33" t="str">
        <f>IF(OR(ISBLANK(E884),ISBLANK(C884)),"",IF(COUNTIF($E$8:E884,E884)&gt;1,"",(MAX($A$7:A883)+1)))</f>
        <v/>
      </c>
      <c r="B884" s="34" t="str">
        <f>IF(ISBLANK(C884),"",SUBTOTAL(3,$C$8:C884))</f>
        <v/>
      </c>
      <c r="C884" s="85"/>
      <c r="D884" s="50"/>
      <c r="E884" s="50"/>
      <c r="F884" s="35" t="str">
        <f t="shared" si="56"/>
        <v/>
      </c>
      <c r="G884" s="36" t="str">
        <f t="shared" si="57"/>
        <v/>
      </c>
      <c r="H884" s="51" t="str">
        <f t="shared" si="59"/>
        <v/>
      </c>
      <c r="I884" s="51" t="str">
        <f t="shared" si="59"/>
        <v/>
      </c>
      <c r="J884" s="51" t="str">
        <f t="shared" si="59"/>
        <v/>
      </c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  <c r="AJ884" s="37"/>
      <c r="AK884" s="37"/>
      <c r="AM884" s="38"/>
      <c r="AN884" s="38"/>
      <c r="AO884" s="38"/>
      <c r="AP884" s="38"/>
      <c r="AQ884" s="38"/>
      <c r="AR884" s="38"/>
      <c r="AS884" s="38"/>
      <c r="AT884" s="38"/>
      <c r="AU884" s="38"/>
      <c r="AV884" s="38"/>
      <c r="AW884" s="38"/>
      <c r="AX884" s="38"/>
      <c r="AY884" s="38"/>
      <c r="AZ884" s="38"/>
      <c r="BA884" s="38"/>
      <c r="BB884" s="38"/>
      <c r="BC884" s="38"/>
      <c r="BD884" s="38"/>
      <c r="BE884" s="38"/>
      <c r="BF884" s="38"/>
    </row>
    <row r="885" spans="1:58" ht="22.5" hidden="1" customHeight="1">
      <c r="A885" s="33" t="str">
        <f>IF(OR(ISBLANK(E885),ISBLANK(C885)),"",IF(COUNTIF($E$8:E885,E885)&gt;1,"",(MAX($A$7:A884)+1)))</f>
        <v/>
      </c>
      <c r="B885" s="34" t="str">
        <f>IF(ISBLANK(C885),"",SUBTOTAL(3,$C$8:C885))</f>
        <v/>
      </c>
      <c r="C885" s="85"/>
      <c r="D885" s="50"/>
      <c r="E885" s="50"/>
      <c r="F885" s="35" t="str">
        <f t="shared" si="56"/>
        <v/>
      </c>
      <c r="G885" s="36" t="str">
        <f t="shared" si="57"/>
        <v/>
      </c>
      <c r="H885" s="51" t="str">
        <f t="shared" si="59"/>
        <v/>
      </c>
      <c r="I885" s="51" t="str">
        <f t="shared" si="59"/>
        <v/>
      </c>
      <c r="J885" s="51" t="str">
        <f t="shared" si="59"/>
        <v/>
      </c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  <c r="AJ885" s="37"/>
      <c r="AK885" s="37"/>
      <c r="AM885" s="38"/>
      <c r="AN885" s="38"/>
      <c r="AO885" s="38"/>
      <c r="AP885" s="38"/>
      <c r="AQ885" s="38"/>
      <c r="AR885" s="38"/>
      <c r="AS885" s="38"/>
      <c r="AT885" s="38"/>
      <c r="AU885" s="38"/>
      <c r="AV885" s="38"/>
      <c r="AW885" s="38"/>
      <c r="AX885" s="38"/>
      <c r="AY885" s="38"/>
      <c r="AZ885" s="38"/>
      <c r="BA885" s="38"/>
      <c r="BB885" s="38"/>
      <c r="BC885" s="38"/>
      <c r="BD885" s="38"/>
      <c r="BE885" s="38"/>
      <c r="BF885" s="38"/>
    </row>
    <row r="886" spans="1:58" ht="22.5" hidden="1" customHeight="1">
      <c r="A886" s="33" t="str">
        <f>IF(OR(ISBLANK(E886),ISBLANK(C886)),"",IF(COUNTIF($E$8:E886,E886)&gt;1,"",(MAX($A$7:A885)+1)))</f>
        <v/>
      </c>
      <c r="B886" s="34" t="str">
        <f>IF(ISBLANK(C886),"",SUBTOTAL(3,$C$8:C886))</f>
        <v/>
      </c>
      <c r="C886" s="85"/>
      <c r="D886" s="50"/>
      <c r="E886" s="50"/>
      <c r="F886" s="35" t="str">
        <f t="shared" si="56"/>
        <v/>
      </c>
      <c r="G886" s="36" t="str">
        <f t="shared" si="57"/>
        <v/>
      </c>
      <c r="H886" s="51" t="str">
        <f t="shared" si="59"/>
        <v/>
      </c>
      <c r="I886" s="51" t="str">
        <f t="shared" si="59"/>
        <v/>
      </c>
      <c r="J886" s="51" t="str">
        <f t="shared" si="59"/>
        <v/>
      </c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  <c r="AJ886" s="37"/>
      <c r="AK886" s="37"/>
      <c r="AM886" s="38"/>
      <c r="AN886" s="38"/>
      <c r="AO886" s="38"/>
      <c r="AP886" s="38"/>
      <c r="AQ886" s="38"/>
      <c r="AR886" s="38"/>
      <c r="AS886" s="38"/>
      <c r="AT886" s="38"/>
      <c r="AU886" s="38"/>
      <c r="AV886" s="38"/>
      <c r="AW886" s="38"/>
      <c r="AX886" s="38"/>
      <c r="AY886" s="38"/>
      <c r="AZ886" s="38"/>
      <c r="BA886" s="38"/>
      <c r="BB886" s="38"/>
      <c r="BC886" s="38"/>
      <c r="BD886" s="38"/>
      <c r="BE886" s="38"/>
      <c r="BF886" s="38"/>
    </row>
    <row r="887" spans="1:58" ht="22.5" hidden="1" customHeight="1">
      <c r="A887" s="33" t="str">
        <f>IF(OR(ISBLANK(E887),ISBLANK(C887)),"",IF(COUNTIF($E$8:E887,E887)&gt;1,"",(MAX($A$7:A886)+1)))</f>
        <v/>
      </c>
      <c r="B887" s="34" t="str">
        <f>IF(ISBLANK(C887),"",SUBTOTAL(3,$C$8:C887))</f>
        <v/>
      </c>
      <c r="C887" s="85"/>
      <c r="D887" s="50"/>
      <c r="E887" s="50"/>
      <c r="F887" s="35" t="str">
        <f t="shared" si="56"/>
        <v/>
      </c>
      <c r="G887" s="36" t="str">
        <f t="shared" si="57"/>
        <v/>
      </c>
      <c r="H887" s="51" t="str">
        <f t="shared" si="59"/>
        <v/>
      </c>
      <c r="I887" s="51" t="str">
        <f t="shared" si="59"/>
        <v/>
      </c>
      <c r="J887" s="51" t="str">
        <f t="shared" si="59"/>
        <v/>
      </c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  <c r="AJ887" s="37"/>
      <c r="AK887" s="37"/>
      <c r="AM887" s="38"/>
      <c r="AN887" s="38"/>
      <c r="AO887" s="38"/>
      <c r="AP887" s="38"/>
      <c r="AQ887" s="38"/>
      <c r="AR887" s="38"/>
      <c r="AS887" s="38"/>
      <c r="AT887" s="38"/>
      <c r="AU887" s="38"/>
      <c r="AV887" s="38"/>
      <c r="AW887" s="38"/>
      <c r="AX887" s="38"/>
      <c r="AY887" s="38"/>
      <c r="AZ887" s="38"/>
      <c r="BA887" s="38"/>
      <c r="BB887" s="38"/>
      <c r="BC887" s="38"/>
      <c r="BD887" s="38"/>
      <c r="BE887" s="38"/>
      <c r="BF887" s="38"/>
    </row>
    <row r="888" spans="1:58" ht="22.5" hidden="1" customHeight="1">
      <c r="A888" s="33" t="str">
        <f>IF(OR(ISBLANK(E888),ISBLANK(C888)),"",IF(COUNTIF($E$8:E888,E888)&gt;1,"",(MAX($A$7:A887)+1)))</f>
        <v/>
      </c>
      <c r="B888" s="34" t="str">
        <f>IF(ISBLANK(C888),"",SUBTOTAL(3,$C$8:C888))</f>
        <v/>
      </c>
      <c r="C888" s="78"/>
      <c r="D888" s="50"/>
      <c r="E888" s="50"/>
      <c r="F888" s="35" t="str">
        <f t="shared" si="56"/>
        <v/>
      </c>
      <c r="G888" s="36" t="str">
        <f t="shared" si="57"/>
        <v/>
      </c>
      <c r="H888" s="51" t="str">
        <f t="shared" si="59"/>
        <v/>
      </c>
      <c r="I888" s="51" t="str">
        <f t="shared" si="59"/>
        <v/>
      </c>
      <c r="J888" s="51" t="str">
        <f t="shared" si="59"/>
        <v/>
      </c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  <c r="AJ888" s="37"/>
      <c r="AK888" s="37"/>
      <c r="AM888" s="38"/>
      <c r="AN888" s="38"/>
      <c r="AO888" s="38"/>
      <c r="AP888" s="38"/>
      <c r="AQ888" s="38"/>
      <c r="AR888" s="38"/>
      <c r="AS888" s="38"/>
      <c r="AT888" s="38"/>
      <c r="AU888" s="38"/>
      <c r="AV888" s="38"/>
      <c r="AW888" s="38"/>
      <c r="AX888" s="38"/>
      <c r="AY888" s="38"/>
      <c r="AZ888" s="38"/>
      <c r="BA888" s="38"/>
      <c r="BB888" s="38"/>
      <c r="BC888" s="38"/>
      <c r="BD888" s="38"/>
      <c r="BE888" s="38"/>
      <c r="BF888" s="38"/>
    </row>
    <row r="889" spans="1:58" ht="22.5" hidden="1" customHeight="1">
      <c r="A889" s="33" t="str">
        <f>IF(OR(ISBLANK(E889),ISBLANK(C889)),"",IF(COUNTIF($E$8:E889,E889)&gt;1,"",(MAX($A$7:A888)+1)))</f>
        <v/>
      </c>
      <c r="B889" s="34" t="str">
        <f>IF(ISBLANK(C889),"",SUBTOTAL(3,$C$8:C889))</f>
        <v/>
      </c>
      <c r="C889" s="85"/>
      <c r="D889" s="50"/>
      <c r="E889" s="50"/>
      <c r="F889" s="35" t="str">
        <f t="shared" si="56"/>
        <v/>
      </c>
      <c r="G889" s="36" t="str">
        <f t="shared" si="57"/>
        <v/>
      </c>
      <c r="H889" s="51" t="str">
        <f t="shared" si="59"/>
        <v/>
      </c>
      <c r="I889" s="51" t="str">
        <f t="shared" si="59"/>
        <v/>
      </c>
      <c r="J889" s="51" t="str">
        <f t="shared" si="59"/>
        <v/>
      </c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  <c r="AI889" s="37"/>
      <c r="AJ889" s="37"/>
      <c r="AK889" s="37"/>
      <c r="AM889" s="38"/>
      <c r="AN889" s="38"/>
      <c r="AO889" s="38"/>
      <c r="AP889" s="38"/>
      <c r="AQ889" s="38"/>
      <c r="AR889" s="38"/>
      <c r="AS889" s="38"/>
      <c r="AT889" s="38"/>
      <c r="AU889" s="38"/>
      <c r="AV889" s="38"/>
      <c r="AW889" s="38"/>
      <c r="AX889" s="38"/>
      <c r="AY889" s="38"/>
      <c r="AZ889" s="38"/>
      <c r="BA889" s="38"/>
      <c r="BB889" s="38"/>
      <c r="BC889" s="38"/>
      <c r="BD889" s="38"/>
      <c r="BE889" s="38"/>
      <c r="BF889" s="38"/>
    </row>
    <row r="890" spans="1:58" ht="22.5" hidden="1" customHeight="1">
      <c r="A890" s="33" t="str">
        <f>IF(OR(ISBLANK(E890),ISBLANK(C890)),"",IF(COUNTIF($E$8:E890,E890)&gt;1,"",(MAX($A$7:A889)+1)))</f>
        <v/>
      </c>
      <c r="B890" s="34" t="str">
        <f>IF(ISBLANK(C890),"",SUBTOTAL(3,$C$8:C890))</f>
        <v/>
      </c>
      <c r="C890" s="81"/>
      <c r="D890" s="50"/>
      <c r="E890" s="50"/>
      <c r="F890" s="35" t="str">
        <f t="shared" si="56"/>
        <v/>
      </c>
      <c r="G890" s="36" t="str">
        <f t="shared" si="57"/>
        <v/>
      </c>
      <c r="H890" s="51" t="str">
        <f t="shared" si="59"/>
        <v/>
      </c>
      <c r="I890" s="51" t="str">
        <f t="shared" si="59"/>
        <v/>
      </c>
      <c r="J890" s="51" t="str">
        <f t="shared" si="59"/>
        <v/>
      </c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  <c r="AI890" s="37"/>
      <c r="AJ890" s="37"/>
      <c r="AK890" s="37"/>
      <c r="AM890" s="38"/>
      <c r="AN890" s="38"/>
      <c r="AO890" s="38"/>
      <c r="AP890" s="38"/>
      <c r="AQ890" s="38"/>
      <c r="AR890" s="38"/>
      <c r="AS890" s="38"/>
      <c r="AT890" s="38"/>
      <c r="AU890" s="38"/>
      <c r="AV890" s="38"/>
      <c r="AW890" s="38"/>
      <c r="AX890" s="38"/>
      <c r="AY890" s="38"/>
      <c r="AZ890" s="38"/>
      <c r="BA890" s="38"/>
      <c r="BB890" s="38"/>
      <c r="BC890" s="38"/>
      <c r="BD890" s="38"/>
      <c r="BE890" s="38"/>
      <c r="BF890" s="38"/>
    </row>
    <row r="891" spans="1:58" ht="22.5" hidden="1" customHeight="1">
      <c r="A891" s="33" t="str">
        <f>IF(OR(ISBLANK(E891),ISBLANK(C891)),"",IF(COUNTIF($E$8:E891,E891)&gt;1,"",(MAX($A$7:A890)+1)))</f>
        <v/>
      </c>
      <c r="B891" s="34" t="str">
        <f>IF(ISBLANK(C891),"",SUBTOTAL(3,$C$8:C891))</f>
        <v/>
      </c>
      <c r="C891" s="81"/>
      <c r="D891" s="50"/>
      <c r="E891" s="50"/>
      <c r="F891" s="35" t="str">
        <f t="shared" si="56"/>
        <v/>
      </c>
      <c r="G891" s="36" t="str">
        <f t="shared" si="57"/>
        <v/>
      </c>
      <c r="H891" s="51" t="str">
        <f t="shared" si="59"/>
        <v/>
      </c>
      <c r="I891" s="51" t="str">
        <f t="shared" si="59"/>
        <v/>
      </c>
      <c r="J891" s="51" t="str">
        <f t="shared" si="59"/>
        <v/>
      </c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  <c r="AI891" s="37"/>
      <c r="AJ891" s="37"/>
      <c r="AK891" s="37"/>
      <c r="AM891" s="38"/>
      <c r="AN891" s="38"/>
      <c r="AO891" s="38"/>
      <c r="AP891" s="38"/>
      <c r="AQ891" s="38"/>
      <c r="AR891" s="38"/>
      <c r="AS891" s="38"/>
      <c r="AT891" s="38"/>
      <c r="AU891" s="38"/>
      <c r="AV891" s="38"/>
      <c r="AW891" s="38"/>
      <c r="AX891" s="38"/>
      <c r="AY891" s="38"/>
      <c r="AZ891" s="38"/>
      <c r="BA891" s="38"/>
      <c r="BB891" s="38"/>
      <c r="BC891" s="38"/>
      <c r="BD891" s="38"/>
      <c r="BE891" s="38"/>
      <c r="BF891" s="38"/>
    </row>
    <row r="892" spans="1:58" ht="22.5" hidden="1" customHeight="1">
      <c r="A892" s="33" t="str">
        <f>IF(OR(ISBLANK(E892),ISBLANK(C892)),"",IF(COUNTIF($E$8:E892,E892)&gt;1,"",(MAX($A$7:A891)+1)))</f>
        <v/>
      </c>
      <c r="B892" s="34" t="str">
        <f>IF(ISBLANK(C892),"",SUBTOTAL(3,$C$8:C892))</f>
        <v/>
      </c>
      <c r="C892" s="81"/>
      <c r="D892" s="50"/>
      <c r="E892" s="50"/>
      <c r="F892" s="35" t="str">
        <f t="shared" si="56"/>
        <v/>
      </c>
      <c r="G892" s="36" t="str">
        <f t="shared" si="57"/>
        <v/>
      </c>
      <c r="H892" s="51" t="str">
        <f t="shared" si="59"/>
        <v/>
      </c>
      <c r="I892" s="51" t="str">
        <f t="shared" si="59"/>
        <v/>
      </c>
      <c r="J892" s="51" t="str">
        <f t="shared" si="59"/>
        <v/>
      </c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  <c r="AI892" s="37"/>
      <c r="AJ892" s="37"/>
      <c r="AK892" s="37"/>
      <c r="AM892" s="38"/>
      <c r="AN892" s="38"/>
      <c r="AO892" s="38"/>
      <c r="AP892" s="38"/>
      <c r="AQ892" s="38"/>
      <c r="AR892" s="38"/>
      <c r="AS892" s="38"/>
      <c r="AT892" s="38"/>
      <c r="AU892" s="38"/>
      <c r="AV892" s="38"/>
      <c r="AW892" s="38"/>
      <c r="AX892" s="38"/>
      <c r="AY892" s="38"/>
      <c r="AZ892" s="38"/>
      <c r="BA892" s="38"/>
      <c r="BB892" s="38"/>
      <c r="BC892" s="38"/>
      <c r="BD892" s="38"/>
      <c r="BE892" s="38"/>
      <c r="BF892" s="38"/>
    </row>
    <row r="893" spans="1:58" ht="22.5" hidden="1" customHeight="1">
      <c r="A893" s="33" t="str">
        <f>IF(OR(ISBLANK(E893),ISBLANK(C893)),"",IF(COUNTIF($E$8:E893,E893)&gt;1,"",(MAX($A$7:A892)+1)))</f>
        <v/>
      </c>
      <c r="B893" s="34" t="str">
        <f>IF(ISBLANK(C893),"",SUBTOTAL(3,$C$8:C893))</f>
        <v/>
      </c>
      <c r="C893" s="81"/>
      <c r="D893" s="50"/>
      <c r="E893" s="50"/>
      <c r="F893" s="35" t="str">
        <f t="shared" si="56"/>
        <v/>
      </c>
      <c r="G893" s="36" t="str">
        <f t="shared" si="57"/>
        <v/>
      </c>
      <c r="H893" s="51" t="str">
        <f t="shared" si="59"/>
        <v/>
      </c>
      <c r="I893" s="51" t="str">
        <f t="shared" si="59"/>
        <v/>
      </c>
      <c r="J893" s="51" t="str">
        <f t="shared" si="59"/>
        <v/>
      </c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  <c r="AI893" s="37"/>
      <c r="AJ893" s="37"/>
      <c r="AK893" s="37"/>
      <c r="AM893" s="38"/>
      <c r="AN893" s="38"/>
      <c r="AO893" s="38"/>
      <c r="AP893" s="38"/>
      <c r="AQ893" s="38"/>
      <c r="AR893" s="38"/>
      <c r="AS893" s="38"/>
      <c r="AT893" s="38"/>
      <c r="AU893" s="38"/>
      <c r="AV893" s="38"/>
      <c r="AW893" s="38"/>
      <c r="AX893" s="38"/>
      <c r="AY893" s="38"/>
      <c r="AZ893" s="38"/>
      <c r="BA893" s="38"/>
      <c r="BB893" s="38"/>
      <c r="BC893" s="38"/>
      <c r="BD893" s="38"/>
      <c r="BE893" s="38"/>
      <c r="BF893" s="38"/>
    </row>
    <row r="894" spans="1:58" ht="22.5" hidden="1" customHeight="1">
      <c r="A894" s="33" t="str">
        <f>IF(OR(ISBLANK(E894),ISBLANK(C894)),"",IF(COUNTIF($E$8:E894,E894)&gt;1,"",(MAX($A$7:A893)+1)))</f>
        <v/>
      </c>
      <c r="B894" s="34" t="str">
        <f>IF(ISBLANK(C894),"",SUBTOTAL(3,$C$8:C894))</f>
        <v/>
      </c>
      <c r="C894" s="81"/>
      <c r="D894" s="50"/>
      <c r="E894" s="50"/>
      <c r="F894" s="35" t="str">
        <f t="shared" si="56"/>
        <v/>
      </c>
      <c r="G894" s="36" t="str">
        <f t="shared" si="57"/>
        <v/>
      </c>
      <c r="H894" s="51" t="str">
        <f t="shared" si="59"/>
        <v/>
      </c>
      <c r="I894" s="51" t="str">
        <f t="shared" si="59"/>
        <v/>
      </c>
      <c r="J894" s="51" t="str">
        <f t="shared" si="59"/>
        <v/>
      </c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  <c r="AI894" s="37"/>
      <c r="AJ894" s="37"/>
      <c r="AK894" s="37"/>
      <c r="AM894" s="38"/>
      <c r="AN894" s="38"/>
      <c r="AO894" s="38"/>
      <c r="AP894" s="38"/>
      <c r="AQ894" s="38"/>
      <c r="AR894" s="38"/>
      <c r="AS894" s="38"/>
      <c r="AT894" s="38"/>
      <c r="AU894" s="38"/>
      <c r="AV894" s="38"/>
      <c r="AW894" s="38"/>
      <c r="AX894" s="38"/>
      <c r="AY894" s="38"/>
      <c r="AZ894" s="38"/>
      <c r="BA894" s="38"/>
      <c r="BB894" s="38"/>
      <c r="BC894" s="38"/>
      <c r="BD894" s="38"/>
      <c r="BE894" s="38"/>
      <c r="BF894" s="38"/>
    </row>
    <row r="895" spans="1:58" ht="22.5" hidden="1" customHeight="1">
      <c r="A895" s="33" t="str">
        <f>IF(OR(ISBLANK(E895),ISBLANK(C895)),"",IF(COUNTIF($E$8:E895,E895)&gt;1,"",(MAX($A$7:A894)+1)))</f>
        <v/>
      </c>
      <c r="B895" s="34" t="str">
        <f>IF(ISBLANK(C895),"",SUBTOTAL(3,$C$8:C895))</f>
        <v/>
      </c>
      <c r="C895" s="85"/>
      <c r="D895" s="50"/>
      <c r="E895" s="50"/>
      <c r="F895" s="35" t="str">
        <f t="shared" si="56"/>
        <v/>
      </c>
      <c r="G895" s="36" t="str">
        <f t="shared" si="57"/>
        <v/>
      </c>
      <c r="H895" s="51" t="str">
        <f t="shared" si="59"/>
        <v/>
      </c>
      <c r="I895" s="51" t="str">
        <f t="shared" si="59"/>
        <v/>
      </c>
      <c r="J895" s="51" t="str">
        <f t="shared" si="59"/>
        <v/>
      </c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  <c r="AH895" s="37"/>
      <c r="AI895" s="37"/>
      <c r="AJ895" s="37"/>
      <c r="AK895" s="37"/>
      <c r="AM895" s="38"/>
      <c r="AN895" s="38"/>
      <c r="AO895" s="38"/>
      <c r="AP895" s="38"/>
      <c r="AQ895" s="38"/>
      <c r="AR895" s="38"/>
      <c r="AS895" s="38"/>
      <c r="AT895" s="38"/>
      <c r="AU895" s="38"/>
      <c r="AV895" s="38"/>
      <c r="AW895" s="38"/>
      <c r="AX895" s="38"/>
      <c r="AY895" s="38"/>
      <c r="AZ895" s="38"/>
      <c r="BA895" s="38"/>
      <c r="BB895" s="38"/>
      <c r="BC895" s="38"/>
      <c r="BD895" s="38"/>
      <c r="BE895" s="38"/>
      <c r="BF895" s="38"/>
    </row>
    <row r="896" spans="1:58" ht="22.5" hidden="1" customHeight="1">
      <c r="A896" s="33" t="str">
        <f>IF(OR(ISBLANK(E896),ISBLANK(C896)),"",IF(COUNTIF($E$8:E896,E896)&gt;1,"",(MAX($A$7:A895)+1)))</f>
        <v/>
      </c>
      <c r="B896" s="34" t="str">
        <f>IF(ISBLANK(C896),"",SUBTOTAL(3,$C$8:C896))</f>
        <v/>
      </c>
      <c r="C896" s="85"/>
      <c r="D896" s="50"/>
      <c r="E896" s="50"/>
      <c r="F896" s="35" t="str">
        <f t="shared" si="56"/>
        <v/>
      </c>
      <c r="G896" s="36" t="str">
        <f t="shared" si="57"/>
        <v/>
      </c>
      <c r="H896" s="51" t="str">
        <f t="shared" si="59"/>
        <v/>
      </c>
      <c r="I896" s="51" t="str">
        <f t="shared" si="59"/>
        <v/>
      </c>
      <c r="J896" s="51" t="str">
        <f t="shared" si="59"/>
        <v/>
      </c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  <c r="AI896" s="37"/>
      <c r="AJ896" s="37"/>
      <c r="AK896" s="37"/>
      <c r="AM896" s="38"/>
      <c r="AN896" s="38"/>
      <c r="AO896" s="38"/>
      <c r="AP896" s="38"/>
      <c r="AQ896" s="38"/>
      <c r="AR896" s="38"/>
      <c r="AS896" s="38"/>
      <c r="AT896" s="38"/>
      <c r="AU896" s="38"/>
      <c r="AV896" s="38"/>
      <c r="AW896" s="38"/>
      <c r="AX896" s="38"/>
      <c r="AY896" s="38"/>
      <c r="AZ896" s="38"/>
      <c r="BA896" s="38"/>
      <c r="BB896" s="38"/>
      <c r="BC896" s="38"/>
      <c r="BD896" s="38"/>
      <c r="BE896" s="38"/>
      <c r="BF896" s="38"/>
    </row>
    <row r="897" spans="1:58" ht="22.5" hidden="1" customHeight="1">
      <c r="A897" s="33" t="str">
        <f>IF(OR(ISBLANK(E897),ISBLANK(C897)),"",IF(COUNTIF($E$8:E897,E897)&gt;1,"",(MAX($A$7:A896)+1)))</f>
        <v/>
      </c>
      <c r="B897" s="34" t="str">
        <f>IF(ISBLANK(C897),"",SUBTOTAL(3,$C$8:C897))</f>
        <v/>
      </c>
      <c r="C897" s="85"/>
      <c r="D897" s="50"/>
      <c r="E897" s="50"/>
      <c r="F897" s="35" t="str">
        <f t="shared" si="56"/>
        <v/>
      </c>
      <c r="G897" s="36" t="str">
        <f t="shared" si="57"/>
        <v/>
      </c>
      <c r="H897" s="51" t="str">
        <f t="shared" si="59"/>
        <v/>
      </c>
      <c r="I897" s="51" t="str">
        <f t="shared" si="59"/>
        <v/>
      </c>
      <c r="J897" s="51" t="str">
        <f t="shared" si="59"/>
        <v/>
      </c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  <c r="AH897" s="37"/>
      <c r="AI897" s="37"/>
      <c r="AJ897" s="37"/>
      <c r="AK897" s="37"/>
      <c r="AM897" s="38"/>
      <c r="AN897" s="38"/>
      <c r="AO897" s="38"/>
      <c r="AP897" s="38"/>
      <c r="AQ897" s="38"/>
      <c r="AR897" s="38"/>
      <c r="AS897" s="38"/>
      <c r="AT897" s="38"/>
      <c r="AU897" s="38"/>
      <c r="AV897" s="38"/>
      <c r="AW897" s="38"/>
      <c r="AX897" s="38"/>
      <c r="AY897" s="38"/>
      <c r="AZ897" s="38"/>
      <c r="BA897" s="38"/>
      <c r="BB897" s="38"/>
      <c r="BC897" s="38"/>
      <c r="BD897" s="38"/>
      <c r="BE897" s="38"/>
      <c r="BF897" s="38"/>
    </row>
    <row r="898" spans="1:58" ht="22.5" hidden="1" customHeight="1">
      <c r="A898" s="33" t="str">
        <f>IF(OR(ISBLANK(E898),ISBLANK(C898)),"",IF(COUNTIF($E$8:E898,E898)&gt;1,"",(MAX($A$7:A897)+1)))</f>
        <v/>
      </c>
      <c r="B898" s="34" t="str">
        <f>IF(ISBLANK(C898),"",SUBTOTAL(3,$C$8:C898))</f>
        <v/>
      </c>
      <c r="C898" s="85"/>
      <c r="D898" s="50"/>
      <c r="E898" s="50"/>
      <c r="F898" s="35" t="str">
        <f t="shared" si="56"/>
        <v/>
      </c>
      <c r="G898" s="36" t="str">
        <f t="shared" si="57"/>
        <v/>
      </c>
      <c r="H898" s="51" t="str">
        <f t="shared" si="59"/>
        <v/>
      </c>
      <c r="I898" s="51" t="str">
        <f t="shared" si="59"/>
        <v/>
      </c>
      <c r="J898" s="51" t="str">
        <f t="shared" si="59"/>
        <v/>
      </c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M898" s="38"/>
      <c r="AN898" s="38"/>
      <c r="AO898" s="38"/>
      <c r="AP898" s="38"/>
      <c r="AQ898" s="38"/>
      <c r="AR898" s="38"/>
      <c r="AS898" s="38"/>
      <c r="AT898" s="38"/>
      <c r="AU898" s="38"/>
      <c r="AV898" s="38"/>
      <c r="AW898" s="38"/>
      <c r="AX898" s="38"/>
      <c r="AY898" s="38"/>
      <c r="AZ898" s="38"/>
      <c r="BA898" s="38"/>
      <c r="BB898" s="38"/>
      <c r="BC898" s="38"/>
      <c r="BD898" s="38"/>
      <c r="BE898" s="38"/>
      <c r="BF898" s="38"/>
    </row>
    <row r="899" spans="1:58" ht="22.5" hidden="1" customHeight="1">
      <c r="A899" s="33" t="str">
        <f>IF(OR(ISBLANK(E899),ISBLANK(C899)),"",IF(COUNTIF($E$8:E899,E899)&gt;1,"",(MAX($A$7:A898)+1)))</f>
        <v/>
      </c>
      <c r="B899" s="34" t="str">
        <f>IF(ISBLANK(C899),"",SUBTOTAL(3,$C$8:C899))</f>
        <v/>
      </c>
      <c r="C899" s="85"/>
      <c r="D899" s="50"/>
      <c r="E899" s="50"/>
      <c r="F899" s="35" t="str">
        <f t="shared" si="56"/>
        <v/>
      </c>
      <c r="G899" s="36" t="str">
        <f t="shared" si="57"/>
        <v/>
      </c>
      <c r="H899" s="51" t="str">
        <f t="shared" si="59"/>
        <v/>
      </c>
      <c r="I899" s="51" t="str">
        <f t="shared" si="59"/>
        <v/>
      </c>
      <c r="J899" s="51" t="str">
        <f t="shared" si="59"/>
        <v/>
      </c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  <c r="AH899" s="37"/>
      <c r="AI899" s="37"/>
      <c r="AJ899" s="37"/>
      <c r="AK899" s="37"/>
      <c r="AM899" s="38"/>
      <c r="AN899" s="38"/>
      <c r="AO899" s="38"/>
      <c r="AP899" s="38"/>
      <c r="AQ899" s="38"/>
      <c r="AR899" s="38"/>
      <c r="AS899" s="38"/>
      <c r="AT899" s="38"/>
      <c r="AU899" s="38"/>
      <c r="AV899" s="38"/>
      <c r="AW899" s="38"/>
      <c r="AX899" s="38"/>
      <c r="AY899" s="38"/>
      <c r="AZ899" s="38"/>
      <c r="BA899" s="38"/>
      <c r="BB899" s="38"/>
      <c r="BC899" s="38"/>
      <c r="BD899" s="38"/>
      <c r="BE899" s="38"/>
      <c r="BF899" s="38"/>
    </row>
    <row r="900" spans="1:58" ht="22.5" hidden="1" customHeight="1">
      <c r="A900" s="33" t="str">
        <f>IF(OR(ISBLANK(E900),ISBLANK(C900)),"",IF(COUNTIF($E$8:E900,E900)&gt;1,"",(MAX($A$7:A899)+1)))</f>
        <v/>
      </c>
      <c r="B900" s="34" t="str">
        <f>IF(ISBLANK(C900),"",SUBTOTAL(3,$C$8:C900))</f>
        <v/>
      </c>
      <c r="C900" s="85"/>
      <c r="D900" s="50"/>
      <c r="E900" s="50"/>
      <c r="F900" s="35" t="str">
        <f t="shared" si="56"/>
        <v/>
      </c>
      <c r="G900" s="36" t="str">
        <f t="shared" si="57"/>
        <v/>
      </c>
      <c r="H900" s="51" t="str">
        <f t="shared" si="59"/>
        <v/>
      </c>
      <c r="I900" s="51" t="str">
        <f t="shared" si="59"/>
        <v/>
      </c>
      <c r="J900" s="51" t="str">
        <f t="shared" si="59"/>
        <v/>
      </c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7"/>
      <c r="AK900" s="37"/>
      <c r="AM900" s="38"/>
      <c r="AN900" s="38"/>
      <c r="AO900" s="38"/>
      <c r="AP900" s="38"/>
      <c r="AQ900" s="38"/>
      <c r="AR900" s="38"/>
      <c r="AS900" s="38"/>
      <c r="AT900" s="38"/>
      <c r="AU900" s="38"/>
      <c r="AV900" s="38"/>
      <c r="AW900" s="38"/>
      <c r="AX900" s="38"/>
      <c r="AY900" s="38"/>
      <c r="AZ900" s="38"/>
      <c r="BA900" s="38"/>
      <c r="BB900" s="38"/>
      <c r="BC900" s="38"/>
      <c r="BD900" s="38"/>
      <c r="BE900" s="38"/>
      <c r="BF900" s="38"/>
    </row>
    <row r="901" spans="1:58" ht="22.5" hidden="1" customHeight="1">
      <c r="A901" s="33" t="str">
        <f>IF(OR(ISBLANK(E901),ISBLANK(C901)),"",IF(COUNTIF($E$8:E901,E901)&gt;1,"",(MAX($A$7:A900)+1)))</f>
        <v/>
      </c>
      <c r="B901" s="34" t="str">
        <f>IF(ISBLANK(C901),"",SUBTOTAL(3,$C$8:C901))</f>
        <v/>
      </c>
      <c r="C901" s="81"/>
      <c r="D901" s="50"/>
      <c r="E901" s="50"/>
      <c r="F901" s="35" t="str">
        <f t="shared" si="56"/>
        <v/>
      </c>
      <c r="G901" s="36" t="str">
        <f t="shared" si="57"/>
        <v/>
      </c>
      <c r="H901" s="51" t="str">
        <f t="shared" si="59"/>
        <v/>
      </c>
      <c r="I901" s="51" t="str">
        <f t="shared" si="59"/>
        <v/>
      </c>
      <c r="J901" s="51" t="str">
        <f t="shared" si="59"/>
        <v/>
      </c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  <c r="AK901" s="37"/>
      <c r="AM901" s="38"/>
      <c r="AN901" s="38"/>
      <c r="AO901" s="38"/>
      <c r="AP901" s="38"/>
      <c r="AQ901" s="38"/>
      <c r="AR901" s="38"/>
      <c r="AS901" s="38"/>
      <c r="AT901" s="38"/>
      <c r="AU901" s="38"/>
      <c r="AV901" s="38"/>
      <c r="AW901" s="38"/>
      <c r="AX901" s="38"/>
      <c r="AY901" s="38"/>
      <c r="AZ901" s="38"/>
      <c r="BA901" s="38"/>
      <c r="BB901" s="38"/>
      <c r="BC901" s="38"/>
      <c r="BD901" s="38"/>
      <c r="BE901" s="38"/>
      <c r="BF901" s="38"/>
    </row>
    <row r="902" spans="1:58" ht="22.5" hidden="1" customHeight="1">
      <c r="A902" s="33" t="str">
        <f>IF(OR(ISBLANK(E902),ISBLANK(C902)),"",IF(COUNTIF($E$8:E902,E902)&gt;1,"",(MAX($A$7:A901)+1)))</f>
        <v/>
      </c>
      <c r="B902" s="34" t="str">
        <f>IF(ISBLANK(C902),"",SUBTOTAL(3,$C$8:C902))</f>
        <v/>
      </c>
      <c r="C902" s="81"/>
      <c r="D902" s="50"/>
      <c r="E902" s="50"/>
      <c r="F902" s="35" t="str">
        <f t="shared" si="56"/>
        <v/>
      </c>
      <c r="G902" s="36" t="str">
        <f t="shared" si="57"/>
        <v/>
      </c>
      <c r="H902" s="51" t="str">
        <f t="shared" si="59"/>
        <v/>
      </c>
      <c r="I902" s="51" t="str">
        <f t="shared" si="59"/>
        <v/>
      </c>
      <c r="J902" s="51" t="str">
        <f t="shared" si="59"/>
        <v/>
      </c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  <c r="AH902" s="37"/>
      <c r="AI902" s="37"/>
      <c r="AJ902" s="37"/>
      <c r="AK902" s="37"/>
      <c r="AM902" s="38"/>
      <c r="AN902" s="38"/>
      <c r="AO902" s="38"/>
      <c r="AP902" s="38"/>
      <c r="AQ902" s="38"/>
      <c r="AR902" s="38"/>
      <c r="AS902" s="38"/>
      <c r="AT902" s="38"/>
      <c r="AU902" s="38"/>
      <c r="AV902" s="38"/>
      <c r="AW902" s="38"/>
      <c r="AX902" s="38"/>
      <c r="AY902" s="38"/>
      <c r="AZ902" s="38"/>
      <c r="BA902" s="38"/>
      <c r="BB902" s="38"/>
      <c r="BC902" s="38"/>
      <c r="BD902" s="38"/>
      <c r="BE902" s="38"/>
      <c r="BF902" s="38"/>
    </row>
    <row r="903" spans="1:58" ht="22.5" hidden="1" customHeight="1">
      <c r="A903" s="33" t="str">
        <f>IF(OR(ISBLANK(E903),ISBLANK(C903)),"",IF(COUNTIF($E$8:E903,E903)&gt;1,"",(MAX($A$7:A902)+1)))</f>
        <v/>
      </c>
      <c r="B903" s="34" t="str">
        <f>IF(ISBLANK(C903),"",SUBTOTAL(3,$C$8:C903))</f>
        <v/>
      </c>
      <c r="C903" s="85"/>
      <c r="D903" s="50"/>
      <c r="E903" s="50"/>
      <c r="F903" s="35" t="str">
        <f t="shared" si="56"/>
        <v/>
      </c>
      <c r="G903" s="36" t="str">
        <f t="shared" si="57"/>
        <v/>
      </c>
      <c r="H903" s="51" t="str">
        <f t="shared" si="59"/>
        <v/>
      </c>
      <c r="I903" s="51" t="str">
        <f t="shared" si="59"/>
        <v/>
      </c>
      <c r="J903" s="51" t="str">
        <f t="shared" si="59"/>
        <v/>
      </c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  <c r="AH903" s="37"/>
      <c r="AI903" s="37"/>
      <c r="AJ903" s="37"/>
      <c r="AK903" s="37"/>
      <c r="AM903" s="38"/>
      <c r="AN903" s="38"/>
      <c r="AO903" s="38"/>
      <c r="AP903" s="38"/>
      <c r="AQ903" s="38"/>
      <c r="AR903" s="38"/>
      <c r="AS903" s="38"/>
      <c r="AT903" s="38"/>
      <c r="AU903" s="38"/>
      <c r="AV903" s="38"/>
      <c r="AW903" s="38"/>
      <c r="AX903" s="38"/>
      <c r="AY903" s="38"/>
      <c r="AZ903" s="38"/>
      <c r="BA903" s="38"/>
      <c r="BB903" s="38"/>
      <c r="BC903" s="38"/>
      <c r="BD903" s="38"/>
      <c r="BE903" s="38"/>
      <c r="BF903" s="38"/>
    </row>
    <row r="904" spans="1:58" ht="22.5" hidden="1" customHeight="1">
      <c r="A904" s="33" t="str">
        <f>IF(OR(ISBLANK(E904),ISBLANK(C904)),"",IF(COUNTIF($E$8:E904,E904)&gt;1,"",(MAX($A$7:A903)+1)))</f>
        <v/>
      </c>
      <c r="B904" s="34" t="str">
        <f>IF(ISBLANK(C904),"",SUBTOTAL(3,$C$8:C904))</f>
        <v/>
      </c>
      <c r="C904" s="85"/>
      <c r="D904" s="50"/>
      <c r="E904" s="50"/>
      <c r="F904" s="35" t="str">
        <f t="shared" ref="F904:F967" si="60">IFERROR(IF(OR(ISBLANK($C904),B904=""),"",INDEX(Luonggio,MATCH($C904,MaNVLuong,0))),"")</f>
        <v/>
      </c>
      <c r="G904" s="36" t="str">
        <f t="shared" si="57"/>
        <v/>
      </c>
      <c r="H904" s="51" t="str">
        <f t="shared" si="59"/>
        <v/>
      </c>
      <c r="I904" s="51" t="str">
        <f t="shared" si="59"/>
        <v/>
      </c>
      <c r="J904" s="51" t="str">
        <f t="shared" si="59"/>
        <v/>
      </c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7"/>
      <c r="AK904" s="37"/>
      <c r="AM904" s="38"/>
      <c r="AN904" s="38"/>
      <c r="AO904" s="38"/>
      <c r="AP904" s="38"/>
      <c r="AQ904" s="38"/>
      <c r="AR904" s="38"/>
      <c r="AS904" s="38"/>
      <c r="AT904" s="38"/>
      <c r="AU904" s="38"/>
      <c r="AV904" s="38"/>
      <c r="AW904" s="38"/>
      <c r="AX904" s="38"/>
      <c r="AY904" s="38"/>
      <c r="AZ904" s="38"/>
      <c r="BA904" s="38"/>
      <c r="BB904" s="38"/>
      <c r="BC904" s="38"/>
      <c r="BD904" s="38"/>
      <c r="BE904" s="38"/>
      <c r="BF904" s="38"/>
    </row>
    <row r="905" spans="1:58" ht="22.5" hidden="1" customHeight="1">
      <c r="A905" s="33" t="str">
        <f>IF(OR(ISBLANK(E905),ISBLANK(C905)),"",IF(COUNTIF($E$8:E905,E905)&gt;1,"",(MAX($A$7:A904)+1)))</f>
        <v/>
      </c>
      <c r="B905" s="34" t="str">
        <f>IF(ISBLANK(C905),"",SUBTOTAL(3,$C$8:C905))</f>
        <v/>
      </c>
      <c r="C905" s="85"/>
      <c r="D905" s="50"/>
      <c r="E905" s="50"/>
      <c r="F905" s="35" t="str">
        <f t="shared" si="60"/>
        <v/>
      </c>
      <c r="G905" s="36" t="str">
        <f t="shared" ref="G905:G968" si="61">IF(COUNTIF(H905:J905,"&gt;0")=0,"",IF(AND(OR(OR(SUM(H905)&gt;=2)),SUM(H905:J905)&gt;=4,OR(OR(SUM(I905)&gt;=1))),"A",IF(OR(OR(SUM(H905)&gt;=3)),"A",IF(AND(SUM(I905)&gt;=2,SUM(H905)=1),"B",IF(AND(SUM(I905)&gt;=1,SUM(H905)=2),"B",IF(H905=2,"B",IF(SUM(I905)&gt;=2,"C",IF(H905=1,"C",IF(AND(H905=1,I905=1),"C",IF(AND(SUM(H905:I905)=0,SUM(J905)&lt;=1),"D","D"))))))))))</f>
        <v/>
      </c>
      <c r="H905" s="51" t="str">
        <f t="shared" si="59"/>
        <v/>
      </c>
      <c r="I905" s="51" t="str">
        <f t="shared" si="59"/>
        <v/>
      </c>
      <c r="J905" s="51" t="str">
        <f t="shared" si="59"/>
        <v/>
      </c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  <c r="AH905" s="37"/>
      <c r="AI905" s="37"/>
      <c r="AJ905" s="37"/>
      <c r="AK905" s="37"/>
      <c r="AM905" s="38"/>
      <c r="AN905" s="38"/>
      <c r="AO905" s="38"/>
      <c r="AP905" s="38"/>
      <c r="AQ905" s="38"/>
      <c r="AR905" s="38"/>
      <c r="AS905" s="38"/>
      <c r="AT905" s="38"/>
      <c r="AU905" s="38"/>
      <c r="AV905" s="38"/>
      <c r="AW905" s="38"/>
      <c r="AX905" s="38"/>
      <c r="AY905" s="38"/>
      <c r="AZ905" s="38"/>
      <c r="BA905" s="38"/>
      <c r="BB905" s="38"/>
      <c r="BC905" s="38"/>
      <c r="BD905" s="38"/>
      <c r="BE905" s="38"/>
      <c r="BF905" s="38"/>
    </row>
    <row r="906" spans="1:58" ht="22.5" hidden="1" customHeight="1">
      <c r="A906" s="33" t="str">
        <f>IF(OR(ISBLANK(E906),ISBLANK(C906)),"",IF(COUNTIF($E$8:E906,E906)&gt;1,"",(MAX($A$7:A905)+1)))</f>
        <v/>
      </c>
      <c r="B906" s="34" t="str">
        <f>IF(ISBLANK(C906),"",SUBTOTAL(3,$C$8:C906))</f>
        <v/>
      </c>
      <c r="C906" s="85"/>
      <c r="D906" s="50"/>
      <c r="E906" s="50"/>
      <c r="F906" s="35" t="str">
        <f t="shared" si="60"/>
        <v/>
      </c>
      <c r="G906" s="36" t="str">
        <f t="shared" si="61"/>
        <v/>
      </c>
      <c r="H906" s="51" t="str">
        <f t="shared" si="59"/>
        <v/>
      </c>
      <c r="I906" s="51" t="str">
        <f t="shared" si="59"/>
        <v/>
      </c>
      <c r="J906" s="51" t="str">
        <f t="shared" si="59"/>
        <v/>
      </c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  <c r="AH906" s="37"/>
      <c r="AI906" s="37"/>
      <c r="AJ906" s="37"/>
      <c r="AK906" s="37"/>
      <c r="AM906" s="38"/>
      <c r="AN906" s="38"/>
      <c r="AO906" s="38"/>
      <c r="AP906" s="38"/>
      <c r="AQ906" s="38"/>
      <c r="AR906" s="38"/>
      <c r="AS906" s="38"/>
      <c r="AT906" s="38"/>
      <c r="AU906" s="38"/>
      <c r="AV906" s="38"/>
      <c r="AW906" s="38"/>
      <c r="AX906" s="38"/>
      <c r="AY906" s="38"/>
      <c r="AZ906" s="38"/>
      <c r="BA906" s="38"/>
      <c r="BB906" s="38"/>
      <c r="BC906" s="38"/>
      <c r="BD906" s="38"/>
      <c r="BE906" s="38"/>
      <c r="BF906" s="38"/>
    </row>
    <row r="907" spans="1:58" ht="22.5" hidden="1" customHeight="1">
      <c r="A907" s="33" t="str">
        <f>IF(OR(ISBLANK(E907),ISBLANK(C907)),"",IF(COUNTIF($E$8:E907,E907)&gt;1,"",(MAX($A$7:A906)+1)))</f>
        <v/>
      </c>
      <c r="B907" s="34" t="str">
        <f>IF(ISBLANK(C907),"",SUBTOTAL(3,$C$8:C907))</f>
        <v/>
      </c>
      <c r="C907" s="85"/>
      <c r="D907" s="50"/>
      <c r="E907" s="50"/>
      <c r="F907" s="35" t="str">
        <f t="shared" si="60"/>
        <v/>
      </c>
      <c r="G907" s="36" t="str">
        <f t="shared" si="61"/>
        <v/>
      </c>
      <c r="H907" s="51" t="str">
        <f t="shared" si="59"/>
        <v/>
      </c>
      <c r="I907" s="51" t="str">
        <f t="shared" si="59"/>
        <v/>
      </c>
      <c r="J907" s="51" t="str">
        <f t="shared" si="59"/>
        <v/>
      </c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37"/>
      <c r="AH907" s="37"/>
      <c r="AI907" s="37"/>
      <c r="AJ907" s="37"/>
      <c r="AK907" s="37"/>
      <c r="AM907" s="38"/>
      <c r="AN907" s="38"/>
      <c r="AO907" s="38"/>
      <c r="AP907" s="38"/>
      <c r="AQ907" s="38"/>
      <c r="AR907" s="38"/>
      <c r="AS907" s="38"/>
      <c r="AT907" s="38"/>
      <c r="AU907" s="38"/>
      <c r="AV907" s="38"/>
      <c r="AW907" s="38"/>
      <c r="AX907" s="38"/>
      <c r="AY907" s="38"/>
      <c r="AZ907" s="38"/>
      <c r="BA907" s="38"/>
      <c r="BB907" s="38"/>
      <c r="BC907" s="38"/>
      <c r="BD907" s="38"/>
      <c r="BE907" s="38"/>
      <c r="BF907" s="38"/>
    </row>
    <row r="908" spans="1:58" ht="22.5" hidden="1" customHeight="1">
      <c r="A908" s="33" t="str">
        <f>IF(OR(ISBLANK(E908),ISBLANK(C908)),"",IF(COUNTIF($E$8:E908,E908)&gt;1,"",(MAX($A$7:A907)+1)))</f>
        <v/>
      </c>
      <c r="B908" s="34" t="str">
        <f>IF(ISBLANK(C908),"",SUBTOTAL(3,$C$8:C908))</f>
        <v/>
      </c>
      <c r="C908" s="85"/>
      <c r="D908" s="50"/>
      <c r="E908" s="50"/>
      <c r="F908" s="35" t="str">
        <f t="shared" si="60"/>
        <v/>
      </c>
      <c r="G908" s="36" t="str">
        <f t="shared" si="61"/>
        <v/>
      </c>
      <c r="H908" s="51" t="str">
        <f t="shared" si="59"/>
        <v/>
      </c>
      <c r="I908" s="51" t="str">
        <f t="shared" si="59"/>
        <v/>
      </c>
      <c r="J908" s="51" t="str">
        <f t="shared" si="59"/>
        <v/>
      </c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37"/>
      <c r="AH908" s="37"/>
      <c r="AI908" s="37"/>
      <c r="AJ908" s="37"/>
      <c r="AK908" s="37"/>
      <c r="AM908" s="38"/>
      <c r="AN908" s="38"/>
      <c r="AO908" s="38"/>
      <c r="AP908" s="38"/>
      <c r="AQ908" s="38"/>
      <c r="AR908" s="38"/>
      <c r="AS908" s="38"/>
      <c r="AT908" s="38"/>
      <c r="AU908" s="38"/>
      <c r="AV908" s="38"/>
      <c r="AW908" s="38"/>
      <c r="AX908" s="38"/>
      <c r="AY908" s="38"/>
      <c r="AZ908" s="38"/>
      <c r="BA908" s="38"/>
      <c r="BB908" s="38"/>
      <c r="BC908" s="38"/>
      <c r="BD908" s="38"/>
      <c r="BE908" s="38"/>
      <c r="BF908" s="38"/>
    </row>
    <row r="909" spans="1:58" ht="22.5" hidden="1" customHeight="1">
      <c r="A909" s="33" t="str">
        <f>IF(OR(ISBLANK(E909),ISBLANK(C909)),"",IF(COUNTIF($E$8:E909,E909)&gt;1,"",(MAX($A$7:A908)+1)))</f>
        <v/>
      </c>
      <c r="B909" s="34" t="str">
        <f>IF(ISBLANK(C909),"",SUBTOTAL(3,$C$8:C909))</f>
        <v/>
      </c>
      <c r="C909" s="85"/>
      <c r="D909" s="50"/>
      <c r="E909" s="50"/>
      <c r="F909" s="35" t="str">
        <f t="shared" si="60"/>
        <v/>
      </c>
      <c r="G909" s="36" t="str">
        <f t="shared" si="61"/>
        <v/>
      </c>
      <c r="H909" s="51" t="str">
        <f t="shared" si="59"/>
        <v/>
      </c>
      <c r="I909" s="51" t="str">
        <f t="shared" si="59"/>
        <v/>
      </c>
      <c r="J909" s="51" t="str">
        <f t="shared" si="59"/>
        <v/>
      </c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37"/>
      <c r="AH909" s="37"/>
      <c r="AI909" s="37"/>
      <c r="AJ909" s="37"/>
      <c r="AK909" s="37"/>
      <c r="AM909" s="38"/>
      <c r="AN909" s="38"/>
      <c r="AO909" s="38"/>
      <c r="AP909" s="38"/>
      <c r="AQ909" s="38"/>
      <c r="AR909" s="38"/>
      <c r="AS909" s="38"/>
      <c r="AT909" s="38"/>
      <c r="AU909" s="38"/>
      <c r="AV909" s="38"/>
      <c r="AW909" s="38"/>
      <c r="AX909" s="38"/>
      <c r="AY909" s="38"/>
      <c r="AZ909" s="38"/>
      <c r="BA909" s="38"/>
      <c r="BB909" s="38"/>
      <c r="BC909" s="38"/>
      <c r="BD909" s="38"/>
      <c r="BE909" s="38"/>
      <c r="BF909" s="38"/>
    </row>
    <row r="910" spans="1:58" ht="22.5" hidden="1" customHeight="1">
      <c r="A910" s="33" t="str">
        <f>IF(OR(ISBLANK(E910),ISBLANK(C910)),"",IF(COUNTIF($E$8:E910,E910)&gt;1,"",(MAX($A$7:A909)+1)))</f>
        <v/>
      </c>
      <c r="B910" s="34" t="str">
        <f>IF(ISBLANK(C910),"",SUBTOTAL(3,$C$8:C910))</f>
        <v/>
      </c>
      <c r="C910" s="85"/>
      <c r="D910" s="50"/>
      <c r="E910" s="50"/>
      <c r="F910" s="35" t="str">
        <f t="shared" si="60"/>
        <v/>
      </c>
      <c r="G910" s="36" t="str">
        <f t="shared" si="61"/>
        <v/>
      </c>
      <c r="H910" s="51" t="str">
        <f t="shared" si="59"/>
        <v/>
      </c>
      <c r="I910" s="51" t="str">
        <f t="shared" si="59"/>
        <v/>
      </c>
      <c r="J910" s="51" t="str">
        <f t="shared" si="59"/>
        <v/>
      </c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  <c r="AH910" s="37"/>
      <c r="AI910" s="37"/>
      <c r="AJ910" s="37"/>
      <c r="AK910" s="37"/>
      <c r="AM910" s="38"/>
      <c r="AN910" s="38"/>
      <c r="AO910" s="38"/>
      <c r="AP910" s="38"/>
      <c r="AQ910" s="38"/>
      <c r="AR910" s="38"/>
      <c r="AS910" s="38"/>
      <c r="AT910" s="38"/>
      <c r="AU910" s="38"/>
      <c r="AV910" s="38"/>
      <c r="AW910" s="38"/>
      <c r="AX910" s="38"/>
      <c r="AY910" s="38"/>
      <c r="AZ910" s="38"/>
      <c r="BA910" s="38"/>
      <c r="BB910" s="38"/>
      <c r="BC910" s="38"/>
      <c r="BD910" s="38"/>
      <c r="BE910" s="38"/>
      <c r="BF910" s="38"/>
    </row>
    <row r="911" spans="1:58" ht="22.5" hidden="1" customHeight="1">
      <c r="A911" s="33" t="str">
        <f>IF(OR(ISBLANK(E911),ISBLANK(C911)),"",IF(COUNTIF($E$8:E911,E911)&gt;1,"",(MAX($A$7:A910)+1)))</f>
        <v/>
      </c>
      <c r="B911" s="34" t="str">
        <f>IF(ISBLANK(C911),"",SUBTOTAL(3,$C$8:C911))</f>
        <v/>
      </c>
      <c r="C911" s="81"/>
      <c r="D911" s="52"/>
      <c r="E911" s="50"/>
      <c r="F911" s="35" t="str">
        <f t="shared" si="60"/>
        <v/>
      </c>
      <c r="G911" s="36" t="str">
        <f t="shared" si="61"/>
        <v/>
      </c>
      <c r="H911" s="51" t="str">
        <f t="shared" si="59"/>
        <v/>
      </c>
      <c r="I911" s="51" t="str">
        <f t="shared" si="59"/>
        <v/>
      </c>
      <c r="J911" s="51" t="str">
        <f t="shared" si="59"/>
        <v/>
      </c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37"/>
      <c r="AH911" s="37"/>
      <c r="AI911" s="37"/>
      <c r="AJ911" s="37"/>
      <c r="AK911" s="37"/>
      <c r="AM911" s="38"/>
      <c r="AN911" s="38"/>
      <c r="AO911" s="38"/>
      <c r="AP911" s="38"/>
      <c r="AQ911" s="38"/>
      <c r="AR911" s="38"/>
      <c r="AS911" s="38"/>
      <c r="AT911" s="38"/>
      <c r="AU911" s="38"/>
      <c r="AV911" s="38"/>
      <c r="AW911" s="38"/>
      <c r="AX911" s="38"/>
      <c r="AY911" s="38"/>
      <c r="AZ911" s="38"/>
      <c r="BA911" s="38"/>
      <c r="BB911" s="38"/>
      <c r="BC911" s="38"/>
      <c r="BD911" s="38"/>
      <c r="BE911" s="38"/>
      <c r="BF911" s="38"/>
    </row>
    <row r="912" spans="1:58" ht="22.5" hidden="1" customHeight="1">
      <c r="A912" s="33" t="str">
        <f>IF(OR(ISBLANK(E912),ISBLANK(C912)),"",IF(COUNTIF($E$8:E912,E912)&gt;1,"",(MAX($A$7:A911)+1)))</f>
        <v/>
      </c>
      <c r="B912" s="34" t="str">
        <f>IF(ISBLANK(C912),"",SUBTOTAL(3,$C$8:C912))</f>
        <v/>
      </c>
      <c r="C912" s="81"/>
      <c r="D912" s="52"/>
      <c r="E912" s="50"/>
      <c r="F912" s="35" t="str">
        <f t="shared" si="60"/>
        <v/>
      </c>
      <c r="G912" s="36" t="str">
        <f t="shared" si="61"/>
        <v/>
      </c>
      <c r="H912" s="51" t="str">
        <f t="shared" si="59"/>
        <v/>
      </c>
      <c r="I912" s="51" t="str">
        <f t="shared" si="59"/>
        <v/>
      </c>
      <c r="J912" s="51" t="str">
        <f t="shared" si="59"/>
        <v/>
      </c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37"/>
      <c r="AH912" s="37"/>
      <c r="AI912" s="37"/>
      <c r="AJ912" s="37"/>
      <c r="AK912" s="37"/>
      <c r="AM912" s="38"/>
      <c r="AN912" s="38"/>
      <c r="AO912" s="38"/>
      <c r="AP912" s="38"/>
      <c r="AQ912" s="38"/>
      <c r="AR912" s="38"/>
      <c r="AS912" s="38"/>
      <c r="AT912" s="38"/>
      <c r="AU912" s="38"/>
      <c r="AV912" s="38"/>
      <c r="AW912" s="38"/>
      <c r="AX912" s="38"/>
      <c r="AY912" s="38"/>
      <c r="AZ912" s="38"/>
      <c r="BA912" s="38"/>
      <c r="BB912" s="38"/>
      <c r="BC912" s="38"/>
      <c r="BD912" s="38"/>
      <c r="BE912" s="38"/>
      <c r="BF912" s="38"/>
    </row>
    <row r="913" spans="1:58" ht="22.5" hidden="1" customHeight="1">
      <c r="A913" s="33" t="str">
        <f>IF(OR(ISBLANK(E913),ISBLANK(C913)),"",IF(COUNTIF($E$8:E913,E913)&gt;1,"",(MAX($A$7:A912)+1)))</f>
        <v/>
      </c>
      <c r="B913" s="34" t="str">
        <f>IF(ISBLANK(C913),"",SUBTOTAL(3,$C$8:C913))</f>
        <v/>
      </c>
      <c r="C913" s="83"/>
      <c r="D913" s="50"/>
      <c r="E913" s="50"/>
      <c r="F913" s="35" t="str">
        <f t="shared" si="60"/>
        <v/>
      </c>
      <c r="G913" s="36" t="str">
        <f t="shared" si="61"/>
        <v/>
      </c>
      <c r="H913" s="51" t="str">
        <f t="shared" si="59"/>
        <v/>
      </c>
      <c r="I913" s="51" t="str">
        <f t="shared" si="59"/>
        <v/>
      </c>
      <c r="J913" s="51" t="str">
        <f t="shared" si="59"/>
        <v/>
      </c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  <c r="AH913" s="37"/>
      <c r="AI913" s="37"/>
      <c r="AJ913" s="37"/>
      <c r="AK913" s="37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  <c r="BA913" s="38"/>
      <c r="BB913" s="38"/>
      <c r="BC913" s="38"/>
      <c r="BD913" s="38"/>
      <c r="BE913" s="38"/>
      <c r="BF913" s="38"/>
    </row>
    <row r="914" spans="1:58" ht="22.5" hidden="1" customHeight="1">
      <c r="A914" s="33" t="str">
        <f>IF(OR(ISBLANK(E914),ISBLANK(C914)),"",IF(COUNTIF($E$8:E914,E914)&gt;1,"",(MAX($A$7:A913)+1)))</f>
        <v/>
      </c>
      <c r="B914" s="34" t="str">
        <f>IF(ISBLANK(C914),"",SUBTOTAL(3,$C$8:C914))</f>
        <v/>
      </c>
      <c r="C914" s="81"/>
      <c r="D914" s="50"/>
      <c r="E914" s="50"/>
      <c r="F914" s="35" t="str">
        <f t="shared" si="60"/>
        <v/>
      </c>
      <c r="G914" s="36" t="str">
        <f t="shared" si="61"/>
        <v/>
      </c>
      <c r="H914" s="51" t="str">
        <f t="shared" si="59"/>
        <v/>
      </c>
      <c r="I914" s="51" t="str">
        <f t="shared" si="59"/>
        <v/>
      </c>
      <c r="J914" s="51" t="str">
        <f t="shared" si="59"/>
        <v/>
      </c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  <c r="AH914" s="37"/>
      <c r="AI914" s="37"/>
      <c r="AJ914" s="37"/>
      <c r="AK914" s="37"/>
      <c r="AM914" s="38"/>
      <c r="AN914" s="38"/>
      <c r="AO914" s="38"/>
      <c r="AP914" s="38"/>
      <c r="AQ914" s="38"/>
      <c r="AR914" s="38"/>
      <c r="AS914" s="38"/>
      <c r="AT914" s="38"/>
      <c r="AU914" s="38"/>
      <c r="AV914" s="38"/>
      <c r="AW914" s="38"/>
      <c r="AX914" s="38"/>
      <c r="AY914" s="38"/>
      <c r="AZ914" s="38"/>
      <c r="BA914" s="38"/>
      <c r="BB914" s="38"/>
      <c r="BC914" s="38"/>
      <c r="BD914" s="38"/>
      <c r="BE914" s="38"/>
      <c r="BF914" s="38"/>
    </row>
    <row r="915" spans="1:58" ht="22.5" hidden="1" customHeight="1">
      <c r="A915" s="33" t="str">
        <f>IF(OR(ISBLANK(E915),ISBLANK(C915)),"",IF(COUNTIF($E$8:E915,E915)&gt;1,"",(MAX($A$7:A914)+1)))</f>
        <v/>
      </c>
      <c r="B915" s="34" t="str">
        <f>IF(ISBLANK(C915),"",SUBTOTAL(3,$C$8:C915))</f>
        <v/>
      </c>
      <c r="C915" s="81"/>
      <c r="D915" s="50"/>
      <c r="E915" s="50"/>
      <c r="F915" s="35" t="str">
        <f t="shared" si="60"/>
        <v/>
      </c>
      <c r="G915" s="36" t="str">
        <f t="shared" si="61"/>
        <v/>
      </c>
      <c r="H915" s="51" t="str">
        <f t="shared" si="59"/>
        <v/>
      </c>
      <c r="I915" s="51" t="str">
        <f t="shared" si="59"/>
        <v/>
      </c>
      <c r="J915" s="51" t="str">
        <f t="shared" si="59"/>
        <v/>
      </c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37"/>
      <c r="AH915" s="37"/>
      <c r="AI915" s="37"/>
      <c r="AJ915" s="37"/>
      <c r="AK915" s="37"/>
      <c r="AM915" s="38"/>
      <c r="AN915" s="38"/>
      <c r="AO915" s="38"/>
      <c r="AP915" s="38"/>
      <c r="AQ915" s="38"/>
      <c r="AR915" s="38"/>
      <c r="AS915" s="38"/>
      <c r="AT915" s="38"/>
      <c r="AU915" s="38"/>
      <c r="AV915" s="38"/>
      <c r="AW915" s="38"/>
      <c r="AX915" s="38"/>
      <c r="AY915" s="38"/>
      <c r="AZ915" s="38"/>
      <c r="BA915" s="38"/>
      <c r="BB915" s="38"/>
      <c r="BC915" s="38"/>
      <c r="BD915" s="38"/>
      <c r="BE915" s="38"/>
      <c r="BF915" s="38"/>
    </row>
    <row r="916" spans="1:58" ht="22.5" hidden="1" customHeight="1">
      <c r="A916" s="33" t="str">
        <f>IF(OR(ISBLANK(E916),ISBLANK(C916)),"",IF(COUNTIF($E$8:E916,E916)&gt;1,"",(MAX($A$7:A915)+1)))</f>
        <v/>
      </c>
      <c r="B916" s="34" t="str">
        <f>IF(ISBLANK(C916),"",SUBTOTAL(3,$C$8:C916))</f>
        <v/>
      </c>
      <c r="C916" s="81"/>
      <c r="D916" s="50"/>
      <c r="E916" s="50"/>
      <c r="F916" s="35" t="str">
        <f t="shared" si="60"/>
        <v/>
      </c>
      <c r="G916" s="36" t="str">
        <f t="shared" si="61"/>
        <v/>
      </c>
      <c r="H916" s="51" t="str">
        <f t="shared" si="59"/>
        <v/>
      </c>
      <c r="I916" s="51" t="str">
        <f t="shared" si="59"/>
        <v/>
      </c>
      <c r="J916" s="51" t="str">
        <f t="shared" si="59"/>
        <v/>
      </c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  <c r="AH916" s="37"/>
      <c r="AI916" s="37"/>
      <c r="AJ916" s="37"/>
      <c r="AK916" s="37"/>
      <c r="AM916" s="38"/>
      <c r="AN916" s="38"/>
      <c r="AO916" s="38"/>
      <c r="AP916" s="38"/>
      <c r="AQ916" s="38"/>
      <c r="AR916" s="38"/>
      <c r="AS916" s="38"/>
      <c r="AT916" s="38"/>
      <c r="AU916" s="38"/>
      <c r="AV916" s="38"/>
      <c r="AW916" s="38"/>
      <c r="AX916" s="38"/>
      <c r="AY916" s="38"/>
      <c r="AZ916" s="38"/>
      <c r="BA916" s="38"/>
      <c r="BB916" s="38"/>
      <c r="BC916" s="38"/>
      <c r="BD916" s="38"/>
      <c r="BE916" s="38"/>
      <c r="BF916" s="38"/>
    </row>
    <row r="917" spans="1:58" ht="22.5" hidden="1" customHeight="1">
      <c r="A917" s="33" t="str">
        <f>IF(OR(ISBLANK(E917),ISBLANK(C917)),"",IF(COUNTIF($E$8:E917,E917)&gt;1,"",(MAX($A$7:A916)+1)))</f>
        <v/>
      </c>
      <c r="B917" s="34" t="str">
        <f>IF(ISBLANK(C917),"",SUBTOTAL(3,$C$8:C917))</f>
        <v/>
      </c>
      <c r="C917" s="85"/>
      <c r="D917" s="50"/>
      <c r="E917" s="50"/>
      <c r="F917" s="35" t="str">
        <f t="shared" si="60"/>
        <v/>
      </c>
      <c r="G917" s="36" t="str">
        <f t="shared" si="61"/>
        <v/>
      </c>
      <c r="H917" s="51" t="str">
        <f t="shared" si="59"/>
        <v/>
      </c>
      <c r="I917" s="51" t="str">
        <f t="shared" si="59"/>
        <v/>
      </c>
      <c r="J917" s="51" t="str">
        <f t="shared" si="59"/>
        <v/>
      </c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37"/>
      <c r="AH917" s="37"/>
      <c r="AI917" s="37"/>
      <c r="AJ917" s="37"/>
      <c r="AK917" s="37"/>
      <c r="AM917" s="38"/>
      <c r="AN917" s="38"/>
      <c r="AO917" s="38"/>
      <c r="AP917" s="38"/>
      <c r="AQ917" s="38"/>
      <c r="AR917" s="38"/>
      <c r="AS917" s="38"/>
      <c r="AT917" s="38"/>
      <c r="AU917" s="38"/>
      <c r="AV917" s="38"/>
      <c r="AW917" s="38"/>
      <c r="AX917" s="38"/>
      <c r="AY917" s="38"/>
      <c r="AZ917" s="38"/>
      <c r="BA917" s="38"/>
      <c r="BB917" s="38"/>
      <c r="BC917" s="38"/>
      <c r="BD917" s="38"/>
      <c r="BE917" s="38"/>
      <c r="BF917" s="38"/>
    </row>
    <row r="918" spans="1:58" ht="22.5" hidden="1" customHeight="1">
      <c r="A918" s="33" t="str">
        <f>IF(OR(ISBLANK(E918),ISBLANK(C918)),"",IF(COUNTIF($E$8:E918,E918)&gt;1,"",(MAX($A$7:A917)+1)))</f>
        <v/>
      </c>
      <c r="B918" s="34" t="str">
        <f>IF(ISBLANK(C918),"",SUBTOTAL(3,$C$8:C918))</f>
        <v/>
      </c>
      <c r="C918" s="85"/>
      <c r="D918" s="50"/>
      <c r="E918" s="50"/>
      <c r="F918" s="35" t="str">
        <f t="shared" si="60"/>
        <v/>
      </c>
      <c r="G918" s="36" t="str">
        <f t="shared" si="61"/>
        <v/>
      </c>
      <c r="H918" s="51" t="str">
        <f t="shared" si="59"/>
        <v/>
      </c>
      <c r="I918" s="51" t="str">
        <f t="shared" si="59"/>
        <v/>
      </c>
      <c r="J918" s="51" t="str">
        <f t="shared" si="59"/>
        <v/>
      </c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37"/>
      <c r="AH918" s="37"/>
      <c r="AI918" s="37"/>
      <c r="AJ918" s="37"/>
      <c r="AK918" s="37"/>
      <c r="AM918" s="38"/>
      <c r="AN918" s="38"/>
      <c r="AO918" s="38"/>
      <c r="AP918" s="38"/>
      <c r="AQ918" s="38"/>
      <c r="AR918" s="38"/>
      <c r="AS918" s="38"/>
      <c r="AT918" s="38"/>
      <c r="AU918" s="38"/>
      <c r="AV918" s="38"/>
      <c r="AW918" s="38"/>
      <c r="AX918" s="38"/>
      <c r="AY918" s="38"/>
      <c r="AZ918" s="38"/>
      <c r="BA918" s="38"/>
      <c r="BB918" s="38"/>
      <c r="BC918" s="38"/>
      <c r="BD918" s="38"/>
      <c r="BE918" s="38"/>
      <c r="BF918" s="38"/>
    </row>
    <row r="919" spans="1:58" ht="22.5" hidden="1" customHeight="1">
      <c r="A919" s="33" t="str">
        <f>IF(OR(ISBLANK(E919),ISBLANK(C919)),"",IF(COUNTIF($E$8:E919,E919)&gt;1,"",(MAX($A$7:A918)+1)))</f>
        <v/>
      </c>
      <c r="B919" s="34" t="str">
        <f>IF(ISBLANK(C919),"",SUBTOTAL(3,$C$8:C919))</f>
        <v/>
      </c>
      <c r="C919" s="85"/>
      <c r="D919" s="50"/>
      <c r="E919" s="50"/>
      <c r="F919" s="35" t="str">
        <f t="shared" si="60"/>
        <v/>
      </c>
      <c r="G919" s="36" t="str">
        <f t="shared" si="61"/>
        <v/>
      </c>
      <c r="H919" s="51" t="str">
        <f t="shared" si="59"/>
        <v/>
      </c>
      <c r="I919" s="51" t="str">
        <f t="shared" si="59"/>
        <v/>
      </c>
      <c r="J919" s="51" t="str">
        <f t="shared" si="59"/>
        <v/>
      </c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37"/>
      <c r="AH919" s="37"/>
      <c r="AI919" s="37"/>
      <c r="AJ919" s="37"/>
      <c r="AK919" s="37"/>
      <c r="AM919" s="38"/>
      <c r="AN919" s="38"/>
      <c r="AO919" s="38"/>
      <c r="AP919" s="38"/>
      <c r="AQ919" s="38"/>
      <c r="AR919" s="38"/>
      <c r="AS919" s="38"/>
      <c r="AT919" s="38"/>
      <c r="AU919" s="38"/>
      <c r="AV919" s="38"/>
      <c r="AW919" s="38"/>
      <c r="AX919" s="38"/>
      <c r="AY919" s="38"/>
      <c r="AZ919" s="38"/>
      <c r="BA919" s="38"/>
      <c r="BB919" s="38"/>
      <c r="BC919" s="38"/>
      <c r="BD919" s="38"/>
      <c r="BE919" s="38"/>
      <c r="BF919" s="38"/>
    </row>
    <row r="920" spans="1:58" ht="22.5" hidden="1" customHeight="1">
      <c r="A920" s="33" t="str">
        <f>IF(OR(ISBLANK(E920),ISBLANK(C920)),"",IF(COUNTIF($E$8:E920,E920)&gt;1,"",(MAX($A$7:A919)+1)))</f>
        <v/>
      </c>
      <c r="B920" s="34" t="str">
        <f>IF(ISBLANK(C920),"",SUBTOTAL(3,$C$8:C920))</f>
        <v/>
      </c>
      <c r="C920" s="85"/>
      <c r="D920" s="50"/>
      <c r="E920" s="50"/>
      <c r="F920" s="35" t="str">
        <f t="shared" si="60"/>
        <v/>
      </c>
      <c r="G920" s="36" t="str">
        <f t="shared" si="61"/>
        <v/>
      </c>
      <c r="H920" s="51" t="str">
        <f t="shared" ref="H920:J983" si="62">IF(OR(ISBLANK($C920),COUNTIFS($K920:$AH920,"X",$K$7:$AH$7,H$7)=0,),"",COUNTIFS($K920:$AH920,"X",$K$7:$AH$7,H$7))</f>
        <v/>
      </c>
      <c r="I920" s="51" t="str">
        <f t="shared" si="62"/>
        <v/>
      </c>
      <c r="J920" s="51" t="str">
        <f t="shared" si="62"/>
        <v/>
      </c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37"/>
      <c r="AH920" s="37"/>
      <c r="AI920" s="37"/>
      <c r="AJ920" s="37"/>
      <c r="AK920" s="37"/>
      <c r="AM920" s="38"/>
      <c r="AN920" s="38"/>
      <c r="AO920" s="38"/>
      <c r="AP920" s="38"/>
      <c r="AQ920" s="38"/>
      <c r="AR920" s="38"/>
      <c r="AS920" s="38"/>
      <c r="AT920" s="38"/>
      <c r="AU920" s="38"/>
      <c r="AV920" s="38"/>
      <c r="AW920" s="38"/>
      <c r="AX920" s="38"/>
      <c r="AY920" s="38"/>
      <c r="AZ920" s="38"/>
      <c r="BA920" s="38"/>
      <c r="BB920" s="38"/>
      <c r="BC920" s="38"/>
      <c r="BD920" s="38"/>
      <c r="BE920" s="38"/>
      <c r="BF920" s="38"/>
    </row>
    <row r="921" spans="1:58" ht="22.5" hidden="1" customHeight="1">
      <c r="A921" s="33" t="str">
        <f>IF(OR(ISBLANK(E921),ISBLANK(C921)),"",IF(COUNTIF($E$8:E921,E921)&gt;1,"",(MAX($A$7:A920)+1)))</f>
        <v/>
      </c>
      <c r="B921" s="34" t="str">
        <f>IF(ISBLANK(C921),"",SUBTOTAL(3,$C$8:C921))</f>
        <v/>
      </c>
      <c r="C921" s="85"/>
      <c r="D921" s="50"/>
      <c r="E921" s="50"/>
      <c r="F921" s="35" t="str">
        <f t="shared" si="60"/>
        <v/>
      </c>
      <c r="G921" s="36" t="str">
        <f t="shared" si="61"/>
        <v/>
      </c>
      <c r="H921" s="51" t="str">
        <f t="shared" si="62"/>
        <v/>
      </c>
      <c r="I921" s="51" t="str">
        <f t="shared" si="62"/>
        <v/>
      </c>
      <c r="J921" s="51" t="str">
        <f t="shared" si="62"/>
        <v/>
      </c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37"/>
      <c r="AH921" s="37"/>
      <c r="AI921" s="37"/>
      <c r="AJ921" s="37"/>
      <c r="AK921" s="37"/>
      <c r="AM921" s="38"/>
      <c r="AN921" s="38"/>
      <c r="AO921" s="38"/>
      <c r="AP921" s="38"/>
      <c r="AQ921" s="38"/>
      <c r="AR921" s="38"/>
      <c r="AS921" s="38"/>
      <c r="AT921" s="38"/>
      <c r="AU921" s="38"/>
      <c r="AV921" s="38"/>
      <c r="AW921" s="38"/>
      <c r="AX921" s="38"/>
      <c r="AY921" s="38"/>
      <c r="AZ921" s="38"/>
      <c r="BA921" s="38"/>
      <c r="BB921" s="38"/>
      <c r="BC921" s="38"/>
      <c r="BD921" s="38"/>
      <c r="BE921" s="38"/>
      <c r="BF921" s="38"/>
    </row>
    <row r="922" spans="1:58" ht="22.5" hidden="1" customHeight="1">
      <c r="A922" s="33" t="str">
        <f>IF(OR(ISBLANK(E922),ISBLANK(C922)),"",IF(COUNTIF($E$8:E922,E922)&gt;1,"",(MAX($A$7:A921)+1)))</f>
        <v/>
      </c>
      <c r="B922" s="34" t="str">
        <f>IF(ISBLANK(C922),"",SUBTOTAL(3,$C$8:C922))</f>
        <v/>
      </c>
      <c r="C922" s="81"/>
      <c r="D922" s="52"/>
      <c r="E922" s="50"/>
      <c r="F922" s="35" t="str">
        <f t="shared" si="60"/>
        <v/>
      </c>
      <c r="G922" s="36" t="str">
        <f t="shared" si="61"/>
        <v/>
      </c>
      <c r="H922" s="51" t="str">
        <f t="shared" si="62"/>
        <v/>
      </c>
      <c r="I922" s="51" t="str">
        <f t="shared" si="62"/>
        <v/>
      </c>
      <c r="J922" s="51" t="str">
        <f t="shared" si="62"/>
        <v/>
      </c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37"/>
      <c r="AH922" s="37"/>
      <c r="AI922" s="37"/>
      <c r="AJ922" s="37"/>
      <c r="AK922" s="37"/>
      <c r="AM922" s="38"/>
      <c r="AN922" s="38"/>
      <c r="AO922" s="38"/>
      <c r="AP922" s="38"/>
      <c r="AQ922" s="38"/>
      <c r="AR922" s="38"/>
      <c r="AS922" s="38"/>
      <c r="AT922" s="38"/>
      <c r="AU922" s="38"/>
      <c r="AV922" s="38"/>
      <c r="AW922" s="38"/>
      <c r="AX922" s="38"/>
      <c r="AY922" s="38"/>
      <c r="AZ922" s="38"/>
      <c r="BA922" s="38"/>
      <c r="BB922" s="38"/>
      <c r="BC922" s="38"/>
      <c r="BD922" s="38"/>
      <c r="BE922" s="38"/>
      <c r="BF922" s="38"/>
    </row>
    <row r="923" spans="1:58" ht="22.5" hidden="1" customHeight="1">
      <c r="A923" s="33" t="str">
        <f>IF(OR(ISBLANK(E923),ISBLANK(C923)),"",IF(COUNTIF($E$8:E923,E923)&gt;1,"",(MAX($A$7:A922)+1)))</f>
        <v/>
      </c>
      <c r="B923" s="34" t="str">
        <f>IF(ISBLANK(C923),"",SUBTOTAL(3,$C$8:C923))</f>
        <v/>
      </c>
      <c r="C923" s="81"/>
      <c r="D923" s="52"/>
      <c r="E923" s="50"/>
      <c r="F923" s="35" t="str">
        <f t="shared" si="60"/>
        <v/>
      </c>
      <c r="G923" s="36" t="str">
        <f t="shared" si="61"/>
        <v/>
      </c>
      <c r="H923" s="51" t="str">
        <f t="shared" si="62"/>
        <v/>
      </c>
      <c r="I923" s="51" t="str">
        <f t="shared" si="62"/>
        <v/>
      </c>
      <c r="J923" s="51" t="str">
        <f t="shared" si="62"/>
        <v/>
      </c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37"/>
      <c r="AH923" s="37"/>
      <c r="AI923" s="37"/>
      <c r="AJ923" s="37"/>
      <c r="AK923" s="37"/>
      <c r="AM923" s="38"/>
      <c r="AN923" s="38"/>
      <c r="AO923" s="38"/>
      <c r="AP923" s="38"/>
      <c r="AQ923" s="38"/>
      <c r="AR923" s="38"/>
      <c r="AS923" s="38"/>
      <c r="AT923" s="38"/>
      <c r="AU923" s="38"/>
      <c r="AV923" s="38"/>
      <c r="AW923" s="38"/>
      <c r="AX923" s="38"/>
      <c r="AY923" s="38"/>
      <c r="AZ923" s="38"/>
      <c r="BA923" s="38"/>
      <c r="BB923" s="38"/>
      <c r="BC923" s="38"/>
      <c r="BD923" s="38"/>
      <c r="BE923" s="38"/>
      <c r="BF923" s="38"/>
    </row>
    <row r="924" spans="1:58" ht="22.5" hidden="1" customHeight="1">
      <c r="A924" s="33" t="str">
        <f>IF(OR(ISBLANK(E924),ISBLANK(C924)),"",IF(COUNTIF($E$8:E924,E924)&gt;1,"",(MAX($A$7:A923)+1)))</f>
        <v/>
      </c>
      <c r="B924" s="34" t="str">
        <f>IF(ISBLANK(C924),"",SUBTOTAL(3,$C$8:C924))</f>
        <v/>
      </c>
      <c r="C924" s="85"/>
      <c r="D924" s="50"/>
      <c r="E924" s="50"/>
      <c r="F924" s="35" t="str">
        <f t="shared" si="60"/>
        <v/>
      </c>
      <c r="G924" s="36" t="str">
        <f t="shared" si="61"/>
        <v/>
      </c>
      <c r="H924" s="51" t="str">
        <f t="shared" si="62"/>
        <v/>
      </c>
      <c r="I924" s="51" t="str">
        <f t="shared" si="62"/>
        <v/>
      </c>
      <c r="J924" s="51" t="str">
        <f t="shared" si="62"/>
        <v/>
      </c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37"/>
      <c r="AH924" s="37"/>
      <c r="AI924" s="37"/>
      <c r="AJ924" s="37"/>
      <c r="AK924" s="37"/>
      <c r="AM924" s="38"/>
      <c r="AN924" s="38"/>
      <c r="AO924" s="38"/>
      <c r="AP924" s="38"/>
      <c r="AQ924" s="38"/>
      <c r="AR924" s="38"/>
      <c r="AS924" s="38"/>
      <c r="AT924" s="38"/>
      <c r="AU924" s="38"/>
      <c r="AV924" s="38"/>
      <c r="AW924" s="38"/>
      <c r="AX924" s="38"/>
      <c r="AY924" s="38"/>
      <c r="AZ924" s="38"/>
      <c r="BA924" s="38"/>
      <c r="BB924" s="38"/>
      <c r="BC924" s="38"/>
      <c r="BD924" s="38"/>
      <c r="BE924" s="38"/>
      <c r="BF924" s="38"/>
    </row>
    <row r="925" spans="1:58" ht="22.5" hidden="1" customHeight="1">
      <c r="A925" s="33" t="str">
        <f>IF(OR(ISBLANK(E925),ISBLANK(C925)),"",IF(COUNTIF($E$8:E925,E925)&gt;1,"",(MAX($A$7:A924)+1)))</f>
        <v/>
      </c>
      <c r="B925" s="34" t="str">
        <f>IF(ISBLANK(C925),"",SUBTOTAL(3,$C$8:C925))</f>
        <v/>
      </c>
      <c r="C925" s="85"/>
      <c r="D925" s="50"/>
      <c r="E925" s="50"/>
      <c r="F925" s="35" t="str">
        <f t="shared" si="60"/>
        <v/>
      </c>
      <c r="G925" s="36" t="str">
        <f t="shared" si="61"/>
        <v/>
      </c>
      <c r="H925" s="51" t="str">
        <f t="shared" si="62"/>
        <v/>
      </c>
      <c r="I925" s="51" t="str">
        <f t="shared" si="62"/>
        <v/>
      </c>
      <c r="J925" s="51" t="str">
        <f t="shared" si="62"/>
        <v/>
      </c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37"/>
      <c r="AH925" s="37"/>
      <c r="AI925" s="37"/>
      <c r="AJ925" s="37"/>
      <c r="AK925" s="37"/>
      <c r="AM925" s="38"/>
      <c r="AN925" s="38"/>
      <c r="AO925" s="38"/>
      <c r="AP925" s="38"/>
      <c r="AQ925" s="38"/>
      <c r="AR925" s="38"/>
      <c r="AS925" s="38"/>
      <c r="AT925" s="38"/>
      <c r="AU925" s="38"/>
      <c r="AV925" s="38"/>
      <c r="AW925" s="38"/>
      <c r="AX925" s="38"/>
      <c r="AY925" s="38"/>
      <c r="AZ925" s="38"/>
      <c r="BA925" s="38"/>
      <c r="BB925" s="38"/>
      <c r="BC925" s="38"/>
      <c r="BD925" s="38"/>
      <c r="BE925" s="38"/>
      <c r="BF925" s="38"/>
    </row>
    <row r="926" spans="1:58" ht="22.5" hidden="1" customHeight="1">
      <c r="A926" s="33" t="str">
        <f>IF(OR(ISBLANK(E926),ISBLANK(C926)),"",IF(COUNTIF($E$8:E926,E926)&gt;1,"",(MAX($A$7:A925)+1)))</f>
        <v/>
      </c>
      <c r="B926" s="34" t="str">
        <f>IF(ISBLANK(C926),"",SUBTOTAL(3,$C$8:C926))</f>
        <v/>
      </c>
      <c r="C926" s="85"/>
      <c r="D926" s="50"/>
      <c r="E926" s="50"/>
      <c r="F926" s="35" t="str">
        <f t="shared" si="60"/>
        <v/>
      </c>
      <c r="G926" s="36" t="str">
        <f t="shared" si="61"/>
        <v/>
      </c>
      <c r="H926" s="51" t="str">
        <f t="shared" si="62"/>
        <v/>
      </c>
      <c r="I926" s="51" t="str">
        <f t="shared" si="62"/>
        <v/>
      </c>
      <c r="J926" s="51" t="str">
        <f t="shared" si="62"/>
        <v/>
      </c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37"/>
      <c r="AH926" s="37"/>
      <c r="AI926" s="37"/>
      <c r="AJ926" s="37"/>
      <c r="AK926" s="37"/>
      <c r="AM926" s="38"/>
      <c r="AN926" s="38"/>
      <c r="AO926" s="38"/>
      <c r="AP926" s="38"/>
      <c r="AQ926" s="38"/>
      <c r="AR926" s="38"/>
      <c r="AS926" s="38"/>
      <c r="AT926" s="38"/>
      <c r="AU926" s="38"/>
      <c r="AV926" s="38"/>
      <c r="AW926" s="38"/>
      <c r="AX926" s="38"/>
      <c r="AY926" s="38"/>
      <c r="AZ926" s="38"/>
      <c r="BA926" s="38"/>
      <c r="BB926" s="38"/>
      <c r="BC926" s="38"/>
      <c r="BD926" s="38"/>
      <c r="BE926" s="38"/>
      <c r="BF926" s="38"/>
    </row>
    <row r="927" spans="1:58" ht="22.5" hidden="1" customHeight="1">
      <c r="A927" s="33" t="str">
        <f>IF(OR(ISBLANK(E927),ISBLANK(C927)),"",IF(COUNTIF($E$8:E927,E927)&gt;1,"",(MAX($A$7:A926)+1)))</f>
        <v/>
      </c>
      <c r="B927" s="34" t="str">
        <f>IF(ISBLANK(C927),"",SUBTOTAL(3,$C$8:C927))</f>
        <v/>
      </c>
      <c r="C927" s="85"/>
      <c r="D927" s="50"/>
      <c r="E927" s="50"/>
      <c r="F927" s="35" t="str">
        <f t="shared" si="60"/>
        <v/>
      </c>
      <c r="G927" s="36" t="str">
        <f t="shared" si="61"/>
        <v/>
      </c>
      <c r="H927" s="51" t="str">
        <f t="shared" si="62"/>
        <v/>
      </c>
      <c r="I927" s="51" t="str">
        <f t="shared" si="62"/>
        <v/>
      </c>
      <c r="J927" s="51" t="str">
        <f t="shared" si="62"/>
        <v/>
      </c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  <c r="AH927" s="37"/>
      <c r="AI927" s="37"/>
      <c r="AJ927" s="37"/>
      <c r="AK927" s="37"/>
      <c r="AM927" s="38"/>
      <c r="AN927" s="38"/>
      <c r="AO927" s="38"/>
      <c r="AP927" s="38"/>
      <c r="AQ927" s="38"/>
      <c r="AR927" s="38"/>
      <c r="AS927" s="38"/>
      <c r="AT927" s="38"/>
      <c r="AU927" s="38"/>
      <c r="AV927" s="38"/>
      <c r="AW927" s="38"/>
      <c r="AX927" s="38"/>
      <c r="AY927" s="38"/>
      <c r="AZ927" s="38"/>
      <c r="BA927" s="38"/>
      <c r="BB927" s="38"/>
      <c r="BC927" s="38"/>
      <c r="BD927" s="38"/>
      <c r="BE927" s="38"/>
      <c r="BF927" s="38"/>
    </row>
    <row r="928" spans="1:58" ht="22.5" hidden="1" customHeight="1">
      <c r="A928" s="33" t="str">
        <f>IF(OR(ISBLANK(E928),ISBLANK(C928)),"",IF(COUNTIF($E$8:E928,E928)&gt;1,"",(MAX($A$7:A927)+1)))</f>
        <v/>
      </c>
      <c r="B928" s="34" t="str">
        <f>IF(ISBLANK(C928),"",SUBTOTAL(3,$C$8:C928))</f>
        <v/>
      </c>
      <c r="C928" s="85"/>
      <c r="D928" s="50"/>
      <c r="E928" s="50"/>
      <c r="F928" s="35" t="str">
        <f t="shared" si="60"/>
        <v/>
      </c>
      <c r="G928" s="36" t="str">
        <f t="shared" si="61"/>
        <v/>
      </c>
      <c r="H928" s="51" t="str">
        <f t="shared" si="62"/>
        <v/>
      </c>
      <c r="I928" s="51" t="str">
        <f t="shared" si="62"/>
        <v/>
      </c>
      <c r="J928" s="51" t="str">
        <f t="shared" si="62"/>
        <v/>
      </c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37"/>
      <c r="AH928" s="37"/>
      <c r="AI928" s="37"/>
      <c r="AJ928" s="37"/>
      <c r="AK928" s="37"/>
      <c r="AM928" s="38"/>
      <c r="AN928" s="38"/>
      <c r="AO928" s="38"/>
      <c r="AP928" s="38"/>
      <c r="AQ928" s="38"/>
      <c r="AR928" s="38"/>
      <c r="AS928" s="38"/>
      <c r="AT928" s="38"/>
      <c r="AU928" s="38"/>
      <c r="AV928" s="38"/>
      <c r="AW928" s="38"/>
      <c r="AX928" s="38"/>
      <c r="AY928" s="38"/>
      <c r="AZ928" s="38"/>
      <c r="BA928" s="38"/>
      <c r="BB928" s="38"/>
      <c r="BC928" s="38"/>
      <c r="BD928" s="38"/>
      <c r="BE928" s="38"/>
      <c r="BF928" s="38"/>
    </row>
    <row r="929" spans="1:58" ht="22.5" hidden="1" customHeight="1">
      <c r="A929" s="33" t="str">
        <f>IF(OR(ISBLANK(E929),ISBLANK(C929)),"",IF(COUNTIF($E$8:E929,E929)&gt;1,"",(MAX($A$7:A928)+1)))</f>
        <v/>
      </c>
      <c r="B929" s="34" t="str">
        <f>IF(ISBLANK(C929),"",SUBTOTAL(3,$C$8:C929))</f>
        <v/>
      </c>
      <c r="C929" s="85"/>
      <c r="D929" s="50"/>
      <c r="E929" s="50"/>
      <c r="F929" s="35" t="str">
        <f t="shared" si="60"/>
        <v/>
      </c>
      <c r="G929" s="36" t="str">
        <f t="shared" si="61"/>
        <v/>
      </c>
      <c r="H929" s="51" t="str">
        <f t="shared" si="62"/>
        <v/>
      </c>
      <c r="I929" s="51" t="str">
        <f t="shared" si="62"/>
        <v/>
      </c>
      <c r="J929" s="51" t="str">
        <f t="shared" si="62"/>
        <v/>
      </c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37"/>
      <c r="AH929" s="37"/>
      <c r="AI929" s="37"/>
      <c r="AJ929" s="37"/>
      <c r="AK929" s="37"/>
      <c r="AM929" s="38"/>
      <c r="AN929" s="38"/>
      <c r="AO929" s="38"/>
      <c r="AP929" s="38"/>
      <c r="AQ929" s="38"/>
      <c r="AR929" s="38"/>
      <c r="AS929" s="38"/>
      <c r="AT929" s="38"/>
      <c r="AU929" s="38"/>
      <c r="AV929" s="38"/>
      <c r="AW929" s="38"/>
      <c r="AX929" s="38"/>
      <c r="AY929" s="38"/>
      <c r="AZ929" s="38"/>
      <c r="BA929" s="38"/>
      <c r="BB929" s="38"/>
      <c r="BC929" s="38"/>
      <c r="BD929" s="38"/>
      <c r="BE929" s="38"/>
      <c r="BF929" s="38"/>
    </row>
    <row r="930" spans="1:58" ht="22.5" hidden="1" customHeight="1">
      <c r="A930" s="33" t="str">
        <f>IF(OR(ISBLANK(E930),ISBLANK(C930)),"",IF(COUNTIF($E$8:E930,E930)&gt;1,"",(MAX($A$7:A929)+1)))</f>
        <v/>
      </c>
      <c r="B930" s="34" t="str">
        <f>IF(ISBLANK(C930),"",SUBTOTAL(3,$C$8:C930))</f>
        <v/>
      </c>
      <c r="C930" s="85"/>
      <c r="D930" s="50"/>
      <c r="E930" s="50"/>
      <c r="F930" s="35" t="str">
        <f t="shared" si="60"/>
        <v/>
      </c>
      <c r="G930" s="36" t="str">
        <f t="shared" si="61"/>
        <v/>
      </c>
      <c r="H930" s="51" t="str">
        <f t="shared" si="62"/>
        <v/>
      </c>
      <c r="I930" s="51" t="str">
        <f t="shared" si="62"/>
        <v/>
      </c>
      <c r="J930" s="51" t="str">
        <f t="shared" si="62"/>
        <v/>
      </c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37"/>
      <c r="AH930" s="37"/>
      <c r="AI930" s="37"/>
      <c r="AJ930" s="37"/>
      <c r="AK930" s="37"/>
      <c r="AM930" s="38"/>
      <c r="AN930" s="38"/>
      <c r="AO930" s="38"/>
      <c r="AP930" s="38"/>
      <c r="AQ930" s="38"/>
      <c r="AR930" s="38"/>
      <c r="AS930" s="38"/>
      <c r="AT930" s="38"/>
      <c r="AU930" s="38"/>
      <c r="AV930" s="38"/>
      <c r="AW930" s="38"/>
      <c r="AX930" s="38"/>
      <c r="AY930" s="38"/>
      <c r="AZ930" s="38"/>
      <c r="BA930" s="38"/>
      <c r="BB930" s="38"/>
      <c r="BC930" s="38"/>
      <c r="BD930" s="38"/>
      <c r="BE930" s="38"/>
      <c r="BF930" s="38"/>
    </row>
    <row r="931" spans="1:58" ht="22.5" hidden="1" customHeight="1">
      <c r="A931" s="33" t="str">
        <f>IF(OR(ISBLANK(E931),ISBLANK(C931)),"",IF(COUNTIF($E$8:E931,E931)&gt;1,"",(MAX($A$7:A930)+1)))</f>
        <v/>
      </c>
      <c r="B931" s="34" t="str">
        <f>IF(ISBLANK(C931),"",SUBTOTAL(3,$C$8:C931))</f>
        <v/>
      </c>
      <c r="C931" s="85"/>
      <c r="D931" s="50"/>
      <c r="E931" s="50"/>
      <c r="F931" s="35" t="str">
        <f t="shared" si="60"/>
        <v/>
      </c>
      <c r="G931" s="36" t="str">
        <f t="shared" si="61"/>
        <v/>
      </c>
      <c r="H931" s="51" t="str">
        <f t="shared" si="62"/>
        <v/>
      </c>
      <c r="I931" s="51" t="str">
        <f t="shared" si="62"/>
        <v/>
      </c>
      <c r="J931" s="51" t="str">
        <f t="shared" si="62"/>
        <v/>
      </c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  <c r="AH931" s="37"/>
      <c r="AI931" s="37"/>
      <c r="AJ931" s="37"/>
      <c r="AK931" s="37"/>
      <c r="AM931" s="38"/>
      <c r="AN931" s="38"/>
      <c r="AO931" s="38"/>
      <c r="AP931" s="38"/>
      <c r="AQ931" s="38"/>
      <c r="AR931" s="38"/>
      <c r="AS931" s="38"/>
      <c r="AT931" s="38"/>
      <c r="AU931" s="38"/>
      <c r="AV931" s="38"/>
      <c r="AW931" s="38"/>
      <c r="AX931" s="38"/>
      <c r="AY931" s="38"/>
      <c r="AZ931" s="38"/>
      <c r="BA931" s="38"/>
      <c r="BB931" s="38"/>
      <c r="BC931" s="38"/>
      <c r="BD931" s="38"/>
      <c r="BE931" s="38"/>
      <c r="BF931" s="38"/>
    </row>
    <row r="932" spans="1:58" ht="22.5" hidden="1" customHeight="1">
      <c r="A932" s="33" t="str">
        <f>IF(OR(ISBLANK(E932),ISBLANK(C932)),"",IF(COUNTIF($E$8:E932,E932)&gt;1,"",(MAX($A$7:A931)+1)))</f>
        <v/>
      </c>
      <c r="B932" s="34" t="str">
        <f>IF(ISBLANK(C932),"",SUBTOTAL(3,$C$8:C932))</f>
        <v/>
      </c>
      <c r="C932" s="85"/>
      <c r="D932" s="50"/>
      <c r="E932" s="50"/>
      <c r="F932" s="35" t="str">
        <f t="shared" si="60"/>
        <v/>
      </c>
      <c r="G932" s="36" t="str">
        <f t="shared" si="61"/>
        <v/>
      </c>
      <c r="H932" s="51" t="str">
        <f t="shared" si="62"/>
        <v/>
      </c>
      <c r="I932" s="51" t="str">
        <f t="shared" si="62"/>
        <v/>
      </c>
      <c r="J932" s="51" t="str">
        <f t="shared" si="62"/>
        <v/>
      </c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37"/>
      <c r="AH932" s="37"/>
      <c r="AI932" s="37"/>
      <c r="AJ932" s="37"/>
      <c r="AK932" s="37"/>
      <c r="AM932" s="38"/>
      <c r="AN932" s="38"/>
      <c r="AO932" s="38"/>
      <c r="AP932" s="38"/>
      <c r="AQ932" s="38"/>
      <c r="AR932" s="38"/>
      <c r="AS932" s="38"/>
      <c r="AT932" s="38"/>
      <c r="AU932" s="38"/>
      <c r="AV932" s="38"/>
      <c r="AW932" s="38"/>
      <c r="AX932" s="38"/>
      <c r="AY932" s="38"/>
      <c r="AZ932" s="38"/>
      <c r="BA932" s="38"/>
      <c r="BB932" s="38"/>
      <c r="BC932" s="38"/>
      <c r="BD932" s="38"/>
      <c r="BE932" s="38"/>
      <c r="BF932" s="38"/>
    </row>
    <row r="933" spans="1:58" ht="22.5" hidden="1" customHeight="1">
      <c r="A933" s="33" t="str">
        <f>IF(OR(ISBLANK(E933),ISBLANK(C933)),"",IF(COUNTIF($E$8:E933,E933)&gt;1,"",(MAX($A$7:A932)+1)))</f>
        <v/>
      </c>
      <c r="B933" s="34" t="str">
        <f>IF(ISBLANK(C933),"",SUBTOTAL(3,$C$8:C933))</f>
        <v/>
      </c>
      <c r="C933" s="85"/>
      <c r="D933" s="50"/>
      <c r="E933" s="50"/>
      <c r="F933" s="35" t="str">
        <f t="shared" si="60"/>
        <v/>
      </c>
      <c r="G933" s="36" t="str">
        <f t="shared" si="61"/>
        <v/>
      </c>
      <c r="H933" s="51" t="str">
        <f t="shared" si="62"/>
        <v/>
      </c>
      <c r="I933" s="51" t="str">
        <f t="shared" si="62"/>
        <v/>
      </c>
      <c r="J933" s="51" t="str">
        <f t="shared" si="62"/>
        <v/>
      </c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37"/>
      <c r="AH933" s="37"/>
      <c r="AI933" s="37"/>
      <c r="AJ933" s="37"/>
      <c r="AK933" s="37"/>
      <c r="AM933" s="38"/>
      <c r="AN933" s="38"/>
      <c r="AO933" s="38"/>
      <c r="AP933" s="38"/>
      <c r="AQ933" s="38"/>
      <c r="AR933" s="38"/>
      <c r="AS933" s="38"/>
      <c r="AT933" s="38"/>
      <c r="AU933" s="38"/>
      <c r="AV933" s="38"/>
      <c r="AW933" s="38"/>
      <c r="AX933" s="38"/>
      <c r="AY933" s="38"/>
      <c r="AZ933" s="38"/>
      <c r="BA933" s="38"/>
      <c r="BB933" s="38"/>
      <c r="BC933" s="38"/>
      <c r="BD933" s="38"/>
      <c r="BE933" s="38"/>
      <c r="BF933" s="38"/>
    </row>
    <row r="934" spans="1:58" ht="22.5" hidden="1" customHeight="1">
      <c r="A934" s="33" t="str">
        <f>IF(OR(ISBLANK(E934),ISBLANK(C934)),"",IF(COUNTIF($E$8:E934,E934)&gt;1,"",(MAX($A$7:A933)+1)))</f>
        <v/>
      </c>
      <c r="B934" s="34" t="str">
        <f>IF(ISBLANK(C934),"",SUBTOTAL(3,$C$8:C934))</f>
        <v/>
      </c>
      <c r="C934" s="85"/>
      <c r="D934" s="50"/>
      <c r="E934" s="50"/>
      <c r="F934" s="35" t="str">
        <f t="shared" si="60"/>
        <v/>
      </c>
      <c r="G934" s="36" t="str">
        <f t="shared" si="61"/>
        <v/>
      </c>
      <c r="H934" s="51" t="str">
        <f t="shared" si="62"/>
        <v/>
      </c>
      <c r="I934" s="51" t="str">
        <f t="shared" si="62"/>
        <v/>
      </c>
      <c r="J934" s="51" t="str">
        <f t="shared" si="62"/>
        <v/>
      </c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37"/>
      <c r="AH934" s="37"/>
      <c r="AI934" s="37"/>
      <c r="AJ934" s="37"/>
      <c r="AK934" s="37"/>
      <c r="AM934" s="38"/>
      <c r="AN934" s="38"/>
      <c r="AO934" s="38"/>
      <c r="AP934" s="38"/>
      <c r="AQ934" s="38"/>
      <c r="AR934" s="38"/>
      <c r="AS934" s="38"/>
      <c r="AT934" s="38"/>
      <c r="AU934" s="38"/>
      <c r="AV934" s="38"/>
      <c r="AW934" s="38"/>
      <c r="AX934" s="38"/>
      <c r="AY934" s="38"/>
      <c r="AZ934" s="38"/>
      <c r="BA934" s="38"/>
      <c r="BB934" s="38"/>
      <c r="BC934" s="38"/>
      <c r="BD934" s="38"/>
      <c r="BE934" s="38"/>
      <c r="BF934" s="38"/>
    </row>
    <row r="935" spans="1:58" ht="22.5" hidden="1" customHeight="1">
      <c r="A935" s="33" t="str">
        <f>IF(OR(ISBLANK(E935),ISBLANK(C935)),"",IF(COUNTIF($E$8:E935,E935)&gt;1,"",(MAX($A$7:A934)+1)))</f>
        <v/>
      </c>
      <c r="B935" s="34" t="str">
        <f>IF(ISBLANK(C935),"",SUBTOTAL(3,$C$8:C935))</f>
        <v/>
      </c>
      <c r="C935" s="85"/>
      <c r="D935" s="50"/>
      <c r="E935" s="50"/>
      <c r="F935" s="35" t="str">
        <f t="shared" si="60"/>
        <v/>
      </c>
      <c r="G935" s="36" t="str">
        <f t="shared" si="61"/>
        <v/>
      </c>
      <c r="H935" s="51" t="str">
        <f t="shared" si="62"/>
        <v/>
      </c>
      <c r="I935" s="51" t="str">
        <f t="shared" si="62"/>
        <v/>
      </c>
      <c r="J935" s="51" t="str">
        <f t="shared" si="62"/>
        <v/>
      </c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37"/>
      <c r="AH935" s="37"/>
      <c r="AI935" s="37"/>
      <c r="AJ935" s="37"/>
      <c r="AK935" s="37"/>
      <c r="AM935" s="38"/>
      <c r="AN935" s="38"/>
      <c r="AO935" s="38"/>
      <c r="AP935" s="38"/>
      <c r="AQ935" s="38"/>
      <c r="AR935" s="38"/>
      <c r="AS935" s="38"/>
      <c r="AT935" s="38"/>
      <c r="AU935" s="38"/>
      <c r="AV935" s="38"/>
      <c r="AW935" s="38"/>
      <c r="AX935" s="38"/>
      <c r="AY935" s="38"/>
      <c r="AZ935" s="38"/>
      <c r="BA935" s="38"/>
      <c r="BB935" s="38"/>
      <c r="BC935" s="38"/>
      <c r="BD935" s="38"/>
      <c r="BE935" s="38"/>
      <c r="BF935" s="38"/>
    </row>
    <row r="936" spans="1:58" ht="22.5" hidden="1" customHeight="1">
      <c r="A936" s="33" t="str">
        <f>IF(OR(ISBLANK(E936),ISBLANK(C936)),"",IF(COUNTIF($E$8:E936,E936)&gt;1,"",(MAX($A$7:A935)+1)))</f>
        <v/>
      </c>
      <c r="B936" s="34" t="str">
        <f>IF(ISBLANK(C936),"",SUBTOTAL(3,$C$8:C936))</f>
        <v/>
      </c>
      <c r="C936" s="85"/>
      <c r="D936" s="50"/>
      <c r="E936" s="50"/>
      <c r="F936" s="35" t="str">
        <f t="shared" si="60"/>
        <v/>
      </c>
      <c r="G936" s="36" t="str">
        <f t="shared" si="61"/>
        <v/>
      </c>
      <c r="H936" s="51" t="str">
        <f t="shared" si="62"/>
        <v/>
      </c>
      <c r="I936" s="51" t="str">
        <f t="shared" si="62"/>
        <v/>
      </c>
      <c r="J936" s="51" t="str">
        <f t="shared" si="62"/>
        <v/>
      </c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M936" s="38"/>
      <c r="AN936" s="38"/>
      <c r="AO936" s="38"/>
      <c r="AP936" s="38"/>
      <c r="AQ936" s="38"/>
      <c r="AR936" s="38"/>
      <c r="AS936" s="38"/>
      <c r="AT936" s="38"/>
      <c r="AU936" s="38"/>
      <c r="AV936" s="38"/>
      <c r="AW936" s="38"/>
      <c r="AX936" s="38"/>
      <c r="AY936" s="38"/>
      <c r="AZ936" s="38"/>
      <c r="BA936" s="38"/>
      <c r="BB936" s="38"/>
      <c r="BC936" s="38"/>
      <c r="BD936" s="38"/>
      <c r="BE936" s="38"/>
      <c r="BF936" s="38"/>
    </row>
    <row r="937" spans="1:58" ht="22.5" hidden="1" customHeight="1">
      <c r="A937" s="33" t="str">
        <f>IF(OR(ISBLANK(E937),ISBLANK(C937)),"",IF(COUNTIF($E$8:E937,E937)&gt;1,"",(MAX($A$7:A936)+1)))</f>
        <v/>
      </c>
      <c r="B937" s="34" t="str">
        <f>IF(ISBLANK(C937),"",SUBTOTAL(3,$C$8:C937))</f>
        <v/>
      </c>
      <c r="C937" s="85"/>
      <c r="D937" s="50"/>
      <c r="E937" s="50"/>
      <c r="F937" s="35" t="str">
        <f t="shared" si="60"/>
        <v/>
      </c>
      <c r="G937" s="36" t="str">
        <f t="shared" si="61"/>
        <v/>
      </c>
      <c r="H937" s="51" t="str">
        <f t="shared" si="62"/>
        <v/>
      </c>
      <c r="I937" s="51" t="str">
        <f t="shared" si="62"/>
        <v/>
      </c>
      <c r="J937" s="51" t="str">
        <f t="shared" si="62"/>
        <v/>
      </c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37"/>
      <c r="AH937" s="37"/>
      <c r="AI937" s="37"/>
      <c r="AJ937" s="37"/>
      <c r="AK937" s="37"/>
      <c r="AM937" s="38"/>
      <c r="AN937" s="38"/>
      <c r="AO937" s="38"/>
      <c r="AP937" s="38"/>
      <c r="AQ937" s="38"/>
      <c r="AR937" s="38"/>
      <c r="AS937" s="38"/>
      <c r="AT937" s="38"/>
      <c r="AU937" s="38"/>
      <c r="AV937" s="38"/>
      <c r="AW937" s="38"/>
      <c r="AX937" s="38"/>
      <c r="AY937" s="38"/>
      <c r="AZ937" s="38"/>
      <c r="BA937" s="38"/>
      <c r="BB937" s="38"/>
      <c r="BC937" s="38"/>
      <c r="BD937" s="38"/>
      <c r="BE937" s="38"/>
      <c r="BF937" s="38"/>
    </row>
    <row r="938" spans="1:58" ht="22.5" hidden="1" customHeight="1">
      <c r="A938" s="33" t="str">
        <f>IF(OR(ISBLANK(E938),ISBLANK(C938)),"",IF(COUNTIF($E$8:E938,E938)&gt;1,"",(MAX($A$7:A937)+1)))</f>
        <v/>
      </c>
      <c r="B938" s="34" t="str">
        <f>IF(ISBLANK(C938),"",SUBTOTAL(3,$C$8:C938))</f>
        <v/>
      </c>
      <c r="C938" s="85"/>
      <c r="D938" s="50"/>
      <c r="E938" s="50"/>
      <c r="F938" s="35" t="str">
        <f t="shared" si="60"/>
        <v/>
      </c>
      <c r="G938" s="36" t="str">
        <f t="shared" si="61"/>
        <v/>
      </c>
      <c r="H938" s="51" t="str">
        <f t="shared" si="62"/>
        <v/>
      </c>
      <c r="I938" s="51" t="str">
        <f t="shared" si="62"/>
        <v/>
      </c>
      <c r="J938" s="51" t="str">
        <f t="shared" si="62"/>
        <v/>
      </c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37"/>
      <c r="AH938" s="37"/>
      <c r="AI938" s="37"/>
      <c r="AJ938" s="37"/>
      <c r="AK938" s="37"/>
      <c r="AM938" s="38"/>
      <c r="AN938" s="38"/>
      <c r="AO938" s="38"/>
      <c r="AP938" s="38"/>
      <c r="AQ938" s="38"/>
      <c r="AR938" s="38"/>
      <c r="AS938" s="38"/>
      <c r="AT938" s="38"/>
      <c r="AU938" s="38"/>
      <c r="AV938" s="38"/>
      <c r="AW938" s="38"/>
      <c r="AX938" s="38"/>
      <c r="AY938" s="38"/>
      <c r="AZ938" s="38"/>
      <c r="BA938" s="38"/>
      <c r="BB938" s="38"/>
      <c r="BC938" s="38"/>
      <c r="BD938" s="38"/>
      <c r="BE938" s="38"/>
      <c r="BF938" s="38"/>
    </row>
    <row r="939" spans="1:58" ht="22.5" hidden="1" customHeight="1">
      <c r="A939" s="33" t="str">
        <f>IF(OR(ISBLANK(E939),ISBLANK(C939)),"",IF(COUNTIF($E$8:E939,E939)&gt;1,"",(MAX($A$7:A938)+1)))</f>
        <v/>
      </c>
      <c r="B939" s="34" t="str">
        <f>IF(ISBLANK(C939),"",SUBTOTAL(3,$C$8:C939))</f>
        <v/>
      </c>
      <c r="C939" s="85"/>
      <c r="D939" s="50"/>
      <c r="E939" s="50"/>
      <c r="F939" s="35" t="str">
        <f t="shared" si="60"/>
        <v/>
      </c>
      <c r="G939" s="36" t="str">
        <f t="shared" si="61"/>
        <v/>
      </c>
      <c r="H939" s="51" t="str">
        <f t="shared" si="62"/>
        <v/>
      </c>
      <c r="I939" s="51" t="str">
        <f t="shared" si="62"/>
        <v/>
      </c>
      <c r="J939" s="51" t="str">
        <f t="shared" si="62"/>
        <v/>
      </c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  <c r="AJ939" s="37"/>
      <c r="AK939" s="37"/>
      <c r="AM939" s="38"/>
      <c r="AN939" s="38"/>
      <c r="AO939" s="38"/>
      <c r="AP939" s="38"/>
      <c r="AQ939" s="38"/>
      <c r="AR939" s="38"/>
      <c r="AS939" s="38"/>
      <c r="AT939" s="38"/>
      <c r="AU939" s="38"/>
      <c r="AV939" s="38"/>
      <c r="AW939" s="38"/>
      <c r="AX939" s="38"/>
      <c r="AY939" s="38"/>
      <c r="AZ939" s="38"/>
      <c r="BA939" s="38"/>
      <c r="BB939" s="38"/>
      <c r="BC939" s="38"/>
      <c r="BD939" s="38"/>
      <c r="BE939" s="38"/>
      <c r="BF939" s="38"/>
    </row>
    <row r="940" spans="1:58" ht="22.5" hidden="1" customHeight="1">
      <c r="A940" s="33" t="str">
        <f>IF(OR(ISBLANK(E940),ISBLANK(C940)),"",IF(COUNTIF($E$8:E940,E940)&gt;1,"",(MAX($A$7:A939)+1)))</f>
        <v/>
      </c>
      <c r="B940" s="34" t="str">
        <f>IF(ISBLANK(C940),"",SUBTOTAL(3,$C$8:C940))</f>
        <v/>
      </c>
      <c r="C940" s="85"/>
      <c r="D940" s="50"/>
      <c r="E940" s="50"/>
      <c r="F940" s="35" t="str">
        <f t="shared" si="60"/>
        <v/>
      </c>
      <c r="G940" s="36" t="str">
        <f t="shared" si="61"/>
        <v/>
      </c>
      <c r="H940" s="51" t="str">
        <f t="shared" si="62"/>
        <v/>
      </c>
      <c r="I940" s="51" t="str">
        <f t="shared" si="62"/>
        <v/>
      </c>
      <c r="J940" s="51" t="str">
        <f t="shared" si="62"/>
        <v/>
      </c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37"/>
      <c r="AH940" s="37"/>
      <c r="AI940" s="37"/>
      <c r="AJ940" s="37"/>
      <c r="AK940" s="37"/>
      <c r="AM940" s="38"/>
      <c r="AN940" s="38"/>
      <c r="AO940" s="38"/>
      <c r="AP940" s="38"/>
      <c r="AQ940" s="38"/>
      <c r="AR940" s="38"/>
      <c r="AS940" s="38"/>
      <c r="AT940" s="38"/>
      <c r="AU940" s="38"/>
      <c r="AV940" s="38"/>
      <c r="AW940" s="38"/>
      <c r="AX940" s="38"/>
      <c r="AY940" s="38"/>
      <c r="AZ940" s="38"/>
      <c r="BA940" s="38"/>
      <c r="BB940" s="38"/>
      <c r="BC940" s="38"/>
      <c r="BD940" s="38"/>
      <c r="BE940" s="38"/>
      <c r="BF940" s="38"/>
    </row>
    <row r="941" spans="1:58" ht="22.5" hidden="1" customHeight="1">
      <c r="A941" s="33" t="str">
        <f>IF(OR(ISBLANK(E941),ISBLANK(C941)),"",IF(COUNTIF($E$8:E941,E941)&gt;1,"",(MAX($A$7:A940)+1)))</f>
        <v/>
      </c>
      <c r="B941" s="34" t="str">
        <f>IF(ISBLANK(C941),"",SUBTOTAL(3,$C$8:C941))</f>
        <v/>
      </c>
      <c r="C941" s="85"/>
      <c r="D941" s="50"/>
      <c r="E941" s="50"/>
      <c r="F941" s="35" t="str">
        <f t="shared" si="60"/>
        <v/>
      </c>
      <c r="G941" s="36" t="str">
        <f t="shared" si="61"/>
        <v/>
      </c>
      <c r="H941" s="51" t="str">
        <f t="shared" si="62"/>
        <v/>
      </c>
      <c r="I941" s="51" t="str">
        <f t="shared" si="62"/>
        <v/>
      </c>
      <c r="J941" s="51" t="str">
        <f t="shared" si="62"/>
        <v/>
      </c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37"/>
      <c r="AH941" s="37"/>
      <c r="AI941" s="37"/>
      <c r="AJ941" s="37"/>
      <c r="AK941" s="37"/>
      <c r="AM941" s="38"/>
      <c r="AN941" s="38"/>
      <c r="AO941" s="38"/>
      <c r="AP941" s="38"/>
      <c r="AQ941" s="38"/>
      <c r="AR941" s="38"/>
      <c r="AS941" s="38"/>
      <c r="AT941" s="38"/>
      <c r="AU941" s="38"/>
      <c r="AV941" s="38"/>
      <c r="AW941" s="38"/>
      <c r="AX941" s="38"/>
      <c r="AY941" s="38"/>
      <c r="AZ941" s="38"/>
      <c r="BA941" s="38"/>
      <c r="BB941" s="38"/>
      <c r="BC941" s="38"/>
      <c r="BD941" s="38"/>
      <c r="BE941" s="38"/>
      <c r="BF941" s="38"/>
    </row>
    <row r="942" spans="1:58" ht="22.5" hidden="1" customHeight="1">
      <c r="A942" s="33" t="str">
        <f>IF(OR(ISBLANK(E942),ISBLANK(C942)),"",IF(COUNTIF($E$8:E942,E942)&gt;1,"",(MAX($A$7:A941)+1)))</f>
        <v/>
      </c>
      <c r="B942" s="34" t="str">
        <f>IF(ISBLANK(C942),"",SUBTOTAL(3,$C$8:C942))</f>
        <v/>
      </c>
      <c r="C942" s="85"/>
      <c r="D942" s="50"/>
      <c r="E942" s="50"/>
      <c r="F942" s="35" t="str">
        <f t="shared" si="60"/>
        <v/>
      </c>
      <c r="G942" s="36" t="str">
        <f t="shared" si="61"/>
        <v/>
      </c>
      <c r="H942" s="51" t="str">
        <f t="shared" si="62"/>
        <v/>
      </c>
      <c r="I942" s="51" t="str">
        <f t="shared" si="62"/>
        <v/>
      </c>
      <c r="J942" s="51" t="str">
        <f t="shared" si="62"/>
        <v/>
      </c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  <c r="AJ942" s="37"/>
      <c r="AK942" s="37"/>
      <c r="AM942" s="38"/>
      <c r="AN942" s="38"/>
      <c r="AO942" s="38"/>
      <c r="AP942" s="38"/>
      <c r="AQ942" s="38"/>
      <c r="AR942" s="38"/>
      <c r="AS942" s="38"/>
      <c r="AT942" s="38"/>
      <c r="AU942" s="38"/>
      <c r="AV942" s="38"/>
      <c r="AW942" s="38"/>
      <c r="AX942" s="38"/>
      <c r="AY942" s="38"/>
      <c r="AZ942" s="38"/>
      <c r="BA942" s="38"/>
      <c r="BB942" s="38"/>
      <c r="BC942" s="38"/>
      <c r="BD942" s="38"/>
      <c r="BE942" s="38"/>
      <c r="BF942" s="38"/>
    </row>
    <row r="943" spans="1:58" ht="22.5" hidden="1" customHeight="1">
      <c r="A943" s="33" t="str">
        <f>IF(OR(ISBLANK(E943),ISBLANK(C943)),"",IF(COUNTIF($E$8:E943,E943)&gt;1,"",(MAX($A$7:A942)+1)))</f>
        <v/>
      </c>
      <c r="B943" s="34" t="str">
        <f>IF(ISBLANK(C943),"",SUBTOTAL(3,$C$8:C943))</f>
        <v/>
      </c>
      <c r="C943" s="85"/>
      <c r="D943" s="50"/>
      <c r="E943" s="50"/>
      <c r="F943" s="35" t="str">
        <f t="shared" si="60"/>
        <v/>
      </c>
      <c r="G943" s="36" t="str">
        <f t="shared" si="61"/>
        <v/>
      </c>
      <c r="H943" s="51" t="str">
        <f t="shared" si="62"/>
        <v/>
      </c>
      <c r="I943" s="51" t="str">
        <f t="shared" si="62"/>
        <v/>
      </c>
      <c r="J943" s="51" t="str">
        <f t="shared" si="62"/>
        <v/>
      </c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37"/>
      <c r="AH943" s="37"/>
      <c r="AI943" s="37"/>
      <c r="AJ943" s="37"/>
      <c r="AK943" s="37"/>
      <c r="AM943" s="38"/>
      <c r="AN943" s="38"/>
      <c r="AO943" s="38"/>
      <c r="AP943" s="38"/>
      <c r="AQ943" s="38"/>
      <c r="AR943" s="38"/>
      <c r="AS943" s="38"/>
      <c r="AT943" s="38"/>
      <c r="AU943" s="38"/>
      <c r="AV943" s="38"/>
      <c r="AW943" s="38"/>
      <c r="AX943" s="38"/>
      <c r="AY943" s="38"/>
      <c r="AZ943" s="38"/>
      <c r="BA943" s="38"/>
      <c r="BB943" s="38"/>
      <c r="BC943" s="38"/>
      <c r="BD943" s="38"/>
      <c r="BE943" s="38"/>
      <c r="BF943" s="38"/>
    </row>
    <row r="944" spans="1:58" ht="22.5" hidden="1" customHeight="1">
      <c r="A944" s="33" t="str">
        <f>IF(OR(ISBLANK(E944),ISBLANK(C944)),"",IF(COUNTIF($E$8:E944,E944)&gt;1,"",(MAX($A$7:A943)+1)))</f>
        <v/>
      </c>
      <c r="B944" s="34" t="str">
        <f>IF(ISBLANK(C944),"",SUBTOTAL(3,$C$8:C944))</f>
        <v/>
      </c>
      <c r="C944" s="85"/>
      <c r="D944" s="50"/>
      <c r="E944" s="50"/>
      <c r="F944" s="35" t="str">
        <f t="shared" si="60"/>
        <v/>
      </c>
      <c r="G944" s="36" t="str">
        <f t="shared" si="61"/>
        <v/>
      </c>
      <c r="H944" s="51" t="str">
        <f t="shared" si="62"/>
        <v/>
      </c>
      <c r="I944" s="51" t="str">
        <f t="shared" si="62"/>
        <v/>
      </c>
      <c r="J944" s="51" t="str">
        <f t="shared" si="62"/>
        <v/>
      </c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  <c r="AH944" s="37"/>
      <c r="AI944" s="37"/>
      <c r="AJ944" s="37"/>
      <c r="AK944" s="37"/>
      <c r="AM944" s="38"/>
      <c r="AN944" s="38"/>
      <c r="AO944" s="38"/>
      <c r="AP944" s="38"/>
      <c r="AQ944" s="38"/>
      <c r="AR944" s="38"/>
      <c r="AS944" s="38"/>
      <c r="AT944" s="38"/>
      <c r="AU944" s="38"/>
      <c r="AV944" s="38"/>
      <c r="AW944" s="38"/>
      <c r="AX944" s="38"/>
      <c r="AY944" s="38"/>
      <c r="AZ944" s="38"/>
      <c r="BA944" s="38"/>
      <c r="BB944" s="38"/>
      <c r="BC944" s="38"/>
      <c r="BD944" s="38"/>
      <c r="BE944" s="38"/>
      <c r="BF944" s="38"/>
    </row>
    <row r="945" spans="1:58" ht="22.5" hidden="1" customHeight="1">
      <c r="A945" s="33" t="str">
        <f>IF(OR(ISBLANK(E945),ISBLANK(C945)),"",IF(COUNTIF($E$8:E945,E945)&gt;1,"",(MAX($A$7:A944)+1)))</f>
        <v/>
      </c>
      <c r="B945" s="34" t="str">
        <f>IF(ISBLANK(C945),"",SUBTOTAL(3,$C$8:C945))</f>
        <v/>
      </c>
      <c r="C945" s="85"/>
      <c r="D945" s="50"/>
      <c r="E945" s="50"/>
      <c r="F945" s="35" t="str">
        <f t="shared" si="60"/>
        <v/>
      </c>
      <c r="G945" s="36" t="str">
        <f t="shared" si="61"/>
        <v/>
      </c>
      <c r="H945" s="51" t="str">
        <f t="shared" si="62"/>
        <v/>
      </c>
      <c r="I945" s="51" t="str">
        <f t="shared" si="62"/>
        <v/>
      </c>
      <c r="J945" s="51" t="str">
        <f t="shared" si="62"/>
        <v/>
      </c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37"/>
      <c r="AH945" s="37"/>
      <c r="AI945" s="37"/>
      <c r="AJ945" s="37"/>
      <c r="AK945" s="37"/>
      <c r="AM945" s="38"/>
      <c r="AN945" s="38"/>
      <c r="AO945" s="38"/>
      <c r="AP945" s="38"/>
      <c r="AQ945" s="38"/>
      <c r="AR945" s="38"/>
      <c r="AS945" s="38"/>
      <c r="AT945" s="38"/>
      <c r="AU945" s="38"/>
      <c r="AV945" s="38"/>
      <c r="AW945" s="38"/>
      <c r="AX945" s="38"/>
      <c r="AY945" s="38"/>
      <c r="AZ945" s="38"/>
      <c r="BA945" s="38"/>
      <c r="BB945" s="38"/>
      <c r="BC945" s="38"/>
      <c r="BD945" s="38"/>
      <c r="BE945" s="38"/>
      <c r="BF945" s="38"/>
    </row>
    <row r="946" spans="1:58" ht="22.5" hidden="1" customHeight="1">
      <c r="A946" s="33" t="str">
        <f>IF(OR(ISBLANK(E946),ISBLANK(C946)),"",IF(COUNTIF($E$8:E946,E946)&gt;1,"",(MAX($A$7:A945)+1)))</f>
        <v/>
      </c>
      <c r="B946" s="34" t="str">
        <f>IF(ISBLANK(C946),"",SUBTOTAL(3,$C$8:C946))</f>
        <v/>
      </c>
      <c r="C946" s="85"/>
      <c r="D946" s="50"/>
      <c r="E946" s="50"/>
      <c r="F946" s="35" t="str">
        <f t="shared" si="60"/>
        <v/>
      </c>
      <c r="G946" s="36" t="str">
        <f t="shared" si="61"/>
        <v/>
      </c>
      <c r="H946" s="51" t="str">
        <f t="shared" si="62"/>
        <v/>
      </c>
      <c r="I946" s="51" t="str">
        <f t="shared" si="62"/>
        <v/>
      </c>
      <c r="J946" s="51" t="str">
        <f t="shared" si="62"/>
        <v/>
      </c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37"/>
      <c r="AH946" s="37"/>
      <c r="AI946" s="37"/>
      <c r="AJ946" s="37"/>
      <c r="AK946" s="37"/>
      <c r="AM946" s="38"/>
      <c r="AN946" s="38"/>
      <c r="AO946" s="38"/>
      <c r="AP946" s="38"/>
      <c r="AQ946" s="38"/>
      <c r="AR946" s="38"/>
      <c r="AS946" s="38"/>
      <c r="AT946" s="38"/>
      <c r="AU946" s="38"/>
      <c r="AV946" s="38"/>
      <c r="AW946" s="38"/>
      <c r="AX946" s="38"/>
      <c r="AY946" s="38"/>
      <c r="AZ946" s="38"/>
      <c r="BA946" s="38"/>
      <c r="BB946" s="38"/>
      <c r="BC946" s="38"/>
      <c r="BD946" s="38"/>
      <c r="BE946" s="38"/>
      <c r="BF946" s="38"/>
    </row>
    <row r="947" spans="1:58" ht="22.5" hidden="1" customHeight="1">
      <c r="A947" s="33" t="str">
        <f>IF(OR(ISBLANK(E947),ISBLANK(C947)),"",IF(COUNTIF($E$8:E947,E947)&gt;1,"",(MAX($A$7:A946)+1)))</f>
        <v/>
      </c>
      <c r="B947" s="34" t="str">
        <f>IF(ISBLANK(C947),"",SUBTOTAL(3,$C$8:C947))</f>
        <v/>
      </c>
      <c r="C947" s="85"/>
      <c r="D947" s="50"/>
      <c r="E947" s="50"/>
      <c r="F947" s="35" t="str">
        <f t="shared" si="60"/>
        <v/>
      </c>
      <c r="G947" s="36" t="str">
        <f t="shared" si="61"/>
        <v/>
      </c>
      <c r="H947" s="51" t="str">
        <f t="shared" si="62"/>
        <v/>
      </c>
      <c r="I947" s="51" t="str">
        <f t="shared" si="62"/>
        <v/>
      </c>
      <c r="J947" s="51" t="str">
        <f t="shared" si="62"/>
        <v/>
      </c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37"/>
      <c r="AH947" s="37"/>
      <c r="AI947" s="37"/>
      <c r="AJ947" s="37"/>
      <c r="AK947" s="37"/>
      <c r="AM947" s="38"/>
      <c r="AN947" s="38"/>
      <c r="AO947" s="38"/>
      <c r="AP947" s="38"/>
      <c r="AQ947" s="38"/>
      <c r="AR947" s="38"/>
      <c r="AS947" s="38"/>
      <c r="AT947" s="38"/>
      <c r="AU947" s="38"/>
      <c r="AV947" s="38"/>
      <c r="AW947" s="38"/>
      <c r="AX947" s="38"/>
      <c r="AY947" s="38"/>
      <c r="AZ947" s="38"/>
      <c r="BA947" s="38"/>
      <c r="BB947" s="38"/>
      <c r="BC947" s="38"/>
      <c r="BD947" s="38"/>
      <c r="BE947" s="38"/>
      <c r="BF947" s="38"/>
    </row>
    <row r="948" spans="1:58" ht="22.5" hidden="1" customHeight="1">
      <c r="A948" s="33" t="str">
        <f>IF(OR(ISBLANK(E948),ISBLANK(C948)),"",IF(COUNTIF($E$8:E948,E948)&gt;1,"",(MAX($A$7:A947)+1)))</f>
        <v/>
      </c>
      <c r="B948" s="34" t="str">
        <f>IF(ISBLANK(C948),"",SUBTOTAL(3,$C$8:C948))</f>
        <v/>
      </c>
      <c r="C948" s="85"/>
      <c r="D948" s="50"/>
      <c r="E948" s="50"/>
      <c r="F948" s="35" t="str">
        <f t="shared" si="60"/>
        <v/>
      </c>
      <c r="G948" s="36" t="str">
        <f t="shared" si="61"/>
        <v/>
      </c>
      <c r="H948" s="51" t="str">
        <f t="shared" si="62"/>
        <v/>
      </c>
      <c r="I948" s="51" t="str">
        <f t="shared" si="62"/>
        <v/>
      </c>
      <c r="J948" s="51" t="str">
        <f t="shared" si="62"/>
        <v/>
      </c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37"/>
      <c r="AH948" s="37"/>
      <c r="AI948" s="37"/>
      <c r="AJ948" s="37"/>
      <c r="AK948" s="37"/>
      <c r="AM948" s="38"/>
      <c r="AN948" s="38"/>
      <c r="AO948" s="38"/>
      <c r="AP948" s="38"/>
      <c r="AQ948" s="38"/>
      <c r="AR948" s="38"/>
      <c r="AS948" s="38"/>
      <c r="AT948" s="38"/>
      <c r="AU948" s="38"/>
      <c r="AV948" s="38"/>
      <c r="AW948" s="38"/>
      <c r="AX948" s="38"/>
      <c r="AY948" s="38"/>
      <c r="AZ948" s="38"/>
      <c r="BA948" s="38"/>
      <c r="BB948" s="38"/>
      <c r="BC948" s="38"/>
      <c r="BD948" s="38"/>
      <c r="BE948" s="38"/>
      <c r="BF948" s="38"/>
    </row>
    <row r="949" spans="1:58" ht="22.5" hidden="1" customHeight="1">
      <c r="A949" s="33" t="str">
        <f>IF(OR(ISBLANK(E949),ISBLANK(C949)),"",IF(COUNTIF($E$8:E949,E949)&gt;1,"",(MAX($A$7:A948)+1)))</f>
        <v/>
      </c>
      <c r="B949" s="34" t="str">
        <f>IF(ISBLANK(C949),"",SUBTOTAL(3,$C$8:C949))</f>
        <v/>
      </c>
      <c r="C949" s="85"/>
      <c r="D949" s="50"/>
      <c r="E949" s="50"/>
      <c r="F949" s="35" t="str">
        <f t="shared" si="60"/>
        <v/>
      </c>
      <c r="G949" s="36" t="str">
        <f t="shared" si="61"/>
        <v/>
      </c>
      <c r="H949" s="51" t="str">
        <f t="shared" si="62"/>
        <v/>
      </c>
      <c r="I949" s="51" t="str">
        <f t="shared" si="62"/>
        <v/>
      </c>
      <c r="J949" s="51" t="str">
        <f t="shared" si="62"/>
        <v/>
      </c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37"/>
      <c r="AH949" s="37"/>
      <c r="AI949" s="37"/>
      <c r="AJ949" s="37"/>
      <c r="AK949" s="37"/>
      <c r="AM949" s="38"/>
      <c r="AN949" s="38"/>
      <c r="AO949" s="38"/>
      <c r="AP949" s="38"/>
      <c r="AQ949" s="38"/>
      <c r="AR949" s="38"/>
      <c r="AS949" s="38"/>
      <c r="AT949" s="38"/>
      <c r="AU949" s="38"/>
      <c r="AV949" s="38"/>
      <c r="AW949" s="38"/>
      <c r="AX949" s="38"/>
      <c r="AY949" s="38"/>
      <c r="AZ949" s="38"/>
      <c r="BA949" s="38"/>
      <c r="BB949" s="38"/>
      <c r="BC949" s="38"/>
      <c r="BD949" s="38"/>
      <c r="BE949" s="38"/>
      <c r="BF949" s="38"/>
    </row>
    <row r="950" spans="1:58" ht="22.5" hidden="1" customHeight="1">
      <c r="A950" s="33" t="str">
        <f>IF(OR(ISBLANK(E950),ISBLANK(C950)),"",IF(COUNTIF($E$8:E950,E950)&gt;1,"",(MAX($A$7:A949)+1)))</f>
        <v/>
      </c>
      <c r="B950" s="34" t="str">
        <f>IF(ISBLANK(C950),"",SUBTOTAL(3,$C$8:C950))</f>
        <v/>
      </c>
      <c r="C950" s="85"/>
      <c r="D950" s="50"/>
      <c r="E950" s="50"/>
      <c r="F950" s="35" t="str">
        <f t="shared" si="60"/>
        <v/>
      </c>
      <c r="G950" s="36" t="str">
        <f t="shared" si="61"/>
        <v/>
      </c>
      <c r="H950" s="51" t="str">
        <f t="shared" si="62"/>
        <v/>
      </c>
      <c r="I950" s="51" t="str">
        <f t="shared" si="62"/>
        <v/>
      </c>
      <c r="J950" s="51" t="str">
        <f t="shared" si="62"/>
        <v/>
      </c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37"/>
      <c r="AH950" s="37"/>
      <c r="AI950" s="37"/>
      <c r="AJ950" s="37"/>
      <c r="AK950" s="37"/>
      <c r="AM950" s="38"/>
      <c r="AN950" s="38"/>
      <c r="AO950" s="38"/>
      <c r="AP950" s="38"/>
      <c r="AQ950" s="38"/>
      <c r="AR950" s="38"/>
      <c r="AS950" s="38"/>
      <c r="AT950" s="38"/>
      <c r="AU950" s="38"/>
      <c r="AV950" s="38"/>
      <c r="AW950" s="38"/>
      <c r="AX950" s="38"/>
      <c r="AY950" s="38"/>
      <c r="AZ950" s="38"/>
      <c r="BA950" s="38"/>
      <c r="BB950" s="38"/>
      <c r="BC950" s="38"/>
      <c r="BD950" s="38"/>
      <c r="BE950" s="38"/>
      <c r="BF950" s="38"/>
    </row>
    <row r="951" spans="1:58" ht="22.5" hidden="1" customHeight="1">
      <c r="A951" s="33" t="str">
        <f>IF(OR(ISBLANK(E951),ISBLANK(C951)),"",IF(COUNTIF($E$8:E951,E951)&gt;1,"",(MAX($A$7:A950)+1)))</f>
        <v/>
      </c>
      <c r="B951" s="34" t="str">
        <f>IF(ISBLANK(C951),"",SUBTOTAL(3,$C$8:C951))</f>
        <v/>
      </c>
      <c r="C951" s="85"/>
      <c r="D951" s="50"/>
      <c r="E951" s="50"/>
      <c r="F951" s="35" t="str">
        <f t="shared" si="60"/>
        <v/>
      </c>
      <c r="G951" s="36" t="str">
        <f t="shared" si="61"/>
        <v/>
      </c>
      <c r="H951" s="51" t="str">
        <f t="shared" si="62"/>
        <v/>
      </c>
      <c r="I951" s="51" t="str">
        <f t="shared" si="62"/>
        <v/>
      </c>
      <c r="J951" s="51" t="str">
        <f t="shared" si="62"/>
        <v/>
      </c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37"/>
      <c r="AH951" s="37"/>
      <c r="AI951" s="37"/>
      <c r="AJ951" s="37"/>
      <c r="AK951" s="37"/>
      <c r="AM951" s="38"/>
      <c r="AN951" s="38"/>
      <c r="AO951" s="38"/>
      <c r="AP951" s="38"/>
      <c r="AQ951" s="38"/>
      <c r="AR951" s="38"/>
      <c r="AS951" s="38"/>
      <c r="AT951" s="38"/>
      <c r="AU951" s="38"/>
      <c r="AV951" s="38"/>
      <c r="AW951" s="38"/>
      <c r="AX951" s="38"/>
      <c r="AY951" s="38"/>
      <c r="AZ951" s="38"/>
      <c r="BA951" s="38"/>
      <c r="BB951" s="38"/>
      <c r="BC951" s="38"/>
      <c r="BD951" s="38"/>
      <c r="BE951" s="38"/>
      <c r="BF951" s="38"/>
    </row>
    <row r="952" spans="1:58" ht="22.5" hidden="1" customHeight="1">
      <c r="A952" s="33" t="str">
        <f>IF(OR(ISBLANK(E952),ISBLANK(C952)),"",IF(COUNTIF($E$8:E952,E952)&gt;1,"",(MAX($A$7:A951)+1)))</f>
        <v/>
      </c>
      <c r="B952" s="34" t="str">
        <f>IF(ISBLANK(C952),"",SUBTOTAL(3,$C$8:C952))</f>
        <v/>
      </c>
      <c r="C952" s="81"/>
      <c r="D952" s="52"/>
      <c r="E952" s="50"/>
      <c r="F952" s="35" t="str">
        <f t="shared" si="60"/>
        <v/>
      </c>
      <c r="G952" s="36" t="str">
        <f t="shared" si="61"/>
        <v/>
      </c>
      <c r="H952" s="51" t="str">
        <f t="shared" si="62"/>
        <v/>
      </c>
      <c r="I952" s="51" t="str">
        <f t="shared" si="62"/>
        <v/>
      </c>
      <c r="J952" s="51" t="str">
        <f t="shared" si="62"/>
        <v/>
      </c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37"/>
      <c r="AH952" s="37"/>
      <c r="AI952" s="37"/>
      <c r="AJ952" s="37"/>
      <c r="AK952" s="37"/>
      <c r="AM952" s="38"/>
      <c r="AN952" s="38"/>
      <c r="AO952" s="38"/>
      <c r="AP952" s="38"/>
      <c r="AQ952" s="38"/>
      <c r="AR952" s="38"/>
      <c r="AS952" s="38"/>
      <c r="AT952" s="38"/>
      <c r="AU952" s="38"/>
      <c r="AV952" s="38"/>
      <c r="AW952" s="38"/>
      <c r="AX952" s="38"/>
      <c r="AY952" s="38"/>
      <c r="AZ952" s="38"/>
      <c r="BA952" s="38"/>
      <c r="BB952" s="38"/>
      <c r="BC952" s="38"/>
      <c r="BD952" s="38"/>
      <c r="BE952" s="38"/>
      <c r="BF952" s="38"/>
    </row>
    <row r="953" spans="1:58" ht="22.5" hidden="1" customHeight="1">
      <c r="A953" s="33" t="str">
        <f>IF(OR(ISBLANK(E953),ISBLANK(C953)),"",IF(COUNTIF($E$8:E953,E953)&gt;1,"",(MAX($A$7:A952)+1)))</f>
        <v/>
      </c>
      <c r="B953" s="34" t="str">
        <f>IF(ISBLANK(C953),"",SUBTOTAL(3,$C$8:C953))</f>
        <v/>
      </c>
      <c r="C953" s="81"/>
      <c r="D953" s="52"/>
      <c r="E953" s="50"/>
      <c r="F953" s="35" t="str">
        <f t="shared" si="60"/>
        <v/>
      </c>
      <c r="G953" s="36" t="str">
        <f t="shared" si="61"/>
        <v/>
      </c>
      <c r="H953" s="51" t="str">
        <f t="shared" si="62"/>
        <v/>
      </c>
      <c r="I953" s="51" t="str">
        <f t="shared" si="62"/>
        <v/>
      </c>
      <c r="J953" s="51" t="str">
        <f t="shared" si="62"/>
        <v/>
      </c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37"/>
      <c r="AH953" s="37"/>
      <c r="AI953" s="37"/>
      <c r="AJ953" s="37"/>
      <c r="AK953" s="37"/>
      <c r="AM953" s="38"/>
      <c r="AN953" s="38"/>
      <c r="AO953" s="38"/>
      <c r="AP953" s="38"/>
      <c r="AQ953" s="38"/>
      <c r="AR953" s="38"/>
      <c r="AS953" s="38"/>
      <c r="AT953" s="38"/>
      <c r="AU953" s="38"/>
      <c r="AV953" s="38"/>
      <c r="AW953" s="38"/>
      <c r="AX953" s="38"/>
      <c r="AY953" s="38"/>
      <c r="AZ953" s="38"/>
      <c r="BA953" s="38"/>
      <c r="BB953" s="38"/>
      <c r="BC953" s="38"/>
      <c r="BD953" s="38"/>
      <c r="BE953" s="38"/>
      <c r="BF953" s="38"/>
    </row>
    <row r="954" spans="1:58" ht="22.5" hidden="1" customHeight="1">
      <c r="A954" s="33" t="str">
        <f>IF(OR(ISBLANK(E954),ISBLANK(C954)),"",IF(COUNTIF($E$8:E954,E954)&gt;1,"",(MAX($A$7:A953)+1)))</f>
        <v/>
      </c>
      <c r="B954" s="34" t="str">
        <f>IF(ISBLANK(C954),"",SUBTOTAL(3,$C$8:C954))</f>
        <v/>
      </c>
      <c r="C954" s="81"/>
      <c r="D954" s="52"/>
      <c r="E954" s="50"/>
      <c r="F954" s="35" t="str">
        <f t="shared" si="60"/>
        <v/>
      </c>
      <c r="G954" s="36" t="str">
        <f t="shared" si="61"/>
        <v/>
      </c>
      <c r="H954" s="51" t="str">
        <f t="shared" si="62"/>
        <v/>
      </c>
      <c r="I954" s="51" t="str">
        <f t="shared" si="62"/>
        <v/>
      </c>
      <c r="J954" s="51" t="str">
        <f t="shared" si="62"/>
        <v/>
      </c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37"/>
      <c r="AH954" s="37"/>
      <c r="AI954" s="37"/>
      <c r="AJ954" s="37"/>
      <c r="AK954" s="37"/>
      <c r="AM954" s="38"/>
      <c r="AN954" s="38"/>
      <c r="AO954" s="38"/>
      <c r="AP954" s="38"/>
      <c r="AQ954" s="38"/>
      <c r="AR954" s="38"/>
      <c r="AS954" s="38"/>
      <c r="AT954" s="38"/>
      <c r="AU954" s="38"/>
      <c r="AV954" s="38"/>
      <c r="AW954" s="38"/>
      <c r="AX954" s="38"/>
      <c r="AY954" s="38"/>
      <c r="AZ954" s="38"/>
      <c r="BA954" s="38"/>
      <c r="BB954" s="38"/>
      <c r="BC954" s="38"/>
      <c r="BD954" s="38"/>
      <c r="BE954" s="38"/>
      <c r="BF954" s="38"/>
    </row>
    <row r="955" spans="1:58" ht="22.5" hidden="1" customHeight="1">
      <c r="A955" s="33" t="str">
        <f>IF(OR(ISBLANK(E955),ISBLANK(C955)),"",IF(COUNTIF($E$8:E955,E955)&gt;1,"",(MAX($A$7:A954)+1)))</f>
        <v/>
      </c>
      <c r="B955" s="34" t="str">
        <f>IF(ISBLANK(C955),"",SUBTOTAL(3,$C$8:C955))</f>
        <v/>
      </c>
      <c r="C955" s="81"/>
      <c r="D955" s="52"/>
      <c r="E955" s="50"/>
      <c r="F955" s="35" t="str">
        <f t="shared" si="60"/>
        <v/>
      </c>
      <c r="G955" s="36" t="str">
        <f t="shared" si="61"/>
        <v/>
      </c>
      <c r="H955" s="51" t="str">
        <f t="shared" si="62"/>
        <v/>
      </c>
      <c r="I955" s="51" t="str">
        <f t="shared" si="62"/>
        <v/>
      </c>
      <c r="J955" s="51" t="str">
        <f t="shared" si="62"/>
        <v/>
      </c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37"/>
      <c r="AH955" s="37"/>
      <c r="AI955" s="37"/>
      <c r="AJ955" s="37"/>
      <c r="AK955" s="37"/>
      <c r="AM955" s="38"/>
      <c r="AN955" s="38"/>
      <c r="AO955" s="38"/>
      <c r="AP955" s="38"/>
      <c r="AQ955" s="38"/>
      <c r="AR955" s="38"/>
      <c r="AS955" s="38"/>
      <c r="AT955" s="38"/>
      <c r="AU955" s="38"/>
      <c r="AV955" s="38"/>
      <c r="AW955" s="38"/>
      <c r="AX955" s="38"/>
      <c r="AY955" s="38"/>
      <c r="AZ955" s="38"/>
      <c r="BA955" s="38"/>
      <c r="BB955" s="38"/>
      <c r="BC955" s="38"/>
      <c r="BD955" s="38"/>
      <c r="BE955" s="38"/>
      <c r="BF955" s="38"/>
    </row>
    <row r="956" spans="1:58" ht="22.5" hidden="1" customHeight="1">
      <c r="A956" s="33" t="str">
        <f>IF(OR(ISBLANK(E956),ISBLANK(C956)),"",IF(COUNTIF($E$8:E956,E956)&gt;1,"",(MAX($A$7:A955)+1)))</f>
        <v/>
      </c>
      <c r="B956" s="34" t="str">
        <f>IF(ISBLANK(C956),"",SUBTOTAL(3,$C$8:C956))</f>
        <v/>
      </c>
      <c r="C956" s="81"/>
      <c r="D956" s="58"/>
      <c r="E956" s="50"/>
      <c r="F956" s="35" t="str">
        <f t="shared" si="60"/>
        <v/>
      </c>
      <c r="G956" s="36" t="str">
        <f t="shared" si="61"/>
        <v/>
      </c>
      <c r="H956" s="51" t="str">
        <f t="shared" si="62"/>
        <v/>
      </c>
      <c r="I956" s="51" t="str">
        <f t="shared" si="62"/>
        <v/>
      </c>
      <c r="J956" s="51" t="str">
        <f t="shared" si="62"/>
        <v/>
      </c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37"/>
      <c r="AH956" s="37"/>
      <c r="AI956" s="37"/>
      <c r="AJ956" s="37"/>
      <c r="AK956" s="37"/>
      <c r="AM956" s="38"/>
      <c r="AN956" s="38"/>
      <c r="AO956" s="38"/>
      <c r="AP956" s="38"/>
      <c r="AQ956" s="38"/>
      <c r="AR956" s="38"/>
      <c r="AS956" s="38"/>
      <c r="AT956" s="38"/>
      <c r="AU956" s="38"/>
      <c r="AV956" s="38"/>
      <c r="AW956" s="38"/>
      <c r="AX956" s="38"/>
      <c r="AY956" s="38"/>
      <c r="AZ956" s="38"/>
      <c r="BA956" s="38"/>
      <c r="BB956" s="38"/>
      <c r="BC956" s="38"/>
      <c r="BD956" s="38"/>
      <c r="BE956" s="38"/>
      <c r="BF956" s="38"/>
    </row>
    <row r="957" spans="1:58" ht="22.5" hidden="1" customHeight="1">
      <c r="A957" s="33" t="str">
        <f>IF(OR(ISBLANK(E957),ISBLANK(C957)),"",IF(COUNTIF($E$8:E957,E957)&gt;1,"",(MAX($A$7:A956)+1)))</f>
        <v/>
      </c>
      <c r="B957" s="34" t="str">
        <f>IF(ISBLANK(C957),"",SUBTOTAL(3,$C$8:C957))</f>
        <v/>
      </c>
      <c r="C957" s="81"/>
      <c r="D957" s="52"/>
      <c r="E957" s="50"/>
      <c r="F957" s="35" t="str">
        <f t="shared" si="60"/>
        <v/>
      </c>
      <c r="G957" s="36" t="str">
        <f t="shared" si="61"/>
        <v/>
      </c>
      <c r="H957" s="51" t="str">
        <f t="shared" si="62"/>
        <v/>
      </c>
      <c r="I957" s="51" t="str">
        <f t="shared" si="62"/>
        <v/>
      </c>
      <c r="J957" s="51" t="str">
        <f t="shared" si="62"/>
        <v/>
      </c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37"/>
      <c r="AH957" s="37"/>
      <c r="AI957" s="37"/>
      <c r="AJ957" s="37"/>
      <c r="AK957" s="37"/>
      <c r="AM957" s="38"/>
      <c r="AN957" s="38"/>
      <c r="AO957" s="38"/>
      <c r="AP957" s="38"/>
      <c r="AQ957" s="38"/>
      <c r="AR957" s="38"/>
      <c r="AS957" s="38"/>
      <c r="AT957" s="38"/>
      <c r="AU957" s="38"/>
      <c r="AV957" s="38"/>
      <c r="AW957" s="38"/>
      <c r="AX957" s="38"/>
      <c r="AY957" s="38"/>
      <c r="AZ957" s="38"/>
      <c r="BA957" s="38"/>
      <c r="BB957" s="38"/>
      <c r="BC957" s="38"/>
      <c r="BD957" s="38"/>
      <c r="BE957" s="38"/>
      <c r="BF957" s="38"/>
    </row>
    <row r="958" spans="1:58" ht="22.5" hidden="1" customHeight="1">
      <c r="A958" s="33" t="str">
        <f>IF(OR(ISBLANK(E958),ISBLANK(C958)),"",IF(COUNTIF($E$8:E958,E958)&gt;1,"",(MAX($A$7:A957)+1)))</f>
        <v/>
      </c>
      <c r="B958" s="34" t="str">
        <f>IF(ISBLANK(C958),"",SUBTOTAL(3,$C$8:C958))</f>
        <v/>
      </c>
      <c r="C958" s="81"/>
      <c r="D958" s="50"/>
      <c r="E958" s="50"/>
      <c r="F958" s="35" t="str">
        <f t="shared" si="60"/>
        <v/>
      </c>
      <c r="G958" s="36" t="str">
        <f t="shared" si="61"/>
        <v/>
      </c>
      <c r="H958" s="51" t="str">
        <f t="shared" si="62"/>
        <v/>
      </c>
      <c r="I958" s="51" t="str">
        <f t="shared" si="62"/>
        <v/>
      </c>
      <c r="J958" s="51" t="str">
        <f t="shared" si="62"/>
        <v/>
      </c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  <c r="AH958" s="37"/>
      <c r="AI958" s="37"/>
      <c r="AJ958" s="37"/>
      <c r="AK958" s="37"/>
      <c r="AM958" s="38"/>
      <c r="AN958" s="38"/>
      <c r="AO958" s="38"/>
      <c r="AP958" s="38"/>
      <c r="AQ958" s="38"/>
      <c r="AR958" s="38"/>
      <c r="AS958" s="38"/>
      <c r="AT958" s="38"/>
      <c r="AU958" s="38"/>
      <c r="AV958" s="38"/>
      <c r="AW958" s="38"/>
      <c r="AX958" s="38"/>
      <c r="AY958" s="38"/>
      <c r="AZ958" s="38"/>
      <c r="BA958" s="38"/>
      <c r="BB958" s="38"/>
      <c r="BC958" s="38"/>
      <c r="BD958" s="38"/>
      <c r="BE958" s="38"/>
      <c r="BF958" s="38"/>
    </row>
    <row r="959" spans="1:58" ht="22.5" hidden="1" customHeight="1">
      <c r="A959" s="33" t="str">
        <f>IF(OR(ISBLANK(E959),ISBLANK(C959)),"",IF(COUNTIF($E$8:E959,E959)&gt;1,"",(MAX($A$7:A958)+1)))</f>
        <v/>
      </c>
      <c r="B959" s="34" t="str">
        <f>IF(ISBLANK(C959),"",SUBTOTAL(3,$C$8:C959))</f>
        <v/>
      </c>
      <c r="C959" s="81"/>
      <c r="D959" s="50"/>
      <c r="E959" s="50"/>
      <c r="F959" s="35" t="str">
        <f t="shared" si="60"/>
        <v/>
      </c>
      <c r="G959" s="36" t="str">
        <f t="shared" si="61"/>
        <v/>
      </c>
      <c r="H959" s="51" t="str">
        <f t="shared" si="62"/>
        <v/>
      </c>
      <c r="I959" s="51" t="str">
        <f t="shared" si="62"/>
        <v/>
      </c>
      <c r="J959" s="51" t="str">
        <f t="shared" si="62"/>
        <v/>
      </c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  <c r="AG959" s="37"/>
      <c r="AH959" s="37"/>
      <c r="AI959" s="37"/>
      <c r="AJ959" s="37"/>
      <c r="AK959" s="37"/>
      <c r="AM959" s="38"/>
      <c r="AN959" s="38"/>
      <c r="AO959" s="38"/>
      <c r="AP959" s="38"/>
      <c r="AQ959" s="38"/>
      <c r="AR959" s="38"/>
      <c r="AS959" s="38"/>
      <c r="AT959" s="38"/>
      <c r="AU959" s="38"/>
      <c r="AV959" s="38"/>
      <c r="AW959" s="38"/>
      <c r="AX959" s="38"/>
      <c r="AY959" s="38"/>
      <c r="AZ959" s="38"/>
      <c r="BA959" s="38"/>
      <c r="BB959" s="38"/>
      <c r="BC959" s="38"/>
      <c r="BD959" s="38"/>
      <c r="BE959" s="38"/>
      <c r="BF959" s="38"/>
    </row>
    <row r="960" spans="1:58" ht="22.5" hidden="1" customHeight="1">
      <c r="A960" s="33" t="str">
        <f>IF(OR(ISBLANK(E960),ISBLANK(C960)),"",IF(COUNTIF($E$8:E960,E960)&gt;1,"",(MAX($A$7:A959)+1)))</f>
        <v/>
      </c>
      <c r="B960" s="34" t="str">
        <f>IF(ISBLANK(C960),"",SUBTOTAL(3,$C$8:C960))</f>
        <v/>
      </c>
      <c r="C960" s="81"/>
      <c r="D960" s="50"/>
      <c r="E960" s="50"/>
      <c r="F960" s="35" t="str">
        <f t="shared" si="60"/>
        <v/>
      </c>
      <c r="G960" s="36" t="str">
        <f t="shared" si="61"/>
        <v/>
      </c>
      <c r="H960" s="51" t="str">
        <f t="shared" si="62"/>
        <v/>
      </c>
      <c r="I960" s="51" t="str">
        <f t="shared" si="62"/>
        <v/>
      </c>
      <c r="J960" s="51" t="str">
        <f t="shared" si="62"/>
        <v/>
      </c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  <c r="AG960" s="37"/>
      <c r="AH960" s="37"/>
      <c r="AI960" s="37"/>
      <c r="AJ960" s="37"/>
      <c r="AK960" s="37"/>
      <c r="AM960" s="38"/>
      <c r="AN960" s="38"/>
      <c r="AO960" s="38"/>
      <c r="AP960" s="38"/>
      <c r="AQ960" s="38"/>
      <c r="AR960" s="38"/>
      <c r="AS960" s="38"/>
      <c r="AT960" s="38"/>
      <c r="AU960" s="38"/>
      <c r="AV960" s="38"/>
      <c r="AW960" s="38"/>
      <c r="AX960" s="38"/>
      <c r="AY960" s="38"/>
      <c r="AZ960" s="38"/>
      <c r="BA960" s="38"/>
      <c r="BB960" s="38"/>
      <c r="BC960" s="38"/>
      <c r="BD960" s="38"/>
      <c r="BE960" s="38"/>
      <c r="BF960" s="38"/>
    </row>
    <row r="961" spans="1:58" ht="22.5" hidden="1" customHeight="1">
      <c r="A961" s="33" t="str">
        <f>IF(OR(ISBLANK(E961),ISBLANK(C961)),"",IF(COUNTIF($E$8:E961,E961)&gt;1,"",(MAX($A$7:A960)+1)))</f>
        <v/>
      </c>
      <c r="B961" s="34" t="str">
        <f>IF(ISBLANK(C961),"",SUBTOTAL(3,$C$8:C961))</f>
        <v/>
      </c>
      <c r="C961" s="81"/>
      <c r="D961" s="50"/>
      <c r="E961" s="50"/>
      <c r="F961" s="35" t="str">
        <f t="shared" si="60"/>
        <v/>
      </c>
      <c r="G961" s="36" t="str">
        <f t="shared" si="61"/>
        <v/>
      </c>
      <c r="H961" s="51" t="str">
        <f t="shared" si="62"/>
        <v/>
      </c>
      <c r="I961" s="51" t="str">
        <f t="shared" si="62"/>
        <v/>
      </c>
      <c r="J961" s="51" t="str">
        <f t="shared" si="62"/>
        <v/>
      </c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  <c r="AG961" s="37"/>
      <c r="AH961" s="37"/>
      <c r="AI961" s="37"/>
      <c r="AJ961" s="37"/>
      <c r="AK961" s="37"/>
      <c r="AM961" s="38"/>
      <c r="AN961" s="38"/>
      <c r="AO961" s="38"/>
      <c r="AP961" s="38"/>
      <c r="AQ961" s="38"/>
      <c r="AR961" s="38"/>
      <c r="AS961" s="38"/>
      <c r="AT961" s="38"/>
      <c r="AU961" s="38"/>
      <c r="AV961" s="38"/>
      <c r="AW961" s="38"/>
      <c r="AX961" s="38"/>
      <c r="AY961" s="38"/>
      <c r="AZ961" s="38"/>
      <c r="BA961" s="38"/>
      <c r="BB961" s="38"/>
      <c r="BC961" s="38"/>
      <c r="BD961" s="38"/>
      <c r="BE961" s="38"/>
      <c r="BF961" s="38"/>
    </row>
    <row r="962" spans="1:58" ht="22.5" hidden="1" customHeight="1">
      <c r="A962" s="33" t="str">
        <f>IF(OR(ISBLANK(E962),ISBLANK(C962)),"",IF(COUNTIF($E$8:E962,E962)&gt;1,"",(MAX($A$7:A961)+1)))</f>
        <v/>
      </c>
      <c r="B962" s="34" t="str">
        <f>IF(ISBLANK(C962),"",SUBTOTAL(3,$C$8:C962))</f>
        <v/>
      </c>
      <c r="C962" s="81"/>
      <c r="D962" s="50"/>
      <c r="E962" s="50"/>
      <c r="F962" s="35" t="str">
        <f t="shared" si="60"/>
        <v/>
      </c>
      <c r="G962" s="36" t="str">
        <f t="shared" si="61"/>
        <v/>
      </c>
      <c r="H962" s="51" t="str">
        <f t="shared" si="62"/>
        <v/>
      </c>
      <c r="I962" s="51" t="str">
        <f t="shared" si="62"/>
        <v/>
      </c>
      <c r="J962" s="51" t="str">
        <f t="shared" si="62"/>
        <v/>
      </c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  <c r="AH962" s="37"/>
      <c r="AI962" s="37"/>
      <c r="AJ962" s="37"/>
      <c r="AK962" s="37"/>
      <c r="AM962" s="38"/>
      <c r="AN962" s="38"/>
      <c r="AO962" s="38"/>
      <c r="AP962" s="38"/>
      <c r="AQ962" s="38"/>
      <c r="AR962" s="38"/>
      <c r="AS962" s="38"/>
      <c r="AT962" s="38"/>
      <c r="AU962" s="38"/>
      <c r="AV962" s="38"/>
      <c r="AW962" s="38"/>
      <c r="AX962" s="38"/>
      <c r="AY962" s="38"/>
      <c r="AZ962" s="38"/>
      <c r="BA962" s="38"/>
      <c r="BB962" s="38"/>
      <c r="BC962" s="38"/>
      <c r="BD962" s="38"/>
      <c r="BE962" s="38"/>
      <c r="BF962" s="38"/>
    </row>
    <row r="963" spans="1:58" ht="22.5" hidden="1" customHeight="1">
      <c r="A963" s="33" t="str">
        <f>IF(OR(ISBLANK(E963),ISBLANK(C963)),"",IF(COUNTIF($E$8:E963,E963)&gt;1,"",(MAX($A$7:A962)+1)))</f>
        <v/>
      </c>
      <c r="B963" s="34" t="str">
        <f>IF(ISBLANK(C963),"",SUBTOTAL(3,$C$8:C963))</f>
        <v/>
      </c>
      <c r="C963" s="81"/>
      <c r="D963" s="50"/>
      <c r="E963" s="50"/>
      <c r="F963" s="35" t="str">
        <f t="shared" si="60"/>
        <v/>
      </c>
      <c r="G963" s="36" t="str">
        <f t="shared" si="61"/>
        <v/>
      </c>
      <c r="H963" s="51" t="str">
        <f t="shared" si="62"/>
        <v/>
      </c>
      <c r="I963" s="51" t="str">
        <f t="shared" si="62"/>
        <v/>
      </c>
      <c r="J963" s="51" t="str">
        <f t="shared" si="62"/>
        <v/>
      </c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  <c r="AE963" s="37"/>
      <c r="AF963" s="37"/>
      <c r="AG963" s="37"/>
      <c r="AH963" s="37"/>
      <c r="AI963" s="37"/>
      <c r="AJ963" s="37"/>
      <c r="AK963" s="37"/>
      <c r="AM963" s="38"/>
      <c r="AN963" s="38"/>
      <c r="AO963" s="38"/>
      <c r="AP963" s="38"/>
      <c r="AQ963" s="38"/>
      <c r="AR963" s="38"/>
      <c r="AS963" s="38"/>
      <c r="AT963" s="38"/>
      <c r="AU963" s="38"/>
      <c r="AV963" s="38"/>
      <c r="AW963" s="38"/>
      <c r="AX963" s="38"/>
      <c r="AY963" s="38"/>
      <c r="AZ963" s="38"/>
      <c r="BA963" s="38"/>
      <c r="BB963" s="38"/>
      <c r="BC963" s="38"/>
      <c r="BD963" s="38"/>
      <c r="BE963" s="38"/>
      <c r="BF963" s="38"/>
    </row>
    <row r="964" spans="1:58" ht="22.5" hidden="1" customHeight="1">
      <c r="A964" s="33" t="str">
        <f>IF(OR(ISBLANK(E964),ISBLANK(C964)),"",IF(COUNTIF($E$8:E964,E964)&gt;1,"",(MAX($A$7:A963)+1)))</f>
        <v/>
      </c>
      <c r="B964" s="34" t="str">
        <f>IF(ISBLANK(C964),"",SUBTOTAL(3,$C$8:C964))</f>
        <v/>
      </c>
      <c r="C964" s="81"/>
      <c r="D964" s="50"/>
      <c r="E964" s="50"/>
      <c r="F964" s="35" t="str">
        <f t="shared" si="60"/>
        <v/>
      </c>
      <c r="G964" s="36" t="str">
        <f t="shared" si="61"/>
        <v/>
      </c>
      <c r="H964" s="51" t="str">
        <f t="shared" si="62"/>
        <v/>
      </c>
      <c r="I964" s="51" t="str">
        <f t="shared" si="62"/>
        <v/>
      </c>
      <c r="J964" s="51" t="str">
        <f t="shared" si="62"/>
        <v/>
      </c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  <c r="AE964" s="37"/>
      <c r="AF964" s="37"/>
      <c r="AG964" s="37"/>
      <c r="AH964" s="37"/>
      <c r="AI964" s="37"/>
      <c r="AJ964" s="37"/>
      <c r="AK964" s="37"/>
      <c r="AM964" s="38"/>
      <c r="AN964" s="38"/>
      <c r="AO964" s="38"/>
      <c r="AP964" s="38"/>
      <c r="AQ964" s="38"/>
      <c r="AR964" s="38"/>
      <c r="AS964" s="38"/>
      <c r="AT964" s="38"/>
      <c r="AU964" s="38"/>
      <c r="AV964" s="38"/>
      <c r="AW964" s="38"/>
      <c r="AX964" s="38"/>
      <c r="AY964" s="38"/>
      <c r="AZ964" s="38"/>
      <c r="BA964" s="38"/>
      <c r="BB964" s="38"/>
      <c r="BC964" s="38"/>
      <c r="BD964" s="38"/>
      <c r="BE964" s="38"/>
      <c r="BF964" s="38"/>
    </row>
    <row r="965" spans="1:58" ht="22.5" hidden="1" customHeight="1">
      <c r="A965" s="33" t="str">
        <f>IF(OR(ISBLANK(E965),ISBLANK(C965)),"",IF(COUNTIF($E$8:E965,E965)&gt;1,"",(MAX($A$7:A964)+1)))</f>
        <v/>
      </c>
      <c r="B965" s="34" t="str">
        <f>IF(ISBLANK(C965),"",SUBTOTAL(3,$C$8:C965))</f>
        <v/>
      </c>
      <c r="C965" s="81"/>
      <c r="D965" s="50"/>
      <c r="E965" s="50"/>
      <c r="F965" s="35" t="str">
        <f t="shared" si="60"/>
        <v/>
      </c>
      <c r="G965" s="36" t="str">
        <f t="shared" si="61"/>
        <v/>
      </c>
      <c r="H965" s="51" t="str">
        <f t="shared" si="62"/>
        <v/>
      </c>
      <c r="I965" s="51" t="str">
        <f t="shared" si="62"/>
        <v/>
      </c>
      <c r="J965" s="51" t="str">
        <f t="shared" si="62"/>
        <v/>
      </c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  <c r="AG965" s="37"/>
      <c r="AH965" s="37"/>
      <c r="AI965" s="37"/>
      <c r="AJ965" s="37"/>
      <c r="AK965" s="37"/>
      <c r="AM965" s="38"/>
      <c r="AN965" s="38"/>
      <c r="AO965" s="38"/>
      <c r="AP965" s="38"/>
      <c r="AQ965" s="38"/>
      <c r="AR965" s="38"/>
      <c r="AS965" s="38"/>
      <c r="AT965" s="38"/>
      <c r="AU965" s="38"/>
      <c r="AV965" s="38"/>
      <c r="AW965" s="38"/>
      <c r="AX965" s="38"/>
      <c r="AY965" s="38"/>
      <c r="AZ965" s="38"/>
      <c r="BA965" s="38"/>
      <c r="BB965" s="38"/>
      <c r="BC965" s="38"/>
      <c r="BD965" s="38"/>
      <c r="BE965" s="38"/>
      <c r="BF965" s="38"/>
    </row>
    <row r="966" spans="1:58" ht="22.5" hidden="1" customHeight="1">
      <c r="A966" s="33" t="str">
        <f>IF(OR(ISBLANK(E966),ISBLANK(C966)),"",IF(COUNTIF($E$8:E966,E966)&gt;1,"",(MAX($A$7:A965)+1)))</f>
        <v/>
      </c>
      <c r="B966" s="34" t="str">
        <f>IF(ISBLANK(C966),"",SUBTOTAL(3,$C$8:C966))</f>
        <v/>
      </c>
      <c r="C966" s="81"/>
      <c r="D966" s="50"/>
      <c r="E966" s="50"/>
      <c r="F966" s="35" t="str">
        <f t="shared" si="60"/>
        <v/>
      </c>
      <c r="G966" s="36" t="str">
        <f t="shared" si="61"/>
        <v/>
      </c>
      <c r="H966" s="51" t="str">
        <f t="shared" si="62"/>
        <v/>
      </c>
      <c r="I966" s="51" t="str">
        <f t="shared" si="62"/>
        <v/>
      </c>
      <c r="J966" s="51" t="str">
        <f t="shared" si="62"/>
        <v/>
      </c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  <c r="AH966" s="37"/>
      <c r="AI966" s="37"/>
      <c r="AJ966" s="37"/>
      <c r="AK966" s="37"/>
      <c r="AM966" s="38"/>
      <c r="AN966" s="38"/>
      <c r="AO966" s="38"/>
      <c r="AP966" s="38"/>
      <c r="AQ966" s="38"/>
      <c r="AR966" s="38"/>
      <c r="AS966" s="38"/>
      <c r="AT966" s="38"/>
      <c r="AU966" s="38"/>
      <c r="AV966" s="38"/>
      <c r="AW966" s="38"/>
      <c r="AX966" s="38"/>
      <c r="AY966" s="38"/>
      <c r="AZ966" s="38"/>
      <c r="BA966" s="38"/>
      <c r="BB966" s="38"/>
      <c r="BC966" s="38"/>
      <c r="BD966" s="38"/>
      <c r="BE966" s="38"/>
      <c r="BF966" s="38"/>
    </row>
    <row r="967" spans="1:58" ht="22.5" hidden="1" customHeight="1">
      <c r="A967" s="33" t="str">
        <f>IF(OR(ISBLANK(E967),ISBLANK(C967)),"",IF(COUNTIF($E$8:E967,E967)&gt;1,"",(MAX($A$7:A966)+1)))</f>
        <v/>
      </c>
      <c r="B967" s="34" t="str">
        <f>IF(ISBLANK(C967),"",SUBTOTAL(3,$C$8:C967))</f>
        <v/>
      </c>
      <c r="C967" s="81"/>
      <c r="D967" s="50"/>
      <c r="E967" s="50"/>
      <c r="F967" s="35" t="str">
        <f t="shared" si="60"/>
        <v/>
      </c>
      <c r="G967" s="36" t="str">
        <f t="shared" si="61"/>
        <v/>
      </c>
      <c r="H967" s="51" t="str">
        <f t="shared" si="62"/>
        <v/>
      </c>
      <c r="I967" s="51" t="str">
        <f t="shared" si="62"/>
        <v/>
      </c>
      <c r="J967" s="51" t="str">
        <f t="shared" si="62"/>
        <v/>
      </c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  <c r="AG967" s="37"/>
      <c r="AH967" s="37"/>
      <c r="AI967" s="37"/>
      <c r="AJ967" s="37"/>
      <c r="AK967" s="37"/>
      <c r="AM967" s="38"/>
      <c r="AN967" s="38"/>
      <c r="AO967" s="38"/>
      <c r="AP967" s="38"/>
      <c r="AQ967" s="38"/>
      <c r="AR967" s="38"/>
      <c r="AS967" s="38"/>
      <c r="AT967" s="38"/>
      <c r="AU967" s="38"/>
      <c r="AV967" s="38"/>
      <c r="AW967" s="38"/>
      <c r="AX967" s="38"/>
      <c r="AY967" s="38"/>
      <c r="AZ967" s="38"/>
      <c r="BA967" s="38"/>
      <c r="BB967" s="38"/>
      <c r="BC967" s="38"/>
      <c r="BD967" s="38"/>
      <c r="BE967" s="38"/>
      <c r="BF967" s="38"/>
    </row>
    <row r="968" spans="1:58" ht="22.5" hidden="1" customHeight="1">
      <c r="A968" s="33" t="str">
        <f>IF(OR(ISBLANK(E968),ISBLANK(C968)),"",IF(COUNTIF($E$8:E968,E968)&gt;1,"",(MAX($A$7:A967)+1)))</f>
        <v/>
      </c>
      <c r="B968" s="34" t="str">
        <f>IF(ISBLANK(C968),"",SUBTOTAL(3,$C$8:C968))</f>
        <v/>
      </c>
      <c r="C968" s="81"/>
      <c r="D968" s="50"/>
      <c r="E968" s="50"/>
      <c r="F968" s="35" t="str">
        <f t="shared" ref="F968:F1031" si="63">IFERROR(IF(OR(ISBLANK($C968),B968=""),"",INDEX(Luonggio,MATCH($C968,MaNVLuong,0))),"")</f>
        <v/>
      </c>
      <c r="G968" s="36" t="str">
        <f t="shared" si="61"/>
        <v/>
      </c>
      <c r="H968" s="51" t="str">
        <f t="shared" si="62"/>
        <v/>
      </c>
      <c r="I968" s="51" t="str">
        <f t="shared" si="62"/>
        <v/>
      </c>
      <c r="J968" s="51" t="str">
        <f t="shared" si="62"/>
        <v/>
      </c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  <c r="AE968" s="37"/>
      <c r="AF968" s="37"/>
      <c r="AG968" s="37"/>
      <c r="AH968" s="37"/>
      <c r="AI968" s="37"/>
      <c r="AJ968" s="37"/>
      <c r="AK968" s="37"/>
      <c r="AM968" s="38"/>
      <c r="AN968" s="38"/>
      <c r="AO968" s="38"/>
      <c r="AP968" s="38"/>
      <c r="AQ968" s="38"/>
      <c r="AR968" s="38"/>
      <c r="AS968" s="38"/>
      <c r="AT968" s="38"/>
      <c r="AU968" s="38"/>
      <c r="AV968" s="38"/>
      <c r="AW968" s="38"/>
      <c r="AX968" s="38"/>
      <c r="AY968" s="38"/>
      <c r="AZ968" s="38"/>
      <c r="BA968" s="38"/>
      <c r="BB968" s="38"/>
      <c r="BC968" s="38"/>
      <c r="BD968" s="38"/>
      <c r="BE968" s="38"/>
      <c r="BF968" s="38"/>
    </row>
    <row r="969" spans="1:58" ht="22.5" hidden="1" customHeight="1">
      <c r="A969" s="33" t="str">
        <f>IF(OR(ISBLANK(E969),ISBLANK(C969)),"",IF(COUNTIF($E$8:E969,E969)&gt;1,"",(MAX($A$7:A968)+1)))</f>
        <v/>
      </c>
      <c r="B969" s="34" t="str">
        <f>IF(ISBLANK(C969),"",SUBTOTAL(3,$C$8:C969))</f>
        <v/>
      </c>
      <c r="C969" s="81"/>
      <c r="D969" s="50"/>
      <c r="E969" s="50"/>
      <c r="F969" s="35" t="str">
        <f t="shared" si="63"/>
        <v/>
      </c>
      <c r="G969" s="36" t="str">
        <f t="shared" ref="G969:G1032" si="64">IF(COUNTIF(H969:J969,"&gt;0")=0,"",IF(AND(OR(OR(SUM(H969)&gt;=2)),SUM(H969:J969)&gt;=4,OR(OR(SUM(I969)&gt;=1))),"A",IF(OR(OR(SUM(H969)&gt;=3)),"A",IF(AND(SUM(I969)&gt;=2,SUM(H969)=1),"B",IF(AND(SUM(I969)&gt;=1,SUM(H969)=2),"B",IF(H969=2,"B",IF(SUM(I969)&gt;=2,"C",IF(H969=1,"C",IF(AND(H969=1,I969=1),"C",IF(AND(SUM(H969:I969)=0,SUM(J969)&lt;=1),"D","D"))))))))))</f>
        <v/>
      </c>
      <c r="H969" s="51" t="str">
        <f t="shared" si="62"/>
        <v/>
      </c>
      <c r="I969" s="51" t="str">
        <f t="shared" si="62"/>
        <v/>
      </c>
      <c r="J969" s="51" t="str">
        <f t="shared" si="62"/>
        <v/>
      </c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  <c r="AE969" s="37"/>
      <c r="AF969" s="37"/>
      <c r="AG969" s="37"/>
      <c r="AH969" s="37"/>
      <c r="AI969" s="37"/>
      <c r="AJ969" s="37"/>
      <c r="AK969" s="37"/>
      <c r="AM969" s="38"/>
      <c r="AN969" s="38"/>
      <c r="AO969" s="38"/>
      <c r="AP969" s="38"/>
      <c r="AQ969" s="38"/>
      <c r="AR969" s="38"/>
      <c r="AS969" s="38"/>
      <c r="AT969" s="38"/>
      <c r="AU969" s="38"/>
      <c r="AV969" s="38"/>
      <c r="AW969" s="38"/>
      <c r="AX969" s="38"/>
      <c r="AY969" s="38"/>
      <c r="AZ969" s="38"/>
      <c r="BA969" s="38"/>
      <c r="BB969" s="38"/>
      <c r="BC969" s="38"/>
      <c r="BD969" s="38"/>
      <c r="BE969" s="38"/>
      <c r="BF969" s="38"/>
    </row>
    <row r="970" spans="1:58" ht="22.5" hidden="1" customHeight="1">
      <c r="A970" s="33" t="str">
        <f>IF(OR(ISBLANK(E970),ISBLANK(C970)),"",IF(COUNTIF($E$8:E970,E970)&gt;1,"",(MAX($A$7:A969)+1)))</f>
        <v/>
      </c>
      <c r="B970" s="34" t="str">
        <f>IF(ISBLANK(C970),"",SUBTOTAL(3,$C$8:C970))</f>
        <v/>
      </c>
      <c r="C970" s="81"/>
      <c r="D970" s="50"/>
      <c r="E970" s="50"/>
      <c r="F970" s="35" t="str">
        <f t="shared" si="63"/>
        <v/>
      </c>
      <c r="G970" s="36" t="str">
        <f t="shared" si="64"/>
        <v/>
      </c>
      <c r="H970" s="51" t="str">
        <f t="shared" si="62"/>
        <v/>
      </c>
      <c r="I970" s="51" t="str">
        <f t="shared" si="62"/>
        <v/>
      </c>
      <c r="J970" s="51" t="str">
        <f t="shared" si="62"/>
        <v/>
      </c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  <c r="AE970" s="37"/>
      <c r="AF970" s="37"/>
      <c r="AG970" s="37"/>
      <c r="AH970" s="37"/>
      <c r="AI970" s="37"/>
      <c r="AJ970" s="37"/>
      <c r="AK970" s="37"/>
      <c r="AM970" s="38"/>
      <c r="AN970" s="38"/>
      <c r="AO970" s="38"/>
      <c r="AP970" s="38"/>
      <c r="AQ970" s="38"/>
      <c r="AR970" s="38"/>
      <c r="AS970" s="38"/>
      <c r="AT970" s="38"/>
      <c r="AU970" s="38"/>
      <c r="AV970" s="38"/>
      <c r="AW970" s="38"/>
      <c r="AX970" s="38"/>
      <c r="AY970" s="38"/>
      <c r="AZ970" s="38"/>
      <c r="BA970" s="38"/>
      <c r="BB970" s="38"/>
      <c r="BC970" s="38"/>
      <c r="BD970" s="38"/>
      <c r="BE970" s="38"/>
      <c r="BF970" s="38"/>
    </row>
    <row r="971" spans="1:58" ht="22.5" hidden="1" customHeight="1">
      <c r="A971" s="33" t="str">
        <f>IF(OR(ISBLANK(E971),ISBLANK(C971)),"",IF(COUNTIF($E$8:E971,E971)&gt;1,"",(MAX($A$7:A970)+1)))</f>
        <v/>
      </c>
      <c r="B971" s="34" t="str">
        <f>IF(ISBLANK(C971),"",SUBTOTAL(3,$C$8:C971))</f>
        <v/>
      </c>
      <c r="C971" s="81"/>
      <c r="D971" s="50"/>
      <c r="E971" s="50"/>
      <c r="F971" s="35" t="str">
        <f t="shared" si="63"/>
        <v/>
      </c>
      <c r="G971" s="36" t="str">
        <f t="shared" si="64"/>
        <v/>
      </c>
      <c r="H971" s="51" t="str">
        <f t="shared" si="62"/>
        <v/>
      </c>
      <c r="I971" s="51" t="str">
        <f t="shared" si="62"/>
        <v/>
      </c>
      <c r="J971" s="51" t="str">
        <f t="shared" si="62"/>
        <v/>
      </c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  <c r="AE971" s="37"/>
      <c r="AF971" s="37"/>
      <c r="AG971" s="37"/>
      <c r="AH971" s="37"/>
      <c r="AI971" s="37"/>
      <c r="AJ971" s="37"/>
      <c r="AK971" s="37"/>
      <c r="AM971" s="38"/>
      <c r="AN971" s="38"/>
      <c r="AO971" s="38"/>
      <c r="AP971" s="38"/>
      <c r="AQ971" s="38"/>
      <c r="AR971" s="38"/>
      <c r="AS971" s="38"/>
      <c r="AT971" s="38"/>
      <c r="AU971" s="38"/>
      <c r="AV971" s="38"/>
      <c r="AW971" s="38"/>
      <c r="AX971" s="38"/>
      <c r="AY971" s="38"/>
      <c r="AZ971" s="38"/>
      <c r="BA971" s="38"/>
      <c r="BB971" s="38"/>
      <c r="BC971" s="38"/>
      <c r="BD971" s="38"/>
      <c r="BE971" s="38"/>
      <c r="BF971" s="38"/>
    </row>
    <row r="972" spans="1:58" ht="22.5" hidden="1" customHeight="1">
      <c r="A972" s="33" t="str">
        <f>IF(OR(ISBLANK(E972),ISBLANK(C972)),"",IF(COUNTIF($E$8:E972,E972)&gt;1,"",(MAX($A$7:A971)+1)))</f>
        <v/>
      </c>
      <c r="B972" s="34" t="str">
        <f>IF(ISBLANK(C972),"",SUBTOTAL(3,$C$8:C972))</f>
        <v/>
      </c>
      <c r="C972" s="81"/>
      <c r="D972" s="50"/>
      <c r="E972" s="50"/>
      <c r="F972" s="35" t="str">
        <f t="shared" si="63"/>
        <v/>
      </c>
      <c r="G972" s="36" t="str">
        <f t="shared" si="64"/>
        <v/>
      </c>
      <c r="H972" s="51" t="str">
        <f t="shared" si="62"/>
        <v/>
      </c>
      <c r="I972" s="51" t="str">
        <f t="shared" si="62"/>
        <v/>
      </c>
      <c r="J972" s="51" t="str">
        <f t="shared" si="62"/>
        <v/>
      </c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  <c r="AE972" s="37"/>
      <c r="AF972" s="37"/>
      <c r="AG972" s="37"/>
      <c r="AH972" s="37"/>
      <c r="AI972" s="37"/>
      <c r="AJ972" s="37"/>
      <c r="AK972" s="37"/>
      <c r="AM972" s="38"/>
      <c r="AN972" s="38"/>
      <c r="AO972" s="38"/>
      <c r="AP972" s="38"/>
      <c r="AQ972" s="38"/>
      <c r="AR972" s="38"/>
      <c r="AS972" s="38"/>
      <c r="AT972" s="38"/>
      <c r="AU972" s="38"/>
      <c r="AV972" s="38"/>
      <c r="AW972" s="38"/>
      <c r="AX972" s="38"/>
      <c r="AY972" s="38"/>
      <c r="AZ972" s="38"/>
      <c r="BA972" s="38"/>
      <c r="BB972" s="38"/>
      <c r="BC972" s="38"/>
      <c r="BD972" s="38"/>
      <c r="BE972" s="38"/>
      <c r="BF972" s="38"/>
    </row>
    <row r="973" spans="1:58" ht="22.5" hidden="1" customHeight="1">
      <c r="A973" s="33" t="str">
        <f>IF(OR(ISBLANK(E973),ISBLANK(C973)),"",IF(COUNTIF($E$8:E973,E973)&gt;1,"",(MAX($A$7:A972)+1)))</f>
        <v/>
      </c>
      <c r="B973" s="34" t="str">
        <f>IF(ISBLANK(C973),"",SUBTOTAL(3,$C$8:C973))</f>
        <v/>
      </c>
      <c r="C973" s="81"/>
      <c r="D973" s="50"/>
      <c r="E973" s="50"/>
      <c r="F973" s="35" t="str">
        <f t="shared" si="63"/>
        <v/>
      </c>
      <c r="G973" s="36" t="str">
        <f t="shared" si="64"/>
        <v/>
      </c>
      <c r="H973" s="51" t="str">
        <f t="shared" si="62"/>
        <v/>
      </c>
      <c r="I973" s="51" t="str">
        <f t="shared" si="62"/>
        <v/>
      </c>
      <c r="J973" s="51" t="str">
        <f t="shared" si="62"/>
        <v/>
      </c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  <c r="AE973" s="37"/>
      <c r="AF973" s="37"/>
      <c r="AG973" s="37"/>
      <c r="AH973" s="37"/>
      <c r="AI973" s="37"/>
      <c r="AJ973" s="37"/>
      <c r="AK973" s="37"/>
      <c r="AM973" s="38"/>
      <c r="AN973" s="38"/>
      <c r="AO973" s="38"/>
      <c r="AP973" s="38"/>
      <c r="AQ973" s="38"/>
      <c r="AR973" s="38"/>
      <c r="AS973" s="38"/>
      <c r="AT973" s="38"/>
      <c r="AU973" s="38"/>
      <c r="AV973" s="38"/>
      <c r="AW973" s="38"/>
      <c r="AX973" s="38"/>
      <c r="AY973" s="38"/>
      <c r="AZ973" s="38"/>
      <c r="BA973" s="38"/>
      <c r="BB973" s="38"/>
      <c r="BC973" s="38"/>
      <c r="BD973" s="38"/>
      <c r="BE973" s="38"/>
      <c r="BF973" s="38"/>
    </row>
    <row r="974" spans="1:58" ht="22.5" hidden="1" customHeight="1">
      <c r="A974" s="33" t="str">
        <f>IF(OR(ISBLANK(E974),ISBLANK(C974)),"",IF(COUNTIF($E$8:E974,E974)&gt;1,"",(MAX($A$7:A973)+1)))</f>
        <v/>
      </c>
      <c r="B974" s="34" t="str">
        <f>IF(ISBLANK(C974),"",SUBTOTAL(3,$C$8:C974))</f>
        <v/>
      </c>
      <c r="C974" s="81"/>
      <c r="D974" s="50"/>
      <c r="E974" s="50"/>
      <c r="F974" s="35" t="str">
        <f t="shared" si="63"/>
        <v/>
      </c>
      <c r="G974" s="36" t="str">
        <f t="shared" si="64"/>
        <v/>
      </c>
      <c r="H974" s="51" t="str">
        <f t="shared" si="62"/>
        <v/>
      </c>
      <c r="I974" s="51" t="str">
        <f t="shared" si="62"/>
        <v/>
      </c>
      <c r="J974" s="51" t="str">
        <f t="shared" si="62"/>
        <v/>
      </c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M974" s="38"/>
      <c r="AN974" s="38"/>
      <c r="AO974" s="38"/>
      <c r="AP974" s="38"/>
      <c r="AQ974" s="38"/>
      <c r="AR974" s="38"/>
      <c r="AS974" s="38"/>
      <c r="AT974" s="38"/>
      <c r="AU974" s="38"/>
      <c r="AV974" s="38"/>
      <c r="AW974" s="38"/>
      <c r="AX974" s="38"/>
      <c r="AY974" s="38"/>
      <c r="AZ974" s="38"/>
      <c r="BA974" s="38"/>
      <c r="BB974" s="38"/>
      <c r="BC974" s="38"/>
      <c r="BD974" s="38"/>
      <c r="BE974" s="38"/>
      <c r="BF974" s="38"/>
    </row>
    <row r="975" spans="1:58" ht="22.5" hidden="1" customHeight="1">
      <c r="A975" s="33" t="str">
        <f>IF(OR(ISBLANK(E975),ISBLANK(C975)),"",IF(COUNTIF($E$8:E975,E975)&gt;1,"",(MAX($A$7:A974)+1)))</f>
        <v/>
      </c>
      <c r="B975" s="34" t="str">
        <f>IF(ISBLANK(C975),"",SUBTOTAL(3,$C$8:C975))</f>
        <v/>
      </c>
      <c r="C975" s="85"/>
      <c r="D975" s="50"/>
      <c r="E975" s="50"/>
      <c r="F975" s="35" t="str">
        <f t="shared" si="63"/>
        <v/>
      </c>
      <c r="G975" s="36" t="str">
        <f t="shared" si="64"/>
        <v/>
      </c>
      <c r="H975" s="51" t="str">
        <f t="shared" si="62"/>
        <v/>
      </c>
      <c r="I975" s="51" t="str">
        <f t="shared" si="62"/>
        <v/>
      </c>
      <c r="J975" s="51" t="str">
        <f t="shared" si="62"/>
        <v/>
      </c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  <c r="AE975" s="37"/>
      <c r="AF975" s="37"/>
      <c r="AG975" s="37"/>
      <c r="AH975" s="37"/>
      <c r="AI975" s="37"/>
      <c r="AJ975" s="37"/>
      <c r="AK975" s="37"/>
      <c r="AM975" s="38"/>
      <c r="AN975" s="38"/>
      <c r="AO975" s="38"/>
      <c r="AP975" s="38"/>
      <c r="AQ975" s="38"/>
      <c r="AR975" s="38"/>
      <c r="AS975" s="38"/>
      <c r="AT975" s="38"/>
      <c r="AU975" s="38"/>
      <c r="AV975" s="38"/>
      <c r="AW975" s="38"/>
      <c r="AX975" s="38"/>
      <c r="AY975" s="38"/>
      <c r="AZ975" s="38"/>
      <c r="BA975" s="38"/>
      <c r="BB975" s="38"/>
      <c r="BC975" s="38"/>
      <c r="BD975" s="38"/>
      <c r="BE975" s="38"/>
      <c r="BF975" s="38"/>
    </row>
    <row r="976" spans="1:58" ht="22.5" hidden="1" customHeight="1">
      <c r="A976" s="33" t="str">
        <f>IF(OR(ISBLANK(E976),ISBLANK(C976)),"",IF(COUNTIF($E$8:E976,E976)&gt;1,"",(MAX($A$7:A975)+1)))</f>
        <v/>
      </c>
      <c r="B976" s="34" t="str">
        <f>IF(ISBLANK(C976),"",SUBTOTAL(3,$C$8:C976))</f>
        <v/>
      </c>
      <c r="C976" s="81"/>
      <c r="D976" s="52"/>
      <c r="E976" s="50"/>
      <c r="F976" s="35" t="str">
        <f t="shared" si="63"/>
        <v/>
      </c>
      <c r="G976" s="36" t="str">
        <f t="shared" si="64"/>
        <v/>
      </c>
      <c r="H976" s="51" t="str">
        <f t="shared" si="62"/>
        <v/>
      </c>
      <c r="I976" s="51" t="str">
        <f t="shared" si="62"/>
        <v/>
      </c>
      <c r="J976" s="51" t="str">
        <f t="shared" si="62"/>
        <v/>
      </c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  <c r="AE976" s="37"/>
      <c r="AF976" s="37"/>
      <c r="AG976" s="37"/>
      <c r="AH976" s="37"/>
      <c r="AI976" s="37"/>
      <c r="AJ976" s="37"/>
      <c r="AK976" s="37"/>
      <c r="AM976" s="38"/>
      <c r="AN976" s="38"/>
      <c r="AO976" s="38"/>
      <c r="AP976" s="38"/>
      <c r="AQ976" s="38"/>
      <c r="AR976" s="38"/>
      <c r="AS976" s="38"/>
      <c r="AT976" s="38"/>
      <c r="AU976" s="38"/>
      <c r="AV976" s="38"/>
      <c r="AW976" s="38"/>
      <c r="AX976" s="38"/>
      <c r="AY976" s="38"/>
      <c r="AZ976" s="38"/>
      <c r="BA976" s="38"/>
      <c r="BB976" s="38"/>
      <c r="BC976" s="38"/>
      <c r="BD976" s="38"/>
      <c r="BE976" s="38"/>
      <c r="BF976" s="38"/>
    </row>
    <row r="977" spans="1:58" ht="22.5" hidden="1" customHeight="1">
      <c r="A977" s="33" t="str">
        <f>IF(OR(ISBLANK(E977),ISBLANK(C977)),"",IF(COUNTIF($E$8:E977,E977)&gt;1,"",(MAX($A$7:A976)+1)))</f>
        <v/>
      </c>
      <c r="B977" s="34" t="str">
        <f>IF(ISBLANK(C977),"",SUBTOTAL(3,$C$8:C977))</f>
        <v/>
      </c>
      <c r="C977" s="81"/>
      <c r="D977" s="52"/>
      <c r="E977" s="50"/>
      <c r="F977" s="35" t="str">
        <f t="shared" si="63"/>
        <v/>
      </c>
      <c r="G977" s="36" t="str">
        <f t="shared" si="64"/>
        <v/>
      </c>
      <c r="H977" s="51" t="str">
        <f t="shared" si="62"/>
        <v/>
      </c>
      <c r="I977" s="51" t="str">
        <f t="shared" si="62"/>
        <v/>
      </c>
      <c r="J977" s="51" t="str">
        <f t="shared" si="62"/>
        <v/>
      </c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  <c r="AH977" s="37"/>
      <c r="AI977" s="37"/>
      <c r="AJ977" s="37"/>
      <c r="AK977" s="37"/>
      <c r="AM977" s="38"/>
      <c r="AN977" s="38"/>
      <c r="AO977" s="38"/>
      <c r="AP977" s="38"/>
      <c r="AQ977" s="38"/>
      <c r="AR977" s="38"/>
      <c r="AS977" s="38"/>
      <c r="AT977" s="38"/>
      <c r="AU977" s="38"/>
      <c r="AV977" s="38"/>
      <c r="AW977" s="38"/>
      <c r="AX977" s="38"/>
      <c r="AY977" s="38"/>
      <c r="AZ977" s="38"/>
      <c r="BA977" s="38"/>
      <c r="BB977" s="38"/>
      <c r="BC977" s="38"/>
      <c r="BD977" s="38"/>
      <c r="BE977" s="38"/>
      <c r="BF977" s="38"/>
    </row>
    <row r="978" spans="1:58" ht="22.5" hidden="1" customHeight="1">
      <c r="A978" s="33" t="str">
        <f>IF(OR(ISBLANK(E978),ISBLANK(C978)),"",IF(COUNTIF($E$8:E978,E978)&gt;1,"",(MAX($A$7:A977)+1)))</f>
        <v/>
      </c>
      <c r="B978" s="34" t="str">
        <f>IF(ISBLANK(C978),"",SUBTOTAL(3,$C$8:C978))</f>
        <v/>
      </c>
      <c r="C978" s="81"/>
      <c r="D978" s="50"/>
      <c r="E978" s="50"/>
      <c r="F978" s="35" t="str">
        <f t="shared" si="63"/>
        <v/>
      </c>
      <c r="G978" s="36" t="str">
        <f t="shared" si="64"/>
        <v/>
      </c>
      <c r="H978" s="51" t="str">
        <f t="shared" si="62"/>
        <v/>
      </c>
      <c r="I978" s="51" t="str">
        <f t="shared" si="62"/>
        <v/>
      </c>
      <c r="J978" s="51" t="str">
        <f t="shared" si="62"/>
        <v/>
      </c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  <c r="AE978" s="37"/>
      <c r="AF978" s="37"/>
      <c r="AG978" s="37"/>
      <c r="AH978" s="37"/>
      <c r="AI978" s="37"/>
      <c r="AJ978" s="37"/>
      <c r="AK978" s="37"/>
      <c r="AM978" s="38"/>
      <c r="AN978" s="38"/>
      <c r="AO978" s="38"/>
      <c r="AP978" s="38"/>
      <c r="AQ978" s="38"/>
      <c r="AR978" s="38"/>
      <c r="AS978" s="38"/>
      <c r="AT978" s="38"/>
      <c r="AU978" s="38"/>
      <c r="AV978" s="38"/>
      <c r="AW978" s="38"/>
      <c r="AX978" s="38"/>
      <c r="AY978" s="38"/>
      <c r="AZ978" s="38"/>
      <c r="BA978" s="38"/>
      <c r="BB978" s="38"/>
      <c r="BC978" s="38"/>
      <c r="BD978" s="38"/>
      <c r="BE978" s="38"/>
      <c r="BF978" s="38"/>
    </row>
    <row r="979" spans="1:58" ht="22.5" hidden="1" customHeight="1">
      <c r="A979" s="33" t="str">
        <f>IF(OR(ISBLANK(E979),ISBLANK(C979)),"",IF(COUNTIF($E$8:E979,E979)&gt;1,"",(MAX($A$7:A978)+1)))</f>
        <v/>
      </c>
      <c r="B979" s="34" t="str">
        <f>IF(ISBLANK(C979),"",SUBTOTAL(3,$C$8:C979))</f>
        <v/>
      </c>
      <c r="C979" s="81"/>
      <c r="D979" s="50"/>
      <c r="E979" s="50"/>
      <c r="F979" s="35" t="str">
        <f t="shared" si="63"/>
        <v/>
      </c>
      <c r="G979" s="36" t="str">
        <f t="shared" si="64"/>
        <v/>
      </c>
      <c r="H979" s="51" t="str">
        <f t="shared" si="62"/>
        <v/>
      </c>
      <c r="I979" s="51" t="str">
        <f t="shared" si="62"/>
        <v/>
      </c>
      <c r="J979" s="51" t="str">
        <f t="shared" si="62"/>
        <v/>
      </c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  <c r="AE979" s="37"/>
      <c r="AF979" s="37"/>
      <c r="AG979" s="37"/>
      <c r="AH979" s="37"/>
      <c r="AI979" s="37"/>
      <c r="AJ979" s="37"/>
      <c r="AK979" s="37"/>
      <c r="AM979" s="38"/>
      <c r="AN979" s="38"/>
      <c r="AO979" s="38"/>
      <c r="AP979" s="38"/>
      <c r="AQ979" s="38"/>
      <c r="AR979" s="38"/>
      <c r="AS979" s="38"/>
      <c r="AT979" s="38"/>
      <c r="AU979" s="38"/>
      <c r="AV979" s="38"/>
      <c r="AW979" s="38"/>
      <c r="AX979" s="38"/>
      <c r="AY979" s="38"/>
      <c r="AZ979" s="38"/>
      <c r="BA979" s="38"/>
      <c r="BB979" s="38"/>
      <c r="BC979" s="38"/>
      <c r="BD979" s="38"/>
      <c r="BE979" s="38"/>
      <c r="BF979" s="38"/>
    </row>
    <row r="980" spans="1:58" ht="22.5" hidden="1" customHeight="1">
      <c r="A980" s="33" t="str">
        <f>IF(OR(ISBLANK(E980),ISBLANK(C980)),"",IF(COUNTIF($E$8:E980,E980)&gt;1,"",(MAX($A$7:A979)+1)))</f>
        <v/>
      </c>
      <c r="B980" s="34" t="str">
        <f>IF(ISBLANK(C980),"",SUBTOTAL(3,$C$8:C980))</f>
        <v/>
      </c>
      <c r="C980" s="85"/>
      <c r="D980" s="50"/>
      <c r="E980" s="50"/>
      <c r="F980" s="35" t="str">
        <f t="shared" si="63"/>
        <v/>
      </c>
      <c r="G980" s="36" t="str">
        <f t="shared" si="64"/>
        <v/>
      </c>
      <c r="H980" s="51" t="str">
        <f t="shared" si="62"/>
        <v/>
      </c>
      <c r="I980" s="51" t="str">
        <f t="shared" si="62"/>
        <v/>
      </c>
      <c r="J980" s="51" t="str">
        <f t="shared" si="62"/>
        <v/>
      </c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  <c r="AH980" s="37"/>
      <c r="AI980" s="37"/>
      <c r="AJ980" s="37"/>
      <c r="AK980" s="37"/>
      <c r="AM980" s="38"/>
      <c r="AN980" s="38"/>
      <c r="AO980" s="38"/>
      <c r="AP980" s="38"/>
      <c r="AQ980" s="38"/>
      <c r="AR980" s="38"/>
      <c r="AS980" s="38"/>
      <c r="AT980" s="38"/>
      <c r="AU980" s="38"/>
      <c r="AV980" s="38"/>
      <c r="AW980" s="38"/>
      <c r="AX980" s="38"/>
      <c r="AY980" s="38"/>
      <c r="AZ980" s="38"/>
      <c r="BA980" s="38"/>
      <c r="BB980" s="38"/>
      <c r="BC980" s="38"/>
      <c r="BD980" s="38"/>
      <c r="BE980" s="38"/>
      <c r="BF980" s="38"/>
    </row>
    <row r="981" spans="1:58" ht="22.5" hidden="1" customHeight="1">
      <c r="A981" s="33" t="str">
        <f>IF(OR(ISBLANK(E981),ISBLANK(C981)),"",IF(COUNTIF($E$8:E981,E981)&gt;1,"",(MAX($A$7:A980)+1)))</f>
        <v/>
      </c>
      <c r="B981" s="34" t="str">
        <f>IF(ISBLANK(C981),"",SUBTOTAL(3,$C$8:C981))</f>
        <v/>
      </c>
      <c r="C981" s="85"/>
      <c r="D981" s="50"/>
      <c r="E981" s="50"/>
      <c r="F981" s="35" t="str">
        <f t="shared" si="63"/>
        <v/>
      </c>
      <c r="G981" s="36" t="str">
        <f t="shared" si="64"/>
        <v/>
      </c>
      <c r="H981" s="51" t="str">
        <f t="shared" si="62"/>
        <v/>
      </c>
      <c r="I981" s="51" t="str">
        <f t="shared" si="62"/>
        <v/>
      </c>
      <c r="J981" s="51" t="str">
        <f t="shared" si="62"/>
        <v/>
      </c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  <c r="AE981" s="37"/>
      <c r="AF981" s="37"/>
      <c r="AG981" s="37"/>
      <c r="AH981" s="37"/>
      <c r="AI981" s="37"/>
      <c r="AJ981" s="37"/>
      <c r="AK981" s="37"/>
      <c r="AM981" s="38"/>
      <c r="AN981" s="38"/>
      <c r="AO981" s="38"/>
      <c r="AP981" s="38"/>
      <c r="AQ981" s="38"/>
      <c r="AR981" s="38"/>
      <c r="AS981" s="38"/>
      <c r="AT981" s="38"/>
      <c r="AU981" s="38"/>
      <c r="AV981" s="38"/>
      <c r="AW981" s="38"/>
      <c r="AX981" s="38"/>
      <c r="AY981" s="38"/>
      <c r="AZ981" s="38"/>
      <c r="BA981" s="38"/>
      <c r="BB981" s="38"/>
      <c r="BC981" s="38"/>
      <c r="BD981" s="38"/>
      <c r="BE981" s="38"/>
      <c r="BF981" s="38"/>
    </row>
    <row r="982" spans="1:58" ht="22.5" hidden="1" customHeight="1">
      <c r="A982" s="33" t="str">
        <f>IF(OR(ISBLANK(E982),ISBLANK(C982)),"",IF(COUNTIF($E$8:E982,E982)&gt;1,"",(MAX($A$7:A981)+1)))</f>
        <v/>
      </c>
      <c r="B982" s="34" t="str">
        <f>IF(ISBLANK(C982),"",SUBTOTAL(3,$C$8:C982))</f>
        <v/>
      </c>
      <c r="C982" s="78"/>
      <c r="D982" s="50"/>
      <c r="E982" s="50"/>
      <c r="F982" s="35" t="str">
        <f t="shared" si="63"/>
        <v/>
      </c>
      <c r="G982" s="36" t="str">
        <f t="shared" si="64"/>
        <v/>
      </c>
      <c r="H982" s="51" t="str">
        <f t="shared" si="62"/>
        <v/>
      </c>
      <c r="I982" s="51" t="str">
        <f t="shared" si="62"/>
        <v/>
      </c>
      <c r="J982" s="51" t="str">
        <f t="shared" si="62"/>
        <v/>
      </c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  <c r="AE982" s="37"/>
      <c r="AF982" s="37"/>
      <c r="AG982" s="37"/>
      <c r="AH982" s="37"/>
      <c r="AI982" s="37"/>
      <c r="AJ982" s="37"/>
      <c r="AK982" s="37"/>
      <c r="AM982" s="38"/>
      <c r="AN982" s="38"/>
      <c r="AO982" s="38"/>
      <c r="AP982" s="38"/>
      <c r="AQ982" s="38"/>
      <c r="AR982" s="38"/>
      <c r="AS982" s="38"/>
      <c r="AT982" s="38"/>
      <c r="AU982" s="38"/>
      <c r="AV982" s="38"/>
      <c r="AW982" s="38"/>
      <c r="AX982" s="38"/>
      <c r="AY982" s="38"/>
      <c r="AZ982" s="38"/>
      <c r="BA982" s="38"/>
      <c r="BB982" s="38"/>
      <c r="BC982" s="38"/>
      <c r="BD982" s="38"/>
      <c r="BE982" s="38"/>
      <c r="BF982" s="38"/>
    </row>
    <row r="983" spans="1:58" ht="22.5" hidden="1" customHeight="1">
      <c r="A983" s="33" t="str">
        <f>IF(OR(ISBLANK(E983),ISBLANK(C983)),"",IF(COUNTIF($E$8:E983,E983)&gt;1,"",(MAX($A$7:A982)+1)))</f>
        <v/>
      </c>
      <c r="B983" s="34" t="str">
        <f>IF(ISBLANK(C983),"",SUBTOTAL(3,$C$8:C983))</f>
        <v/>
      </c>
      <c r="C983" s="85"/>
      <c r="D983" s="50"/>
      <c r="E983" s="50"/>
      <c r="F983" s="35" t="str">
        <f t="shared" si="63"/>
        <v/>
      </c>
      <c r="G983" s="36" t="str">
        <f t="shared" si="64"/>
        <v/>
      </c>
      <c r="H983" s="51" t="str">
        <f t="shared" si="62"/>
        <v/>
      </c>
      <c r="I983" s="51" t="str">
        <f t="shared" si="62"/>
        <v/>
      </c>
      <c r="J983" s="51" t="str">
        <f t="shared" si="62"/>
        <v/>
      </c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  <c r="AE983" s="37"/>
      <c r="AF983" s="37"/>
      <c r="AG983" s="37"/>
      <c r="AH983" s="37"/>
      <c r="AI983" s="37"/>
      <c r="AJ983" s="37"/>
      <c r="AK983" s="37"/>
      <c r="AM983" s="38"/>
      <c r="AN983" s="38"/>
      <c r="AO983" s="38"/>
      <c r="AP983" s="38"/>
      <c r="AQ983" s="38"/>
      <c r="AR983" s="38"/>
      <c r="AS983" s="38"/>
      <c r="AT983" s="38"/>
      <c r="AU983" s="38"/>
      <c r="AV983" s="38"/>
      <c r="AW983" s="38"/>
      <c r="AX983" s="38"/>
      <c r="AY983" s="38"/>
      <c r="AZ983" s="38"/>
      <c r="BA983" s="38"/>
      <c r="BB983" s="38"/>
      <c r="BC983" s="38"/>
      <c r="BD983" s="38"/>
      <c r="BE983" s="38"/>
      <c r="BF983" s="38"/>
    </row>
    <row r="984" spans="1:58" ht="22.5" hidden="1" customHeight="1">
      <c r="A984" s="33" t="str">
        <f>IF(OR(ISBLANK(E984),ISBLANK(C984)),"",IF(COUNTIF($E$8:E984,E984)&gt;1,"",(MAX($A$7:A983)+1)))</f>
        <v/>
      </c>
      <c r="B984" s="34" t="str">
        <f>IF(ISBLANK(C984),"",SUBTOTAL(3,$C$8:C984))</f>
        <v/>
      </c>
      <c r="C984" s="78"/>
      <c r="D984" s="50"/>
      <c r="E984" s="50"/>
      <c r="F984" s="35" t="str">
        <f t="shared" si="63"/>
        <v/>
      </c>
      <c r="G984" s="36" t="str">
        <f t="shared" si="64"/>
        <v/>
      </c>
      <c r="H984" s="51" t="str">
        <f t="shared" ref="H984:J1047" si="65">IF(OR(ISBLANK($C984),COUNTIFS($K984:$AH984,"X",$K$7:$AH$7,H$7)=0,),"",COUNTIFS($K984:$AH984,"X",$K$7:$AH$7,H$7))</f>
        <v/>
      </c>
      <c r="I984" s="51" t="str">
        <f t="shared" si="65"/>
        <v/>
      </c>
      <c r="J984" s="51" t="str">
        <f t="shared" si="65"/>
        <v/>
      </c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  <c r="AE984" s="37"/>
      <c r="AF984" s="37"/>
      <c r="AG984" s="37"/>
      <c r="AH984" s="37"/>
      <c r="AI984" s="37"/>
      <c r="AJ984" s="37"/>
      <c r="AK984" s="37"/>
      <c r="AM984" s="38"/>
      <c r="AN984" s="38"/>
      <c r="AO984" s="38"/>
      <c r="AP984" s="38"/>
      <c r="AQ984" s="38"/>
      <c r="AR984" s="38"/>
      <c r="AS984" s="38"/>
      <c r="AT984" s="38"/>
      <c r="AU984" s="38"/>
      <c r="AV984" s="38"/>
      <c r="AW984" s="38"/>
      <c r="AX984" s="38"/>
      <c r="AY984" s="38"/>
      <c r="AZ984" s="38"/>
      <c r="BA984" s="38"/>
      <c r="BB984" s="38"/>
      <c r="BC984" s="38"/>
      <c r="BD984" s="38"/>
      <c r="BE984" s="38"/>
      <c r="BF984" s="38"/>
    </row>
    <row r="985" spans="1:58" ht="22.5" hidden="1" customHeight="1">
      <c r="A985" s="33" t="str">
        <f>IF(OR(ISBLANK(E985),ISBLANK(C985)),"",IF(COUNTIF($E$8:E985,E985)&gt;1,"",(MAX($A$7:A984)+1)))</f>
        <v/>
      </c>
      <c r="B985" s="34" t="str">
        <f>IF(ISBLANK(C985),"",SUBTOTAL(3,$C$8:C985))</f>
        <v/>
      </c>
      <c r="C985" s="78"/>
      <c r="D985" s="50"/>
      <c r="E985" s="50"/>
      <c r="F985" s="35" t="str">
        <f t="shared" si="63"/>
        <v/>
      </c>
      <c r="G985" s="36" t="str">
        <f t="shared" si="64"/>
        <v/>
      </c>
      <c r="H985" s="51" t="str">
        <f t="shared" si="65"/>
        <v/>
      </c>
      <c r="I985" s="51" t="str">
        <f t="shared" si="65"/>
        <v/>
      </c>
      <c r="J985" s="51" t="str">
        <f t="shared" si="65"/>
        <v/>
      </c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  <c r="AE985" s="37"/>
      <c r="AF985" s="37"/>
      <c r="AG985" s="37"/>
      <c r="AH985" s="37"/>
      <c r="AI985" s="37"/>
      <c r="AJ985" s="37"/>
      <c r="AK985" s="37"/>
      <c r="AM985" s="38"/>
      <c r="AN985" s="38"/>
      <c r="AO985" s="38"/>
      <c r="AP985" s="38"/>
      <c r="AQ985" s="38"/>
      <c r="AR985" s="38"/>
      <c r="AS985" s="38"/>
      <c r="AT985" s="38"/>
      <c r="AU985" s="38"/>
      <c r="AV985" s="38"/>
      <c r="AW985" s="38"/>
      <c r="AX985" s="38"/>
      <c r="AY985" s="38"/>
      <c r="AZ985" s="38"/>
      <c r="BA985" s="38"/>
      <c r="BB985" s="38"/>
      <c r="BC985" s="38"/>
      <c r="BD985" s="38"/>
      <c r="BE985" s="38"/>
      <c r="BF985" s="38"/>
    </row>
    <row r="986" spans="1:58" ht="22.5" hidden="1" customHeight="1">
      <c r="A986" s="33" t="str">
        <f>IF(OR(ISBLANK(E986),ISBLANK(C986)),"",IF(COUNTIF($E$8:E986,E986)&gt;1,"",(MAX($A$7:A985)+1)))</f>
        <v/>
      </c>
      <c r="B986" s="34" t="str">
        <f>IF(ISBLANK(C986),"",SUBTOTAL(3,$C$8:C986))</f>
        <v/>
      </c>
      <c r="C986" s="78"/>
      <c r="D986" s="50"/>
      <c r="E986" s="50"/>
      <c r="F986" s="35" t="str">
        <f t="shared" si="63"/>
        <v/>
      </c>
      <c r="G986" s="36" t="str">
        <f t="shared" si="64"/>
        <v/>
      </c>
      <c r="H986" s="51" t="str">
        <f t="shared" si="65"/>
        <v/>
      </c>
      <c r="I986" s="51" t="str">
        <f t="shared" si="65"/>
        <v/>
      </c>
      <c r="J986" s="51" t="str">
        <f t="shared" si="65"/>
        <v/>
      </c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  <c r="AE986" s="37"/>
      <c r="AF986" s="37"/>
      <c r="AG986" s="37"/>
      <c r="AH986" s="37"/>
      <c r="AI986" s="37"/>
      <c r="AJ986" s="37"/>
      <c r="AK986" s="37"/>
      <c r="AM986" s="38"/>
      <c r="AN986" s="38"/>
      <c r="AO986" s="38"/>
      <c r="AP986" s="38"/>
      <c r="AQ986" s="38"/>
      <c r="AR986" s="38"/>
      <c r="AS986" s="38"/>
      <c r="AT986" s="38"/>
      <c r="AU986" s="38"/>
      <c r="AV986" s="38"/>
      <c r="AW986" s="38"/>
      <c r="AX986" s="38"/>
      <c r="AY986" s="38"/>
      <c r="AZ986" s="38"/>
      <c r="BA986" s="38"/>
      <c r="BB986" s="38"/>
      <c r="BC986" s="38"/>
      <c r="BD986" s="38"/>
      <c r="BE986" s="38"/>
      <c r="BF986" s="38"/>
    </row>
    <row r="987" spans="1:58" ht="22.5" hidden="1" customHeight="1">
      <c r="A987" s="33" t="str">
        <f>IF(OR(ISBLANK(E987),ISBLANK(C987)),"",IF(COUNTIF($E$8:E987,E987)&gt;1,"",(MAX($A$7:A986)+1)))</f>
        <v/>
      </c>
      <c r="B987" s="34" t="str">
        <f>IF(ISBLANK(C987),"",SUBTOTAL(3,$C$8:C987))</f>
        <v/>
      </c>
      <c r="C987" s="78"/>
      <c r="D987" s="50"/>
      <c r="E987" s="50"/>
      <c r="F987" s="35" t="str">
        <f t="shared" si="63"/>
        <v/>
      </c>
      <c r="G987" s="36" t="str">
        <f t="shared" si="64"/>
        <v/>
      </c>
      <c r="H987" s="51" t="str">
        <f t="shared" si="65"/>
        <v/>
      </c>
      <c r="I987" s="51" t="str">
        <f t="shared" si="65"/>
        <v/>
      </c>
      <c r="J987" s="51" t="str">
        <f t="shared" si="65"/>
        <v/>
      </c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  <c r="AE987" s="37"/>
      <c r="AF987" s="37"/>
      <c r="AG987" s="37"/>
      <c r="AH987" s="37"/>
      <c r="AI987" s="37"/>
      <c r="AJ987" s="37"/>
      <c r="AK987" s="37"/>
      <c r="AM987" s="38"/>
      <c r="AN987" s="38"/>
      <c r="AO987" s="38"/>
      <c r="AP987" s="38"/>
      <c r="AQ987" s="38"/>
      <c r="AR987" s="38"/>
      <c r="AS987" s="38"/>
      <c r="AT987" s="38"/>
      <c r="AU987" s="38"/>
      <c r="AV987" s="38"/>
      <c r="AW987" s="38"/>
      <c r="AX987" s="38"/>
      <c r="AY987" s="38"/>
      <c r="AZ987" s="38"/>
      <c r="BA987" s="38"/>
      <c r="BB987" s="38"/>
      <c r="BC987" s="38"/>
      <c r="BD987" s="38"/>
      <c r="BE987" s="38"/>
      <c r="BF987" s="38"/>
    </row>
    <row r="988" spans="1:58" ht="22.5" hidden="1" customHeight="1">
      <c r="A988" s="33" t="str">
        <f>IF(OR(ISBLANK(E988),ISBLANK(C988)),"",IF(COUNTIF($E$8:E988,E988)&gt;1,"",(MAX($A$7:A987)+1)))</f>
        <v/>
      </c>
      <c r="B988" s="34" t="str">
        <f>IF(ISBLANK(C988),"",SUBTOTAL(3,$C$8:C988))</f>
        <v/>
      </c>
      <c r="C988" s="78"/>
      <c r="D988" s="50"/>
      <c r="E988" s="50"/>
      <c r="F988" s="35" t="str">
        <f t="shared" si="63"/>
        <v/>
      </c>
      <c r="G988" s="36" t="str">
        <f t="shared" si="64"/>
        <v/>
      </c>
      <c r="H988" s="51" t="str">
        <f t="shared" si="65"/>
        <v/>
      </c>
      <c r="I988" s="51" t="str">
        <f t="shared" si="65"/>
        <v/>
      </c>
      <c r="J988" s="51" t="str">
        <f t="shared" si="65"/>
        <v/>
      </c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  <c r="AE988" s="37"/>
      <c r="AF988" s="37"/>
      <c r="AG988" s="37"/>
      <c r="AH988" s="37"/>
      <c r="AI988" s="37"/>
      <c r="AJ988" s="37"/>
      <c r="AK988" s="37"/>
      <c r="AM988" s="38"/>
      <c r="AN988" s="38"/>
      <c r="AO988" s="38"/>
      <c r="AP988" s="38"/>
      <c r="AQ988" s="38"/>
      <c r="AR988" s="38"/>
      <c r="AS988" s="38"/>
      <c r="AT988" s="38"/>
      <c r="AU988" s="38"/>
      <c r="AV988" s="38"/>
      <c r="AW988" s="38"/>
      <c r="AX988" s="38"/>
      <c r="AY988" s="38"/>
      <c r="AZ988" s="38"/>
      <c r="BA988" s="38"/>
      <c r="BB988" s="38"/>
      <c r="BC988" s="38"/>
      <c r="BD988" s="38"/>
      <c r="BE988" s="38"/>
      <c r="BF988" s="38"/>
    </row>
    <row r="989" spans="1:58" ht="22.5" hidden="1" customHeight="1">
      <c r="A989" s="33" t="str">
        <f>IF(OR(ISBLANK(E989),ISBLANK(C989)),"",IF(COUNTIF($E$8:E989,E989)&gt;1,"",(MAX($A$7:A988)+1)))</f>
        <v/>
      </c>
      <c r="B989" s="34" t="str">
        <f>IF(ISBLANK(C989),"",SUBTOTAL(3,$C$8:C989))</f>
        <v/>
      </c>
      <c r="C989" s="78"/>
      <c r="D989" s="50"/>
      <c r="E989" s="50"/>
      <c r="F989" s="35" t="str">
        <f t="shared" si="63"/>
        <v/>
      </c>
      <c r="G989" s="36" t="str">
        <f t="shared" si="64"/>
        <v/>
      </c>
      <c r="H989" s="51" t="str">
        <f t="shared" si="65"/>
        <v/>
      </c>
      <c r="I989" s="51" t="str">
        <f t="shared" si="65"/>
        <v/>
      </c>
      <c r="J989" s="51" t="str">
        <f t="shared" si="65"/>
        <v/>
      </c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  <c r="AE989" s="37"/>
      <c r="AF989" s="37"/>
      <c r="AG989" s="37"/>
      <c r="AH989" s="37"/>
      <c r="AI989" s="37"/>
      <c r="AJ989" s="37"/>
      <c r="AK989" s="37"/>
      <c r="AM989" s="38"/>
      <c r="AN989" s="38"/>
      <c r="AO989" s="38"/>
      <c r="AP989" s="38"/>
      <c r="AQ989" s="38"/>
      <c r="AR989" s="38"/>
      <c r="AS989" s="38"/>
      <c r="AT989" s="38"/>
      <c r="AU989" s="38"/>
      <c r="AV989" s="38"/>
      <c r="AW989" s="38"/>
      <c r="AX989" s="38"/>
      <c r="AY989" s="38"/>
      <c r="AZ989" s="38"/>
      <c r="BA989" s="38"/>
      <c r="BB989" s="38"/>
      <c r="BC989" s="38"/>
      <c r="BD989" s="38"/>
      <c r="BE989" s="38"/>
      <c r="BF989" s="38"/>
    </row>
    <row r="990" spans="1:58" ht="22.5" hidden="1" customHeight="1">
      <c r="A990" s="33" t="str">
        <f>IF(OR(ISBLANK(E990),ISBLANK(C990)),"",IF(COUNTIF($E$8:E990,E990)&gt;1,"",(MAX($A$7:A989)+1)))</f>
        <v/>
      </c>
      <c r="B990" s="34" t="str">
        <f>IF(ISBLANK(C990),"",SUBTOTAL(3,$C$8:C990))</f>
        <v/>
      </c>
      <c r="C990" s="78"/>
      <c r="D990" s="50"/>
      <c r="E990" s="50"/>
      <c r="F990" s="35" t="str">
        <f t="shared" si="63"/>
        <v/>
      </c>
      <c r="G990" s="36" t="str">
        <f t="shared" si="64"/>
        <v/>
      </c>
      <c r="H990" s="51" t="str">
        <f t="shared" si="65"/>
        <v/>
      </c>
      <c r="I990" s="51" t="str">
        <f t="shared" si="65"/>
        <v/>
      </c>
      <c r="J990" s="51" t="str">
        <f t="shared" si="65"/>
        <v/>
      </c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  <c r="AE990" s="37"/>
      <c r="AF990" s="37"/>
      <c r="AG990" s="37"/>
      <c r="AH990" s="37"/>
      <c r="AI990" s="37"/>
      <c r="AJ990" s="37"/>
      <c r="AK990" s="37"/>
      <c r="AM990" s="38"/>
      <c r="AN990" s="38"/>
      <c r="AO990" s="38"/>
      <c r="AP990" s="38"/>
      <c r="AQ990" s="38"/>
      <c r="AR990" s="38"/>
      <c r="AS990" s="38"/>
      <c r="AT990" s="38"/>
      <c r="AU990" s="38"/>
      <c r="AV990" s="38"/>
      <c r="AW990" s="38"/>
      <c r="AX990" s="38"/>
      <c r="AY990" s="38"/>
      <c r="AZ990" s="38"/>
      <c r="BA990" s="38"/>
      <c r="BB990" s="38"/>
      <c r="BC990" s="38"/>
      <c r="BD990" s="38"/>
      <c r="BE990" s="38"/>
      <c r="BF990" s="38"/>
    </row>
    <row r="991" spans="1:58" ht="22.5" hidden="1" customHeight="1">
      <c r="A991" s="33" t="str">
        <f>IF(OR(ISBLANK(E991),ISBLANK(C991)),"",IF(COUNTIF($E$8:E991,E991)&gt;1,"",(MAX($A$7:A990)+1)))</f>
        <v/>
      </c>
      <c r="B991" s="34" t="str">
        <f>IF(ISBLANK(C991),"",SUBTOTAL(3,$C$8:C991))</f>
        <v/>
      </c>
      <c r="C991" s="80"/>
      <c r="D991" s="50"/>
      <c r="E991" s="50"/>
      <c r="F991" s="35" t="str">
        <f t="shared" si="63"/>
        <v/>
      </c>
      <c r="G991" s="36" t="str">
        <f t="shared" si="64"/>
        <v/>
      </c>
      <c r="H991" s="51" t="str">
        <f t="shared" si="65"/>
        <v/>
      </c>
      <c r="I991" s="51" t="str">
        <f t="shared" si="65"/>
        <v/>
      </c>
      <c r="J991" s="51" t="str">
        <f t="shared" si="65"/>
        <v/>
      </c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  <c r="AE991" s="37"/>
      <c r="AF991" s="37"/>
      <c r="AG991" s="37"/>
      <c r="AH991" s="37"/>
      <c r="AI991" s="37"/>
      <c r="AJ991" s="37"/>
      <c r="AK991" s="37"/>
      <c r="AM991" s="38"/>
      <c r="AN991" s="38"/>
      <c r="AO991" s="38"/>
      <c r="AP991" s="38"/>
      <c r="AQ991" s="38"/>
      <c r="AR991" s="38"/>
      <c r="AS991" s="38"/>
      <c r="AT991" s="38"/>
      <c r="AU991" s="38"/>
      <c r="AV991" s="38"/>
      <c r="AW991" s="38"/>
      <c r="AX991" s="38"/>
      <c r="AY991" s="38"/>
      <c r="AZ991" s="38"/>
      <c r="BA991" s="38"/>
      <c r="BB991" s="38"/>
      <c r="BC991" s="38"/>
      <c r="BD991" s="38"/>
      <c r="BE991" s="38"/>
      <c r="BF991" s="38"/>
    </row>
    <row r="992" spans="1:58" ht="22.5" hidden="1" customHeight="1">
      <c r="A992" s="33" t="str">
        <f>IF(OR(ISBLANK(E992),ISBLANK(C992)),"",IF(COUNTIF($E$8:E992,E992)&gt;1,"",(MAX($A$7:A991)+1)))</f>
        <v/>
      </c>
      <c r="B992" s="34" t="str">
        <f>IF(ISBLANK(C992),"",SUBTOTAL(3,$C$8:C992))</f>
        <v/>
      </c>
      <c r="C992" s="80"/>
      <c r="D992" s="50"/>
      <c r="E992" s="50"/>
      <c r="F992" s="35" t="str">
        <f t="shared" si="63"/>
        <v/>
      </c>
      <c r="G992" s="36" t="str">
        <f t="shared" si="64"/>
        <v/>
      </c>
      <c r="H992" s="51" t="str">
        <f t="shared" si="65"/>
        <v/>
      </c>
      <c r="I992" s="51" t="str">
        <f t="shared" si="65"/>
        <v/>
      </c>
      <c r="J992" s="51" t="str">
        <f t="shared" si="65"/>
        <v/>
      </c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  <c r="AE992" s="37"/>
      <c r="AF992" s="37"/>
      <c r="AG992" s="37"/>
      <c r="AH992" s="37"/>
      <c r="AI992" s="37"/>
      <c r="AJ992" s="37"/>
      <c r="AK992" s="37"/>
      <c r="AM992" s="38"/>
      <c r="AN992" s="38"/>
      <c r="AO992" s="38"/>
      <c r="AP992" s="38"/>
      <c r="AQ992" s="38"/>
      <c r="AR992" s="38"/>
      <c r="AS992" s="38"/>
      <c r="AT992" s="38"/>
      <c r="AU992" s="38"/>
      <c r="AV992" s="38"/>
      <c r="AW992" s="38"/>
      <c r="AX992" s="38"/>
      <c r="AY992" s="38"/>
      <c r="AZ992" s="38"/>
      <c r="BA992" s="38"/>
      <c r="BB992" s="38"/>
      <c r="BC992" s="38"/>
      <c r="BD992" s="38"/>
      <c r="BE992" s="38"/>
      <c r="BF992" s="38"/>
    </row>
    <row r="993" spans="1:58" ht="22.5" hidden="1" customHeight="1">
      <c r="A993" s="33" t="str">
        <f>IF(OR(ISBLANK(E993),ISBLANK(C993)),"",IF(COUNTIF($E$8:E993,E993)&gt;1,"",(MAX($A$7:A992)+1)))</f>
        <v/>
      </c>
      <c r="B993" s="34" t="str">
        <f>IF(ISBLANK(C993),"",SUBTOTAL(3,$C$8:C993))</f>
        <v/>
      </c>
      <c r="C993" s="80"/>
      <c r="D993" s="50"/>
      <c r="E993" s="50"/>
      <c r="F993" s="35" t="str">
        <f t="shared" si="63"/>
        <v/>
      </c>
      <c r="G993" s="36" t="str">
        <f t="shared" si="64"/>
        <v/>
      </c>
      <c r="H993" s="51" t="str">
        <f t="shared" si="65"/>
        <v/>
      </c>
      <c r="I993" s="51" t="str">
        <f t="shared" si="65"/>
        <v/>
      </c>
      <c r="J993" s="51" t="str">
        <f t="shared" si="65"/>
        <v/>
      </c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  <c r="AE993" s="37"/>
      <c r="AF993" s="37"/>
      <c r="AG993" s="37"/>
      <c r="AH993" s="37"/>
      <c r="AI993" s="37"/>
      <c r="AJ993" s="37"/>
      <c r="AK993" s="37"/>
      <c r="AM993" s="38"/>
      <c r="AN993" s="38"/>
      <c r="AO993" s="38"/>
      <c r="AP993" s="38"/>
      <c r="AQ993" s="38"/>
      <c r="AR993" s="38"/>
      <c r="AS993" s="38"/>
      <c r="AT993" s="38"/>
      <c r="AU993" s="38"/>
      <c r="AV993" s="38"/>
      <c r="AW993" s="38"/>
      <c r="AX993" s="38"/>
      <c r="AY993" s="38"/>
      <c r="AZ993" s="38"/>
      <c r="BA993" s="38"/>
      <c r="BB993" s="38"/>
      <c r="BC993" s="38"/>
      <c r="BD993" s="38"/>
      <c r="BE993" s="38"/>
      <c r="BF993" s="38"/>
    </row>
    <row r="994" spans="1:58" ht="22.5" hidden="1" customHeight="1">
      <c r="A994" s="33" t="str">
        <f>IF(OR(ISBLANK(E994),ISBLANK(C994)),"",IF(COUNTIF($E$8:E994,E994)&gt;1,"",(MAX($A$7:A993)+1)))</f>
        <v/>
      </c>
      <c r="B994" s="34" t="str">
        <f>IF(ISBLANK(C994),"",SUBTOTAL(3,$C$8:C994))</f>
        <v/>
      </c>
      <c r="C994" s="78"/>
      <c r="D994" s="50"/>
      <c r="E994" s="50"/>
      <c r="F994" s="35" t="str">
        <f t="shared" si="63"/>
        <v/>
      </c>
      <c r="G994" s="36" t="str">
        <f t="shared" si="64"/>
        <v/>
      </c>
      <c r="H994" s="51" t="str">
        <f t="shared" si="65"/>
        <v/>
      </c>
      <c r="I994" s="51" t="str">
        <f t="shared" si="65"/>
        <v/>
      </c>
      <c r="J994" s="51" t="str">
        <f t="shared" si="65"/>
        <v/>
      </c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  <c r="AE994" s="37"/>
      <c r="AF994" s="37"/>
      <c r="AG994" s="37"/>
      <c r="AH994" s="37"/>
      <c r="AI994" s="37"/>
      <c r="AJ994" s="37"/>
      <c r="AK994" s="37"/>
      <c r="AM994" s="38"/>
      <c r="AN994" s="38"/>
      <c r="AO994" s="38"/>
      <c r="AP994" s="38"/>
      <c r="AQ994" s="38"/>
      <c r="AR994" s="38"/>
      <c r="AS994" s="38"/>
      <c r="AT994" s="38"/>
      <c r="AU994" s="38"/>
      <c r="AV994" s="38"/>
      <c r="AW994" s="38"/>
      <c r="AX994" s="38"/>
      <c r="AY994" s="38"/>
      <c r="AZ994" s="38"/>
      <c r="BA994" s="38"/>
      <c r="BB994" s="38"/>
      <c r="BC994" s="38"/>
      <c r="BD994" s="38"/>
      <c r="BE994" s="38"/>
      <c r="BF994" s="38"/>
    </row>
    <row r="995" spans="1:58" ht="22.5" hidden="1" customHeight="1">
      <c r="A995" s="33" t="str">
        <f>IF(OR(ISBLANK(E995),ISBLANK(C995)),"",IF(COUNTIF($E$8:E995,E995)&gt;1,"",(MAX($A$7:A994)+1)))</f>
        <v/>
      </c>
      <c r="B995" s="34" t="str">
        <f>IF(ISBLANK(C995),"",SUBTOTAL(3,$C$8:C995))</f>
        <v/>
      </c>
      <c r="C995" s="78"/>
      <c r="D995" s="50"/>
      <c r="E995" s="50"/>
      <c r="F995" s="35" t="str">
        <f t="shared" si="63"/>
        <v/>
      </c>
      <c r="G995" s="36" t="str">
        <f t="shared" si="64"/>
        <v/>
      </c>
      <c r="H995" s="51" t="str">
        <f t="shared" si="65"/>
        <v/>
      </c>
      <c r="I995" s="51" t="str">
        <f t="shared" si="65"/>
        <v/>
      </c>
      <c r="J995" s="51" t="str">
        <f t="shared" si="65"/>
        <v/>
      </c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  <c r="AE995" s="37"/>
      <c r="AF995" s="37"/>
      <c r="AG995" s="37"/>
      <c r="AH995" s="37"/>
      <c r="AI995" s="37"/>
      <c r="AJ995" s="37"/>
      <c r="AK995" s="37"/>
      <c r="AM995" s="38"/>
      <c r="AN995" s="38"/>
      <c r="AO995" s="38"/>
      <c r="AP995" s="38"/>
      <c r="AQ995" s="38"/>
      <c r="AR995" s="38"/>
      <c r="AS995" s="38"/>
      <c r="AT995" s="38"/>
      <c r="AU995" s="38"/>
      <c r="AV995" s="38"/>
      <c r="AW995" s="38"/>
      <c r="AX995" s="38"/>
      <c r="AY995" s="38"/>
      <c r="AZ995" s="38"/>
      <c r="BA995" s="38"/>
      <c r="BB995" s="38"/>
      <c r="BC995" s="38"/>
      <c r="BD995" s="38"/>
      <c r="BE995" s="38"/>
      <c r="BF995" s="38"/>
    </row>
    <row r="996" spans="1:58" ht="22.5" hidden="1" customHeight="1">
      <c r="A996" s="33" t="str">
        <f>IF(OR(ISBLANK(E996),ISBLANK(C996)),"",IF(COUNTIF($E$8:E996,E996)&gt;1,"",(MAX($A$7:A995)+1)))</f>
        <v/>
      </c>
      <c r="B996" s="34" t="str">
        <f>IF(ISBLANK(C996),"",SUBTOTAL(3,$C$8:C996))</f>
        <v/>
      </c>
      <c r="C996" s="78"/>
      <c r="D996" s="50"/>
      <c r="E996" s="50"/>
      <c r="F996" s="35" t="str">
        <f t="shared" si="63"/>
        <v/>
      </c>
      <c r="G996" s="36" t="str">
        <f t="shared" si="64"/>
        <v/>
      </c>
      <c r="H996" s="51" t="str">
        <f t="shared" si="65"/>
        <v/>
      </c>
      <c r="I996" s="51" t="str">
        <f t="shared" si="65"/>
        <v/>
      </c>
      <c r="J996" s="51" t="str">
        <f t="shared" si="65"/>
        <v/>
      </c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  <c r="AE996" s="37"/>
      <c r="AF996" s="37"/>
      <c r="AG996" s="37"/>
      <c r="AH996" s="37"/>
      <c r="AI996" s="37"/>
      <c r="AJ996" s="37"/>
      <c r="AK996" s="37"/>
      <c r="AM996" s="38"/>
      <c r="AN996" s="38"/>
      <c r="AO996" s="38"/>
      <c r="AP996" s="38"/>
      <c r="AQ996" s="38"/>
      <c r="AR996" s="38"/>
      <c r="AS996" s="38"/>
      <c r="AT996" s="38"/>
      <c r="AU996" s="38"/>
      <c r="AV996" s="38"/>
      <c r="AW996" s="38"/>
      <c r="AX996" s="38"/>
      <c r="AY996" s="38"/>
      <c r="AZ996" s="38"/>
      <c r="BA996" s="38"/>
      <c r="BB996" s="38"/>
      <c r="BC996" s="38"/>
      <c r="BD996" s="38"/>
      <c r="BE996" s="38"/>
      <c r="BF996" s="38"/>
    </row>
    <row r="997" spans="1:58" ht="22.5" hidden="1" customHeight="1">
      <c r="A997" s="33" t="str">
        <f>IF(OR(ISBLANK(E997),ISBLANK(C997)),"",IF(COUNTIF($E$8:E997,E997)&gt;1,"",(MAX($A$7:A996)+1)))</f>
        <v/>
      </c>
      <c r="B997" s="34" t="str">
        <f>IF(ISBLANK(C997),"",SUBTOTAL(3,$C$8:C997))</f>
        <v/>
      </c>
      <c r="C997" s="78"/>
      <c r="D997" s="50"/>
      <c r="E997" s="50"/>
      <c r="F997" s="35" t="str">
        <f t="shared" si="63"/>
        <v/>
      </c>
      <c r="G997" s="36" t="str">
        <f t="shared" si="64"/>
        <v/>
      </c>
      <c r="H997" s="51" t="str">
        <f t="shared" si="65"/>
        <v/>
      </c>
      <c r="I997" s="51" t="str">
        <f t="shared" si="65"/>
        <v/>
      </c>
      <c r="J997" s="51" t="str">
        <f t="shared" si="65"/>
        <v/>
      </c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  <c r="AE997" s="37"/>
      <c r="AF997" s="37"/>
      <c r="AG997" s="37"/>
      <c r="AH997" s="37"/>
      <c r="AI997" s="37"/>
      <c r="AJ997" s="37"/>
      <c r="AK997" s="37"/>
      <c r="AM997" s="38"/>
      <c r="AN997" s="38"/>
      <c r="AO997" s="38"/>
      <c r="AP997" s="38"/>
      <c r="AQ997" s="38"/>
      <c r="AR997" s="38"/>
      <c r="AS997" s="38"/>
      <c r="AT997" s="38"/>
      <c r="AU997" s="38"/>
      <c r="AV997" s="38"/>
      <c r="AW997" s="38"/>
      <c r="AX997" s="38"/>
      <c r="AY997" s="38"/>
      <c r="AZ997" s="38"/>
      <c r="BA997" s="38"/>
      <c r="BB997" s="38"/>
      <c r="BC997" s="38"/>
      <c r="BD997" s="38"/>
      <c r="BE997" s="38"/>
      <c r="BF997" s="38"/>
    </row>
    <row r="998" spans="1:58" ht="22.5" hidden="1" customHeight="1">
      <c r="A998" s="33" t="str">
        <f>IF(OR(ISBLANK(E998),ISBLANK(C998)),"",IF(COUNTIF($E$8:E998,E998)&gt;1,"",(MAX($A$7:A997)+1)))</f>
        <v/>
      </c>
      <c r="B998" s="34" t="str">
        <f>IF(ISBLANK(C998),"",SUBTOTAL(3,$C$8:C998))</f>
        <v/>
      </c>
      <c r="C998" s="78"/>
      <c r="D998" s="50"/>
      <c r="E998" s="50"/>
      <c r="F998" s="35" t="str">
        <f t="shared" si="63"/>
        <v/>
      </c>
      <c r="G998" s="36" t="str">
        <f t="shared" si="64"/>
        <v/>
      </c>
      <c r="H998" s="51" t="str">
        <f t="shared" si="65"/>
        <v/>
      </c>
      <c r="I998" s="51" t="str">
        <f t="shared" si="65"/>
        <v/>
      </c>
      <c r="J998" s="51" t="str">
        <f t="shared" si="65"/>
        <v/>
      </c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  <c r="AE998" s="37"/>
      <c r="AF998" s="37"/>
      <c r="AG998" s="37"/>
      <c r="AH998" s="37"/>
      <c r="AI998" s="37"/>
      <c r="AJ998" s="37"/>
      <c r="AK998" s="37"/>
      <c r="AM998" s="38"/>
      <c r="AN998" s="38"/>
      <c r="AO998" s="38"/>
      <c r="AP998" s="38"/>
      <c r="AQ998" s="38"/>
      <c r="AR998" s="38"/>
      <c r="AS998" s="38"/>
      <c r="AT998" s="38"/>
      <c r="AU998" s="38"/>
      <c r="AV998" s="38"/>
      <c r="AW998" s="38"/>
      <c r="AX998" s="38"/>
      <c r="AY998" s="38"/>
      <c r="AZ998" s="38"/>
      <c r="BA998" s="38"/>
      <c r="BB998" s="38"/>
      <c r="BC998" s="38"/>
      <c r="BD998" s="38"/>
      <c r="BE998" s="38"/>
      <c r="BF998" s="38"/>
    </row>
    <row r="999" spans="1:58" ht="22.5" hidden="1" customHeight="1">
      <c r="A999" s="33" t="str">
        <f>IF(OR(ISBLANK(E999),ISBLANK(C999)),"",IF(COUNTIF($E$8:E999,E999)&gt;1,"",(MAX($A$7:A998)+1)))</f>
        <v/>
      </c>
      <c r="B999" s="34" t="str">
        <f>IF(ISBLANK(C999),"",SUBTOTAL(3,$C$8:C999))</f>
        <v/>
      </c>
      <c r="C999" s="78"/>
      <c r="D999" s="50"/>
      <c r="E999" s="50"/>
      <c r="F999" s="35" t="str">
        <f t="shared" si="63"/>
        <v/>
      </c>
      <c r="G999" s="36" t="str">
        <f t="shared" si="64"/>
        <v/>
      </c>
      <c r="H999" s="51" t="str">
        <f t="shared" si="65"/>
        <v/>
      </c>
      <c r="I999" s="51" t="str">
        <f t="shared" si="65"/>
        <v/>
      </c>
      <c r="J999" s="51" t="str">
        <f t="shared" si="65"/>
        <v/>
      </c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  <c r="AE999" s="37"/>
      <c r="AF999" s="37"/>
      <c r="AG999" s="37"/>
      <c r="AH999" s="37"/>
      <c r="AI999" s="37"/>
      <c r="AJ999" s="37"/>
      <c r="AK999" s="37"/>
      <c r="AM999" s="38"/>
      <c r="AN999" s="38"/>
      <c r="AO999" s="38"/>
      <c r="AP999" s="38"/>
      <c r="AQ999" s="38"/>
      <c r="AR999" s="38"/>
      <c r="AS999" s="38"/>
      <c r="AT999" s="38"/>
      <c r="AU999" s="38"/>
      <c r="AV999" s="38"/>
      <c r="AW999" s="38"/>
      <c r="AX999" s="38"/>
      <c r="AY999" s="38"/>
      <c r="AZ999" s="38"/>
      <c r="BA999" s="38"/>
      <c r="BB999" s="38"/>
      <c r="BC999" s="38"/>
      <c r="BD999" s="38"/>
      <c r="BE999" s="38"/>
      <c r="BF999" s="38"/>
    </row>
    <row r="1000" spans="1:58" ht="22.5" hidden="1" customHeight="1">
      <c r="A1000" s="33" t="str">
        <f>IF(OR(ISBLANK(E1000),ISBLANK(C1000)),"",IF(COUNTIF($E$8:E1000,E1000)&gt;1,"",(MAX($A$7:A999)+1)))</f>
        <v/>
      </c>
      <c r="B1000" s="34" t="str">
        <f>IF(ISBLANK(C1000),"",SUBTOTAL(3,$C$8:C1000))</f>
        <v/>
      </c>
      <c r="C1000" s="78"/>
      <c r="D1000" s="50"/>
      <c r="E1000" s="50"/>
      <c r="F1000" s="35" t="str">
        <f t="shared" si="63"/>
        <v/>
      </c>
      <c r="G1000" s="36" t="str">
        <f t="shared" si="64"/>
        <v/>
      </c>
      <c r="H1000" s="51" t="str">
        <f t="shared" si="65"/>
        <v/>
      </c>
      <c r="I1000" s="51" t="str">
        <f t="shared" si="65"/>
        <v/>
      </c>
      <c r="J1000" s="51" t="str">
        <f t="shared" si="65"/>
        <v/>
      </c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  <c r="AE1000" s="37"/>
      <c r="AF1000" s="37"/>
      <c r="AG1000" s="37"/>
      <c r="AH1000" s="37"/>
      <c r="AI1000" s="37"/>
      <c r="AJ1000" s="37"/>
      <c r="AK1000" s="37"/>
      <c r="AM1000" s="38"/>
      <c r="AN1000" s="38"/>
      <c r="AO1000" s="38"/>
      <c r="AP1000" s="38"/>
      <c r="AQ1000" s="38"/>
      <c r="AR1000" s="38"/>
      <c r="AS1000" s="38"/>
      <c r="AT1000" s="38"/>
      <c r="AU1000" s="38"/>
      <c r="AV1000" s="38"/>
      <c r="AW1000" s="38"/>
      <c r="AX1000" s="38"/>
      <c r="AY1000" s="38"/>
      <c r="AZ1000" s="38"/>
      <c r="BA1000" s="38"/>
      <c r="BB1000" s="38"/>
      <c r="BC1000" s="38"/>
      <c r="BD1000" s="38"/>
      <c r="BE1000" s="38"/>
      <c r="BF1000" s="38"/>
    </row>
    <row r="1001" spans="1:58" ht="22.5" hidden="1" customHeight="1">
      <c r="A1001" s="33" t="str">
        <f>IF(OR(ISBLANK(E1001),ISBLANK(C1001)),"",IF(COUNTIF($E$8:E1001,E1001)&gt;1,"",(MAX($A$7:A1000)+1)))</f>
        <v/>
      </c>
      <c r="B1001" s="34" t="str">
        <f>IF(ISBLANK(C1001),"",SUBTOTAL(3,$C$8:C1001))</f>
        <v/>
      </c>
      <c r="C1001" s="78"/>
      <c r="D1001" s="50"/>
      <c r="E1001" s="50"/>
      <c r="F1001" s="35" t="str">
        <f t="shared" si="63"/>
        <v/>
      </c>
      <c r="G1001" s="36" t="str">
        <f t="shared" si="64"/>
        <v/>
      </c>
      <c r="H1001" s="51" t="str">
        <f t="shared" si="65"/>
        <v/>
      </c>
      <c r="I1001" s="51" t="str">
        <f t="shared" si="65"/>
        <v/>
      </c>
      <c r="J1001" s="51" t="str">
        <f t="shared" si="65"/>
        <v/>
      </c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  <c r="AE1001" s="37"/>
      <c r="AF1001" s="37"/>
      <c r="AG1001" s="37"/>
      <c r="AH1001" s="37"/>
      <c r="AI1001" s="37"/>
      <c r="AJ1001" s="37"/>
      <c r="AK1001" s="37"/>
      <c r="AM1001" s="38"/>
      <c r="AN1001" s="38"/>
      <c r="AO1001" s="38"/>
      <c r="AP1001" s="38"/>
      <c r="AQ1001" s="38"/>
      <c r="AR1001" s="38"/>
      <c r="AS1001" s="38"/>
      <c r="AT1001" s="38"/>
      <c r="AU1001" s="38"/>
      <c r="AV1001" s="38"/>
      <c r="AW1001" s="38"/>
      <c r="AX1001" s="38"/>
      <c r="AY1001" s="38"/>
      <c r="AZ1001" s="38"/>
      <c r="BA1001" s="38"/>
      <c r="BB1001" s="38"/>
      <c r="BC1001" s="38"/>
      <c r="BD1001" s="38"/>
      <c r="BE1001" s="38"/>
      <c r="BF1001" s="38"/>
    </row>
    <row r="1002" spans="1:58" ht="22.5" hidden="1" customHeight="1">
      <c r="A1002" s="33" t="str">
        <f>IF(OR(ISBLANK(E1002),ISBLANK(C1002)),"",IF(COUNTIF($E$8:E1002,E1002)&gt;1,"",(MAX($A$7:A1001)+1)))</f>
        <v/>
      </c>
      <c r="B1002" s="34" t="str">
        <f>IF(ISBLANK(C1002),"",SUBTOTAL(3,$C$8:C1002))</f>
        <v/>
      </c>
      <c r="C1002" s="78"/>
      <c r="D1002" s="50"/>
      <c r="E1002" s="50"/>
      <c r="F1002" s="35" t="str">
        <f t="shared" si="63"/>
        <v/>
      </c>
      <c r="G1002" s="36" t="str">
        <f t="shared" si="64"/>
        <v/>
      </c>
      <c r="H1002" s="51" t="str">
        <f t="shared" si="65"/>
        <v/>
      </c>
      <c r="I1002" s="51" t="str">
        <f t="shared" si="65"/>
        <v/>
      </c>
      <c r="J1002" s="51" t="str">
        <f t="shared" si="65"/>
        <v/>
      </c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  <c r="AE1002" s="37"/>
      <c r="AF1002" s="37"/>
      <c r="AG1002" s="37"/>
      <c r="AH1002" s="37"/>
      <c r="AI1002" s="37"/>
      <c r="AJ1002" s="37"/>
      <c r="AK1002" s="37"/>
      <c r="AM1002" s="38"/>
      <c r="AN1002" s="38"/>
      <c r="AO1002" s="38"/>
      <c r="AP1002" s="38"/>
      <c r="AQ1002" s="38"/>
      <c r="AR1002" s="38"/>
      <c r="AS1002" s="38"/>
      <c r="AT1002" s="38"/>
      <c r="AU1002" s="38"/>
      <c r="AV1002" s="38"/>
      <c r="AW1002" s="38"/>
      <c r="AX1002" s="38"/>
      <c r="AY1002" s="38"/>
      <c r="AZ1002" s="38"/>
      <c r="BA1002" s="38"/>
      <c r="BB1002" s="38"/>
      <c r="BC1002" s="38"/>
      <c r="BD1002" s="38"/>
      <c r="BE1002" s="38"/>
      <c r="BF1002" s="38"/>
    </row>
    <row r="1003" spans="1:58" ht="22.5" hidden="1" customHeight="1">
      <c r="A1003" s="33" t="str">
        <f>IF(OR(ISBLANK(E1003),ISBLANK(C1003)),"",IF(COUNTIF($E$8:E1003,E1003)&gt;1,"",(MAX($A$7:A1002)+1)))</f>
        <v/>
      </c>
      <c r="B1003" s="34" t="str">
        <f>IF(ISBLANK(C1003),"",SUBTOTAL(3,$C$8:C1003))</f>
        <v/>
      </c>
      <c r="C1003" s="78"/>
      <c r="D1003" s="50"/>
      <c r="E1003" s="50"/>
      <c r="F1003" s="35" t="str">
        <f t="shared" si="63"/>
        <v/>
      </c>
      <c r="G1003" s="36" t="str">
        <f t="shared" si="64"/>
        <v/>
      </c>
      <c r="H1003" s="51" t="str">
        <f t="shared" si="65"/>
        <v/>
      </c>
      <c r="I1003" s="51" t="str">
        <f t="shared" si="65"/>
        <v/>
      </c>
      <c r="J1003" s="51" t="str">
        <f t="shared" si="65"/>
        <v/>
      </c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  <c r="AE1003" s="37"/>
      <c r="AF1003" s="37"/>
      <c r="AG1003" s="37"/>
      <c r="AH1003" s="37"/>
      <c r="AI1003" s="37"/>
      <c r="AJ1003" s="37"/>
      <c r="AK1003" s="37"/>
      <c r="AM1003" s="38"/>
      <c r="AN1003" s="38"/>
      <c r="AO1003" s="38"/>
      <c r="AP1003" s="38"/>
      <c r="AQ1003" s="38"/>
      <c r="AR1003" s="38"/>
      <c r="AS1003" s="38"/>
      <c r="AT1003" s="38"/>
      <c r="AU1003" s="38"/>
      <c r="AV1003" s="38"/>
      <c r="AW1003" s="38"/>
      <c r="AX1003" s="38"/>
      <c r="AY1003" s="38"/>
      <c r="AZ1003" s="38"/>
      <c r="BA1003" s="38"/>
      <c r="BB1003" s="38"/>
      <c r="BC1003" s="38"/>
      <c r="BD1003" s="38"/>
      <c r="BE1003" s="38"/>
      <c r="BF1003" s="38"/>
    </row>
    <row r="1004" spans="1:58" ht="22.5" hidden="1" customHeight="1">
      <c r="A1004" s="33" t="str">
        <f>IF(OR(ISBLANK(E1004),ISBLANK(C1004)),"",IF(COUNTIF($E$8:E1004,E1004)&gt;1,"",(MAX($A$7:A1003)+1)))</f>
        <v/>
      </c>
      <c r="B1004" s="34" t="str">
        <f>IF(ISBLANK(C1004),"",SUBTOTAL(3,$C$8:C1004))</f>
        <v/>
      </c>
      <c r="C1004" s="78"/>
      <c r="D1004" s="50"/>
      <c r="E1004" s="50"/>
      <c r="F1004" s="35" t="str">
        <f t="shared" si="63"/>
        <v/>
      </c>
      <c r="G1004" s="36" t="str">
        <f t="shared" si="64"/>
        <v/>
      </c>
      <c r="H1004" s="51" t="str">
        <f t="shared" si="65"/>
        <v/>
      </c>
      <c r="I1004" s="51" t="str">
        <f t="shared" si="65"/>
        <v/>
      </c>
      <c r="J1004" s="51" t="str">
        <f t="shared" si="65"/>
        <v/>
      </c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  <c r="AE1004" s="37"/>
      <c r="AF1004" s="37"/>
      <c r="AG1004" s="37"/>
      <c r="AH1004" s="37"/>
      <c r="AI1004" s="37"/>
      <c r="AJ1004" s="37"/>
      <c r="AK1004" s="37"/>
      <c r="AM1004" s="38"/>
      <c r="AN1004" s="38"/>
      <c r="AO1004" s="38"/>
      <c r="AP1004" s="38"/>
      <c r="AQ1004" s="38"/>
      <c r="AR1004" s="38"/>
      <c r="AS1004" s="38"/>
      <c r="AT1004" s="38"/>
      <c r="AU1004" s="38"/>
      <c r="AV1004" s="38"/>
      <c r="AW1004" s="38"/>
      <c r="AX1004" s="38"/>
      <c r="AY1004" s="38"/>
      <c r="AZ1004" s="38"/>
      <c r="BA1004" s="38"/>
      <c r="BB1004" s="38"/>
      <c r="BC1004" s="38"/>
      <c r="BD1004" s="38"/>
      <c r="BE1004" s="38"/>
      <c r="BF1004" s="38"/>
    </row>
    <row r="1005" spans="1:58" ht="22.5" hidden="1" customHeight="1">
      <c r="A1005" s="33" t="str">
        <f>IF(OR(ISBLANK(E1005),ISBLANK(C1005)),"",IF(COUNTIF($E$8:E1005,E1005)&gt;1,"",(MAX($A$7:A1004)+1)))</f>
        <v/>
      </c>
      <c r="B1005" s="34" t="str">
        <f>IF(ISBLANK(C1005),"",SUBTOTAL(3,$C$8:C1005))</f>
        <v/>
      </c>
      <c r="C1005" s="88"/>
      <c r="D1005" s="50"/>
      <c r="E1005" s="50"/>
      <c r="F1005" s="35" t="str">
        <f t="shared" si="63"/>
        <v/>
      </c>
      <c r="G1005" s="36" t="str">
        <f t="shared" si="64"/>
        <v/>
      </c>
      <c r="H1005" s="51" t="str">
        <f t="shared" si="65"/>
        <v/>
      </c>
      <c r="I1005" s="51" t="str">
        <f t="shared" si="65"/>
        <v/>
      </c>
      <c r="J1005" s="51" t="str">
        <f t="shared" si="65"/>
        <v/>
      </c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  <c r="AE1005" s="37"/>
      <c r="AF1005" s="37"/>
      <c r="AG1005" s="37"/>
      <c r="AH1005" s="37"/>
      <c r="AI1005" s="37"/>
      <c r="AJ1005" s="37"/>
      <c r="AK1005" s="37"/>
      <c r="AM1005" s="38"/>
      <c r="AN1005" s="38"/>
      <c r="AO1005" s="38"/>
      <c r="AP1005" s="38"/>
      <c r="AQ1005" s="38"/>
      <c r="AR1005" s="38"/>
      <c r="AS1005" s="38"/>
      <c r="AT1005" s="38"/>
      <c r="AU1005" s="38"/>
      <c r="AV1005" s="38"/>
      <c r="AW1005" s="38"/>
      <c r="AX1005" s="38"/>
      <c r="AY1005" s="38"/>
      <c r="AZ1005" s="38"/>
      <c r="BA1005" s="38"/>
      <c r="BB1005" s="38"/>
      <c r="BC1005" s="38"/>
      <c r="BD1005" s="38"/>
      <c r="BE1005" s="38"/>
      <c r="BF1005" s="38"/>
    </row>
    <row r="1006" spans="1:58" ht="22.5" hidden="1" customHeight="1">
      <c r="A1006" s="33" t="str">
        <f>IF(OR(ISBLANK(E1006),ISBLANK(C1006)),"",IF(COUNTIF($E$8:E1006,E1006)&gt;1,"",(MAX($A$7:A1005)+1)))</f>
        <v/>
      </c>
      <c r="B1006" s="34" t="str">
        <f>IF(ISBLANK(C1006),"",SUBTOTAL(3,$C$8:C1006))</f>
        <v/>
      </c>
      <c r="C1006" s="78"/>
      <c r="D1006" s="50"/>
      <c r="E1006" s="50"/>
      <c r="F1006" s="35" t="str">
        <f t="shared" si="63"/>
        <v/>
      </c>
      <c r="G1006" s="36" t="str">
        <f t="shared" si="64"/>
        <v/>
      </c>
      <c r="H1006" s="51" t="str">
        <f t="shared" si="65"/>
        <v/>
      </c>
      <c r="I1006" s="51" t="str">
        <f t="shared" si="65"/>
        <v/>
      </c>
      <c r="J1006" s="51" t="str">
        <f t="shared" si="65"/>
        <v/>
      </c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  <c r="AE1006" s="37"/>
      <c r="AF1006" s="37"/>
      <c r="AG1006" s="37"/>
      <c r="AH1006" s="37"/>
      <c r="AI1006" s="37"/>
      <c r="AJ1006" s="37"/>
      <c r="AK1006" s="37"/>
      <c r="AM1006" s="38"/>
      <c r="AN1006" s="38"/>
      <c r="AO1006" s="38"/>
      <c r="AP1006" s="38"/>
      <c r="AQ1006" s="38"/>
      <c r="AR1006" s="38"/>
      <c r="AS1006" s="38"/>
      <c r="AT1006" s="38"/>
      <c r="AU1006" s="38"/>
      <c r="AV1006" s="38"/>
      <c r="AW1006" s="38"/>
      <c r="AX1006" s="38"/>
      <c r="AY1006" s="38"/>
      <c r="AZ1006" s="38"/>
      <c r="BA1006" s="38"/>
      <c r="BB1006" s="38"/>
      <c r="BC1006" s="38"/>
      <c r="BD1006" s="38"/>
      <c r="BE1006" s="38"/>
      <c r="BF1006" s="38"/>
    </row>
    <row r="1007" spans="1:58" ht="22.5" hidden="1" customHeight="1">
      <c r="A1007" s="33" t="str">
        <f>IF(OR(ISBLANK(E1007),ISBLANK(C1007)),"",IF(COUNTIF($E$8:E1007,E1007)&gt;1,"",(MAX($A$7:A1006)+1)))</f>
        <v/>
      </c>
      <c r="B1007" s="34" t="str">
        <f>IF(ISBLANK(C1007),"",SUBTOTAL(3,$C$8:C1007))</f>
        <v/>
      </c>
      <c r="C1007" s="78"/>
      <c r="D1007" s="50"/>
      <c r="E1007" s="50"/>
      <c r="F1007" s="35" t="str">
        <f t="shared" si="63"/>
        <v/>
      </c>
      <c r="G1007" s="36" t="str">
        <f t="shared" si="64"/>
        <v/>
      </c>
      <c r="H1007" s="51" t="str">
        <f t="shared" si="65"/>
        <v/>
      </c>
      <c r="I1007" s="51" t="str">
        <f t="shared" si="65"/>
        <v/>
      </c>
      <c r="J1007" s="51" t="str">
        <f t="shared" si="65"/>
        <v/>
      </c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  <c r="AE1007" s="37"/>
      <c r="AF1007" s="37"/>
      <c r="AG1007" s="37"/>
      <c r="AH1007" s="37"/>
      <c r="AI1007" s="37"/>
      <c r="AJ1007" s="37"/>
      <c r="AK1007" s="37"/>
      <c r="AM1007" s="38"/>
      <c r="AN1007" s="38"/>
      <c r="AO1007" s="38"/>
      <c r="AP1007" s="38"/>
      <c r="AQ1007" s="38"/>
      <c r="AR1007" s="38"/>
      <c r="AS1007" s="38"/>
      <c r="AT1007" s="38"/>
      <c r="AU1007" s="38"/>
      <c r="AV1007" s="38"/>
      <c r="AW1007" s="38"/>
      <c r="AX1007" s="38"/>
      <c r="AY1007" s="38"/>
      <c r="AZ1007" s="38"/>
      <c r="BA1007" s="38"/>
      <c r="BB1007" s="38"/>
      <c r="BC1007" s="38"/>
      <c r="BD1007" s="38"/>
      <c r="BE1007" s="38"/>
      <c r="BF1007" s="38"/>
    </row>
    <row r="1008" spans="1:58" ht="22.5" hidden="1" customHeight="1">
      <c r="A1008" s="33" t="str">
        <f>IF(OR(ISBLANK(E1008),ISBLANK(C1008)),"",IF(COUNTIF($E$8:E1008,E1008)&gt;1,"",(MAX($A$7:A1007)+1)))</f>
        <v/>
      </c>
      <c r="B1008" s="34" t="str">
        <f>IF(ISBLANK(C1008),"",SUBTOTAL(3,$C$8:C1008))</f>
        <v/>
      </c>
      <c r="C1008" s="78"/>
      <c r="D1008" s="50"/>
      <c r="E1008" s="50"/>
      <c r="F1008" s="35" t="str">
        <f t="shared" si="63"/>
        <v/>
      </c>
      <c r="G1008" s="36" t="str">
        <f t="shared" si="64"/>
        <v/>
      </c>
      <c r="H1008" s="51" t="str">
        <f t="shared" si="65"/>
        <v/>
      </c>
      <c r="I1008" s="51" t="str">
        <f t="shared" si="65"/>
        <v/>
      </c>
      <c r="J1008" s="51" t="str">
        <f t="shared" si="65"/>
        <v/>
      </c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  <c r="AE1008" s="37"/>
      <c r="AF1008" s="37"/>
      <c r="AG1008" s="37"/>
      <c r="AH1008" s="37"/>
      <c r="AI1008" s="37"/>
      <c r="AJ1008" s="37"/>
      <c r="AK1008" s="37"/>
      <c r="AM1008" s="38"/>
      <c r="AN1008" s="38"/>
      <c r="AO1008" s="38"/>
      <c r="AP1008" s="38"/>
      <c r="AQ1008" s="38"/>
      <c r="AR1008" s="38"/>
      <c r="AS1008" s="38"/>
      <c r="AT1008" s="38"/>
      <c r="AU1008" s="38"/>
      <c r="AV1008" s="38"/>
      <c r="AW1008" s="38"/>
      <c r="AX1008" s="38"/>
      <c r="AY1008" s="38"/>
      <c r="AZ1008" s="38"/>
      <c r="BA1008" s="38"/>
      <c r="BB1008" s="38"/>
      <c r="BC1008" s="38"/>
      <c r="BD1008" s="38"/>
      <c r="BE1008" s="38"/>
      <c r="BF1008" s="38"/>
    </row>
    <row r="1009" spans="1:58" ht="22.5" hidden="1" customHeight="1">
      <c r="A1009" s="33" t="str">
        <f>IF(OR(ISBLANK(E1009),ISBLANK(C1009)),"",IF(COUNTIF($E$8:E1009,E1009)&gt;1,"",(MAX($A$7:A1008)+1)))</f>
        <v/>
      </c>
      <c r="B1009" s="34" t="str">
        <f>IF(ISBLANK(C1009),"",SUBTOTAL(3,$C$8:C1009))</f>
        <v/>
      </c>
      <c r="C1009" s="80"/>
      <c r="D1009" s="52"/>
      <c r="E1009" s="50"/>
      <c r="F1009" s="35" t="str">
        <f t="shared" si="63"/>
        <v/>
      </c>
      <c r="G1009" s="36" t="str">
        <f t="shared" si="64"/>
        <v/>
      </c>
      <c r="H1009" s="51" t="str">
        <f t="shared" si="65"/>
        <v/>
      </c>
      <c r="I1009" s="51" t="str">
        <f t="shared" si="65"/>
        <v/>
      </c>
      <c r="J1009" s="51" t="str">
        <f t="shared" si="65"/>
        <v/>
      </c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  <c r="AE1009" s="37"/>
      <c r="AF1009" s="37"/>
      <c r="AG1009" s="37"/>
      <c r="AH1009" s="37"/>
      <c r="AI1009" s="37"/>
      <c r="AJ1009" s="37"/>
      <c r="AK1009" s="37"/>
      <c r="AM1009" s="38"/>
      <c r="AN1009" s="38"/>
      <c r="AO1009" s="38"/>
      <c r="AP1009" s="38"/>
      <c r="AQ1009" s="38"/>
      <c r="AR1009" s="38"/>
      <c r="AS1009" s="38"/>
      <c r="AT1009" s="38"/>
      <c r="AU1009" s="38"/>
      <c r="AV1009" s="38"/>
      <c r="AW1009" s="38"/>
      <c r="AX1009" s="38"/>
      <c r="AY1009" s="38"/>
      <c r="AZ1009" s="38"/>
      <c r="BA1009" s="38"/>
      <c r="BB1009" s="38"/>
      <c r="BC1009" s="38"/>
      <c r="BD1009" s="38"/>
      <c r="BE1009" s="38"/>
      <c r="BF1009" s="38"/>
    </row>
    <row r="1010" spans="1:58" ht="22.5" hidden="1" customHeight="1">
      <c r="A1010" s="33" t="str">
        <f>IF(OR(ISBLANK(E1010),ISBLANK(C1010)),"",IF(COUNTIF($E$8:E1010,E1010)&gt;1,"",(MAX($A$7:A1009)+1)))</f>
        <v/>
      </c>
      <c r="B1010" s="34" t="str">
        <f>IF(ISBLANK(C1010),"",SUBTOTAL(3,$C$8:C1010))</f>
        <v/>
      </c>
      <c r="C1010" s="80"/>
      <c r="D1010" s="52"/>
      <c r="E1010" s="50"/>
      <c r="F1010" s="35" t="str">
        <f t="shared" si="63"/>
        <v/>
      </c>
      <c r="G1010" s="36" t="str">
        <f t="shared" si="64"/>
        <v/>
      </c>
      <c r="H1010" s="51" t="str">
        <f t="shared" si="65"/>
        <v/>
      </c>
      <c r="I1010" s="51" t="str">
        <f t="shared" si="65"/>
        <v/>
      </c>
      <c r="J1010" s="51" t="str">
        <f t="shared" si="65"/>
        <v/>
      </c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  <c r="AE1010" s="37"/>
      <c r="AF1010" s="37"/>
      <c r="AG1010" s="37"/>
      <c r="AH1010" s="37"/>
      <c r="AI1010" s="37"/>
      <c r="AJ1010" s="37"/>
      <c r="AK1010" s="37"/>
      <c r="AM1010" s="38"/>
      <c r="AN1010" s="38"/>
      <c r="AO1010" s="38"/>
      <c r="AP1010" s="38"/>
      <c r="AQ1010" s="38"/>
      <c r="AR1010" s="38"/>
      <c r="AS1010" s="38"/>
      <c r="AT1010" s="38"/>
      <c r="AU1010" s="38"/>
      <c r="AV1010" s="38"/>
      <c r="AW1010" s="38"/>
      <c r="AX1010" s="38"/>
      <c r="AY1010" s="38"/>
      <c r="AZ1010" s="38"/>
      <c r="BA1010" s="38"/>
      <c r="BB1010" s="38"/>
      <c r="BC1010" s="38"/>
      <c r="BD1010" s="38"/>
      <c r="BE1010" s="38"/>
      <c r="BF1010" s="38"/>
    </row>
    <row r="1011" spans="1:58" ht="22.5" hidden="1" customHeight="1">
      <c r="A1011" s="33" t="str">
        <f>IF(OR(ISBLANK(E1011),ISBLANK(C1011)),"",IF(COUNTIF($E$8:E1011,E1011)&gt;1,"",(MAX($A$7:A1010)+1)))</f>
        <v/>
      </c>
      <c r="B1011" s="34" t="str">
        <f>IF(ISBLANK(C1011),"",SUBTOTAL(3,$C$8:C1011))</f>
        <v/>
      </c>
      <c r="C1011" s="80"/>
      <c r="D1011" s="50"/>
      <c r="E1011" s="50"/>
      <c r="F1011" s="35" t="str">
        <f t="shared" si="63"/>
        <v/>
      </c>
      <c r="G1011" s="36" t="str">
        <f t="shared" si="64"/>
        <v/>
      </c>
      <c r="H1011" s="51" t="str">
        <f t="shared" si="65"/>
        <v/>
      </c>
      <c r="I1011" s="51" t="str">
        <f t="shared" si="65"/>
        <v/>
      </c>
      <c r="J1011" s="51" t="str">
        <f t="shared" si="65"/>
        <v/>
      </c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  <c r="AE1011" s="37"/>
      <c r="AF1011" s="37"/>
      <c r="AG1011" s="37"/>
      <c r="AH1011" s="37"/>
      <c r="AI1011" s="37"/>
      <c r="AJ1011" s="37"/>
      <c r="AK1011" s="37"/>
      <c r="AM1011" s="38"/>
      <c r="AN1011" s="38"/>
      <c r="AO1011" s="38"/>
      <c r="AP1011" s="38"/>
      <c r="AQ1011" s="38"/>
      <c r="AR1011" s="38"/>
      <c r="AS1011" s="38"/>
      <c r="AT1011" s="38"/>
      <c r="AU1011" s="38"/>
      <c r="AV1011" s="38"/>
      <c r="AW1011" s="38"/>
      <c r="AX1011" s="38"/>
      <c r="AY1011" s="38"/>
      <c r="AZ1011" s="38"/>
      <c r="BA1011" s="38"/>
      <c r="BB1011" s="38"/>
      <c r="BC1011" s="38"/>
      <c r="BD1011" s="38"/>
      <c r="BE1011" s="38"/>
      <c r="BF1011" s="38"/>
    </row>
    <row r="1012" spans="1:58" ht="22.5" hidden="1" customHeight="1">
      <c r="A1012" s="33" t="str">
        <f>IF(OR(ISBLANK(E1012),ISBLANK(C1012)),"",IF(COUNTIF($E$8:E1012,E1012)&gt;1,"",(MAX($A$7:A1011)+1)))</f>
        <v/>
      </c>
      <c r="B1012" s="34" t="str">
        <f>IF(ISBLANK(C1012),"",SUBTOTAL(3,$C$8:C1012))</f>
        <v/>
      </c>
      <c r="C1012" s="80"/>
      <c r="D1012" s="50"/>
      <c r="E1012" s="50"/>
      <c r="F1012" s="35" t="str">
        <f t="shared" si="63"/>
        <v/>
      </c>
      <c r="G1012" s="36" t="str">
        <f t="shared" si="64"/>
        <v/>
      </c>
      <c r="H1012" s="51" t="str">
        <f t="shared" si="65"/>
        <v/>
      </c>
      <c r="I1012" s="51" t="str">
        <f t="shared" si="65"/>
        <v/>
      </c>
      <c r="J1012" s="51" t="str">
        <f t="shared" si="65"/>
        <v/>
      </c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M1012" s="38"/>
      <c r="AN1012" s="38"/>
      <c r="AO1012" s="38"/>
      <c r="AP1012" s="38"/>
      <c r="AQ1012" s="38"/>
      <c r="AR1012" s="38"/>
      <c r="AS1012" s="38"/>
      <c r="AT1012" s="38"/>
      <c r="AU1012" s="38"/>
      <c r="AV1012" s="38"/>
      <c r="AW1012" s="38"/>
      <c r="AX1012" s="38"/>
      <c r="AY1012" s="38"/>
      <c r="AZ1012" s="38"/>
      <c r="BA1012" s="38"/>
      <c r="BB1012" s="38"/>
      <c r="BC1012" s="38"/>
      <c r="BD1012" s="38"/>
      <c r="BE1012" s="38"/>
      <c r="BF1012" s="38"/>
    </row>
    <row r="1013" spans="1:58" ht="22.5" hidden="1" customHeight="1">
      <c r="A1013" s="33" t="str">
        <f>IF(OR(ISBLANK(E1013),ISBLANK(C1013)),"",IF(COUNTIF($E$8:E1013,E1013)&gt;1,"",(MAX($A$7:A1012)+1)))</f>
        <v/>
      </c>
      <c r="B1013" s="34" t="str">
        <f>IF(ISBLANK(C1013),"",SUBTOTAL(3,$C$8:C1013))</f>
        <v/>
      </c>
      <c r="C1013" s="80"/>
      <c r="D1013" s="50"/>
      <c r="E1013" s="50"/>
      <c r="F1013" s="35" t="str">
        <f t="shared" si="63"/>
        <v/>
      </c>
      <c r="G1013" s="36" t="str">
        <f t="shared" si="64"/>
        <v/>
      </c>
      <c r="H1013" s="51" t="str">
        <f t="shared" si="65"/>
        <v/>
      </c>
      <c r="I1013" s="51" t="str">
        <f t="shared" si="65"/>
        <v/>
      </c>
      <c r="J1013" s="51" t="str">
        <f t="shared" si="65"/>
        <v/>
      </c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  <c r="AE1013" s="37"/>
      <c r="AF1013" s="37"/>
      <c r="AG1013" s="37"/>
      <c r="AH1013" s="37"/>
      <c r="AI1013" s="37"/>
      <c r="AJ1013" s="37"/>
      <c r="AK1013" s="37"/>
      <c r="AM1013" s="38"/>
      <c r="AN1013" s="38"/>
      <c r="AO1013" s="38"/>
      <c r="AP1013" s="38"/>
      <c r="AQ1013" s="38"/>
      <c r="AR1013" s="38"/>
      <c r="AS1013" s="38"/>
      <c r="AT1013" s="38"/>
      <c r="AU1013" s="38"/>
      <c r="AV1013" s="38"/>
      <c r="AW1013" s="38"/>
      <c r="AX1013" s="38"/>
      <c r="AY1013" s="38"/>
      <c r="AZ1013" s="38"/>
      <c r="BA1013" s="38"/>
      <c r="BB1013" s="38"/>
      <c r="BC1013" s="38"/>
      <c r="BD1013" s="38"/>
      <c r="BE1013" s="38"/>
      <c r="BF1013" s="38"/>
    </row>
    <row r="1014" spans="1:58" ht="22.5" hidden="1" customHeight="1">
      <c r="A1014" s="33" t="str">
        <f>IF(OR(ISBLANK(E1014),ISBLANK(C1014)),"",IF(COUNTIF($E$8:E1014,E1014)&gt;1,"",(MAX($A$7:A1013)+1)))</f>
        <v/>
      </c>
      <c r="B1014" s="34" t="str">
        <f>IF(ISBLANK(C1014),"",SUBTOTAL(3,$C$8:C1014))</f>
        <v/>
      </c>
      <c r="C1014" s="80"/>
      <c r="D1014" s="50"/>
      <c r="E1014" s="50"/>
      <c r="F1014" s="35" t="str">
        <f t="shared" si="63"/>
        <v/>
      </c>
      <c r="G1014" s="36" t="str">
        <f t="shared" si="64"/>
        <v/>
      </c>
      <c r="H1014" s="51" t="str">
        <f t="shared" si="65"/>
        <v/>
      </c>
      <c r="I1014" s="51" t="str">
        <f t="shared" si="65"/>
        <v/>
      </c>
      <c r="J1014" s="51" t="str">
        <f t="shared" si="65"/>
        <v/>
      </c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  <c r="AE1014" s="37"/>
      <c r="AF1014" s="37"/>
      <c r="AG1014" s="37"/>
      <c r="AH1014" s="37"/>
      <c r="AI1014" s="37"/>
      <c r="AJ1014" s="37"/>
      <c r="AK1014" s="37"/>
      <c r="AM1014" s="38"/>
      <c r="AN1014" s="38"/>
      <c r="AO1014" s="38"/>
      <c r="AP1014" s="38"/>
      <c r="AQ1014" s="38"/>
      <c r="AR1014" s="38"/>
      <c r="AS1014" s="38"/>
      <c r="AT1014" s="38"/>
      <c r="AU1014" s="38"/>
      <c r="AV1014" s="38"/>
      <c r="AW1014" s="38"/>
      <c r="AX1014" s="38"/>
      <c r="AY1014" s="38"/>
      <c r="AZ1014" s="38"/>
      <c r="BA1014" s="38"/>
      <c r="BB1014" s="38"/>
      <c r="BC1014" s="38"/>
      <c r="BD1014" s="38"/>
      <c r="BE1014" s="38"/>
      <c r="BF1014" s="38"/>
    </row>
    <row r="1015" spans="1:58" ht="22.5" hidden="1" customHeight="1">
      <c r="A1015" s="33" t="str">
        <f>IF(OR(ISBLANK(E1015),ISBLANK(C1015)),"",IF(COUNTIF($E$8:E1015,E1015)&gt;1,"",(MAX($A$7:A1014)+1)))</f>
        <v/>
      </c>
      <c r="B1015" s="34" t="str">
        <f>IF(ISBLANK(C1015),"",SUBTOTAL(3,$C$8:C1015))</f>
        <v/>
      </c>
      <c r="C1015" s="80"/>
      <c r="D1015" s="50"/>
      <c r="E1015" s="50"/>
      <c r="F1015" s="35" t="str">
        <f t="shared" si="63"/>
        <v/>
      </c>
      <c r="G1015" s="36" t="str">
        <f t="shared" si="64"/>
        <v/>
      </c>
      <c r="H1015" s="51" t="str">
        <f t="shared" si="65"/>
        <v/>
      </c>
      <c r="I1015" s="51" t="str">
        <f t="shared" si="65"/>
        <v/>
      </c>
      <c r="J1015" s="51" t="str">
        <f t="shared" si="65"/>
        <v/>
      </c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  <c r="AE1015" s="37"/>
      <c r="AF1015" s="37"/>
      <c r="AG1015" s="37"/>
      <c r="AH1015" s="37"/>
      <c r="AI1015" s="37"/>
      <c r="AJ1015" s="37"/>
      <c r="AK1015" s="37"/>
      <c r="AM1015" s="38"/>
      <c r="AN1015" s="38"/>
      <c r="AO1015" s="38"/>
      <c r="AP1015" s="38"/>
      <c r="AQ1015" s="38"/>
      <c r="AR1015" s="38"/>
      <c r="AS1015" s="38"/>
      <c r="AT1015" s="38"/>
      <c r="AU1015" s="38"/>
      <c r="AV1015" s="38"/>
      <c r="AW1015" s="38"/>
      <c r="AX1015" s="38"/>
      <c r="AY1015" s="38"/>
      <c r="AZ1015" s="38"/>
      <c r="BA1015" s="38"/>
      <c r="BB1015" s="38"/>
      <c r="BC1015" s="38"/>
      <c r="BD1015" s="38"/>
      <c r="BE1015" s="38"/>
      <c r="BF1015" s="38"/>
    </row>
    <row r="1016" spans="1:58" ht="22.5" hidden="1" customHeight="1">
      <c r="A1016" s="33" t="str">
        <f>IF(OR(ISBLANK(E1016),ISBLANK(C1016)),"",IF(COUNTIF($E$8:E1016,E1016)&gt;1,"",(MAX($A$7:A1015)+1)))</f>
        <v/>
      </c>
      <c r="B1016" s="34" t="str">
        <f>IF(ISBLANK(C1016),"",SUBTOTAL(3,$C$8:C1016))</f>
        <v/>
      </c>
      <c r="C1016" s="80"/>
      <c r="D1016" s="50"/>
      <c r="E1016" s="50"/>
      <c r="F1016" s="35" t="str">
        <f t="shared" si="63"/>
        <v/>
      </c>
      <c r="G1016" s="36" t="str">
        <f t="shared" si="64"/>
        <v/>
      </c>
      <c r="H1016" s="51" t="str">
        <f t="shared" si="65"/>
        <v/>
      </c>
      <c r="I1016" s="51" t="str">
        <f t="shared" si="65"/>
        <v/>
      </c>
      <c r="J1016" s="51" t="str">
        <f t="shared" si="65"/>
        <v/>
      </c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  <c r="AE1016" s="37"/>
      <c r="AF1016" s="37"/>
      <c r="AG1016" s="37"/>
      <c r="AH1016" s="37"/>
      <c r="AI1016" s="37"/>
      <c r="AJ1016" s="37"/>
      <c r="AK1016" s="37"/>
      <c r="AM1016" s="38"/>
      <c r="AN1016" s="38"/>
      <c r="AO1016" s="38"/>
      <c r="AP1016" s="38"/>
      <c r="AQ1016" s="38"/>
      <c r="AR1016" s="38"/>
      <c r="AS1016" s="38"/>
      <c r="AT1016" s="38"/>
      <c r="AU1016" s="38"/>
      <c r="AV1016" s="38"/>
      <c r="AW1016" s="38"/>
      <c r="AX1016" s="38"/>
      <c r="AY1016" s="38"/>
      <c r="AZ1016" s="38"/>
      <c r="BA1016" s="38"/>
      <c r="BB1016" s="38"/>
      <c r="BC1016" s="38"/>
      <c r="BD1016" s="38"/>
      <c r="BE1016" s="38"/>
      <c r="BF1016" s="38"/>
    </row>
    <row r="1017" spans="1:58" ht="22.5" hidden="1" customHeight="1">
      <c r="A1017" s="33" t="str">
        <f>IF(OR(ISBLANK(E1017),ISBLANK(C1017)),"",IF(COUNTIF($E$8:E1017,E1017)&gt;1,"",(MAX($A$7:A1016)+1)))</f>
        <v/>
      </c>
      <c r="B1017" s="34" t="str">
        <f>IF(ISBLANK(C1017),"",SUBTOTAL(3,$C$8:C1017))</f>
        <v/>
      </c>
      <c r="C1017" s="79"/>
      <c r="D1017" s="50"/>
      <c r="E1017" s="50"/>
      <c r="F1017" s="35" t="str">
        <f t="shared" si="63"/>
        <v/>
      </c>
      <c r="G1017" s="36" t="str">
        <f t="shared" si="64"/>
        <v/>
      </c>
      <c r="H1017" s="51" t="str">
        <f t="shared" si="65"/>
        <v/>
      </c>
      <c r="I1017" s="51" t="str">
        <f t="shared" si="65"/>
        <v/>
      </c>
      <c r="J1017" s="51" t="str">
        <f t="shared" si="65"/>
        <v/>
      </c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  <c r="AE1017" s="37"/>
      <c r="AF1017" s="37"/>
      <c r="AG1017" s="37"/>
      <c r="AH1017" s="37"/>
      <c r="AI1017" s="37"/>
      <c r="AJ1017" s="37"/>
      <c r="AK1017" s="37"/>
      <c r="AM1017" s="38"/>
      <c r="AN1017" s="38"/>
      <c r="AO1017" s="38"/>
      <c r="AP1017" s="38"/>
      <c r="AQ1017" s="38"/>
      <c r="AR1017" s="38"/>
      <c r="AS1017" s="38"/>
      <c r="AT1017" s="38"/>
      <c r="AU1017" s="38"/>
      <c r="AV1017" s="38"/>
      <c r="AW1017" s="38"/>
      <c r="AX1017" s="38"/>
      <c r="AY1017" s="38"/>
      <c r="AZ1017" s="38"/>
      <c r="BA1017" s="38"/>
      <c r="BB1017" s="38"/>
      <c r="BC1017" s="38"/>
      <c r="BD1017" s="38"/>
      <c r="BE1017" s="38"/>
      <c r="BF1017" s="38"/>
    </row>
    <row r="1018" spans="1:58" ht="22.5" hidden="1" customHeight="1">
      <c r="A1018" s="33" t="str">
        <f>IF(OR(ISBLANK(E1018),ISBLANK(C1018)),"",IF(COUNTIF($E$8:E1018,E1018)&gt;1,"",(MAX($A$7:A1017)+1)))</f>
        <v/>
      </c>
      <c r="B1018" s="34" t="str">
        <f>IF(ISBLANK(C1018),"",SUBTOTAL(3,$C$8:C1018))</f>
        <v/>
      </c>
      <c r="C1018" s="79"/>
      <c r="D1018" s="50"/>
      <c r="E1018" s="50"/>
      <c r="F1018" s="35" t="str">
        <f t="shared" si="63"/>
        <v/>
      </c>
      <c r="G1018" s="36" t="str">
        <f t="shared" si="64"/>
        <v/>
      </c>
      <c r="H1018" s="51" t="str">
        <f t="shared" si="65"/>
        <v/>
      </c>
      <c r="I1018" s="51" t="str">
        <f t="shared" si="65"/>
        <v/>
      </c>
      <c r="J1018" s="51" t="str">
        <f t="shared" si="65"/>
        <v/>
      </c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  <c r="AE1018" s="37"/>
      <c r="AF1018" s="37"/>
      <c r="AG1018" s="37"/>
      <c r="AH1018" s="37"/>
      <c r="AI1018" s="37"/>
      <c r="AJ1018" s="37"/>
      <c r="AK1018" s="37"/>
      <c r="AM1018" s="38"/>
      <c r="AN1018" s="38"/>
      <c r="AO1018" s="38"/>
      <c r="AP1018" s="38"/>
      <c r="AQ1018" s="38"/>
      <c r="AR1018" s="38"/>
      <c r="AS1018" s="38"/>
      <c r="AT1018" s="38"/>
      <c r="AU1018" s="38"/>
      <c r="AV1018" s="38"/>
      <c r="AW1018" s="38"/>
      <c r="AX1018" s="38"/>
      <c r="AY1018" s="38"/>
      <c r="AZ1018" s="38"/>
      <c r="BA1018" s="38"/>
      <c r="BB1018" s="38"/>
      <c r="BC1018" s="38"/>
      <c r="BD1018" s="38"/>
      <c r="BE1018" s="38"/>
      <c r="BF1018" s="38"/>
    </row>
    <row r="1019" spans="1:58" ht="22.5" hidden="1" customHeight="1">
      <c r="A1019" s="33" t="str">
        <f>IF(OR(ISBLANK(E1019),ISBLANK(C1019)),"",IF(COUNTIF($E$8:E1019,E1019)&gt;1,"",(MAX($A$7:A1018)+1)))</f>
        <v/>
      </c>
      <c r="B1019" s="34" t="str">
        <f>IF(ISBLANK(C1019),"",SUBTOTAL(3,$C$8:C1019))</f>
        <v/>
      </c>
      <c r="C1019" s="79"/>
      <c r="D1019" s="50"/>
      <c r="E1019" s="50"/>
      <c r="F1019" s="35" t="str">
        <f t="shared" si="63"/>
        <v/>
      </c>
      <c r="G1019" s="36" t="str">
        <f t="shared" si="64"/>
        <v/>
      </c>
      <c r="H1019" s="51" t="str">
        <f t="shared" si="65"/>
        <v/>
      </c>
      <c r="I1019" s="51" t="str">
        <f t="shared" si="65"/>
        <v/>
      </c>
      <c r="J1019" s="51" t="str">
        <f t="shared" si="65"/>
        <v/>
      </c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  <c r="AE1019" s="37"/>
      <c r="AF1019" s="37"/>
      <c r="AG1019" s="37"/>
      <c r="AH1019" s="37"/>
      <c r="AI1019" s="37"/>
      <c r="AJ1019" s="37"/>
      <c r="AK1019" s="37"/>
      <c r="AM1019" s="38"/>
      <c r="AN1019" s="38"/>
      <c r="AO1019" s="38"/>
      <c r="AP1019" s="38"/>
      <c r="AQ1019" s="38"/>
      <c r="AR1019" s="38"/>
      <c r="AS1019" s="38"/>
      <c r="AT1019" s="38"/>
      <c r="AU1019" s="38"/>
      <c r="AV1019" s="38"/>
      <c r="AW1019" s="38"/>
      <c r="AX1019" s="38"/>
      <c r="AY1019" s="38"/>
      <c r="AZ1019" s="38"/>
      <c r="BA1019" s="38"/>
      <c r="BB1019" s="38"/>
      <c r="BC1019" s="38"/>
      <c r="BD1019" s="38"/>
      <c r="BE1019" s="38"/>
      <c r="BF1019" s="38"/>
    </row>
    <row r="1020" spans="1:58" ht="22.5" hidden="1" customHeight="1">
      <c r="A1020" s="33" t="str">
        <f>IF(OR(ISBLANK(E1020),ISBLANK(C1020)),"",IF(COUNTIF($E$8:E1020,E1020)&gt;1,"",(MAX($A$7:A1019)+1)))</f>
        <v/>
      </c>
      <c r="B1020" s="34" t="str">
        <f>IF(ISBLANK(C1020),"",SUBTOTAL(3,$C$8:C1020))</f>
        <v/>
      </c>
      <c r="C1020" s="78"/>
      <c r="D1020" s="50"/>
      <c r="E1020" s="50"/>
      <c r="F1020" s="35" t="str">
        <f t="shared" si="63"/>
        <v/>
      </c>
      <c r="G1020" s="36" t="str">
        <f t="shared" si="64"/>
        <v/>
      </c>
      <c r="H1020" s="51" t="str">
        <f t="shared" si="65"/>
        <v/>
      </c>
      <c r="I1020" s="51" t="str">
        <f t="shared" si="65"/>
        <v/>
      </c>
      <c r="J1020" s="51" t="str">
        <f t="shared" si="65"/>
        <v/>
      </c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  <c r="AD1020" s="37"/>
      <c r="AE1020" s="37"/>
      <c r="AF1020" s="37"/>
      <c r="AG1020" s="37"/>
      <c r="AH1020" s="37"/>
      <c r="AI1020" s="37"/>
      <c r="AJ1020" s="37"/>
      <c r="AK1020" s="37"/>
      <c r="AM1020" s="38"/>
      <c r="AN1020" s="38"/>
      <c r="AO1020" s="38"/>
      <c r="AP1020" s="38"/>
      <c r="AQ1020" s="38"/>
      <c r="AR1020" s="38"/>
      <c r="AS1020" s="38"/>
      <c r="AT1020" s="38"/>
      <c r="AU1020" s="38"/>
      <c r="AV1020" s="38"/>
      <c r="AW1020" s="38"/>
      <c r="AX1020" s="38"/>
      <c r="AY1020" s="38"/>
      <c r="AZ1020" s="38"/>
      <c r="BA1020" s="38"/>
      <c r="BB1020" s="38"/>
      <c r="BC1020" s="38"/>
      <c r="BD1020" s="38"/>
      <c r="BE1020" s="38"/>
      <c r="BF1020" s="38"/>
    </row>
    <row r="1021" spans="1:58" ht="22.5" hidden="1" customHeight="1">
      <c r="A1021" s="33" t="str">
        <f>IF(OR(ISBLANK(E1021),ISBLANK(C1021)),"",IF(COUNTIF($E$8:E1021,E1021)&gt;1,"",(MAX($A$7:A1020)+1)))</f>
        <v/>
      </c>
      <c r="B1021" s="34" t="str">
        <f>IF(ISBLANK(C1021),"",SUBTOTAL(3,$C$8:C1021))</f>
        <v/>
      </c>
      <c r="C1021" s="78"/>
      <c r="D1021" s="50"/>
      <c r="E1021" s="50"/>
      <c r="F1021" s="35" t="str">
        <f t="shared" si="63"/>
        <v/>
      </c>
      <c r="G1021" s="36" t="str">
        <f t="shared" si="64"/>
        <v/>
      </c>
      <c r="H1021" s="51" t="str">
        <f t="shared" si="65"/>
        <v/>
      </c>
      <c r="I1021" s="51" t="str">
        <f t="shared" si="65"/>
        <v/>
      </c>
      <c r="J1021" s="51" t="str">
        <f t="shared" si="65"/>
        <v/>
      </c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  <c r="AD1021" s="37"/>
      <c r="AE1021" s="37"/>
      <c r="AF1021" s="37"/>
      <c r="AG1021" s="37"/>
      <c r="AH1021" s="37"/>
      <c r="AI1021" s="37"/>
      <c r="AJ1021" s="37"/>
      <c r="AK1021" s="37"/>
      <c r="AM1021" s="38"/>
      <c r="AN1021" s="38"/>
      <c r="AO1021" s="38"/>
      <c r="AP1021" s="38"/>
      <c r="AQ1021" s="38"/>
      <c r="AR1021" s="38"/>
      <c r="AS1021" s="38"/>
      <c r="AT1021" s="38"/>
      <c r="AU1021" s="38"/>
      <c r="AV1021" s="38"/>
      <c r="AW1021" s="38"/>
      <c r="AX1021" s="38"/>
      <c r="AY1021" s="38"/>
      <c r="AZ1021" s="38"/>
      <c r="BA1021" s="38"/>
      <c r="BB1021" s="38"/>
      <c r="BC1021" s="38"/>
      <c r="BD1021" s="38"/>
      <c r="BE1021" s="38"/>
      <c r="BF1021" s="38"/>
    </row>
    <row r="1022" spans="1:58" ht="22.5" hidden="1" customHeight="1">
      <c r="A1022" s="33" t="str">
        <f>IF(OR(ISBLANK(E1022),ISBLANK(C1022)),"",IF(COUNTIF($E$8:E1022,E1022)&gt;1,"",(MAX($A$7:A1021)+1)))</f>
        <v/>
      </c>
      <c r="B1022" s="34" t="str">
        <f>IF(ISBLANK(C1022),"",SUBTOTAL(3,$C$8:C1022))</f>
        <v/>
      </c>
      <c r="C1022" s="78"/>
      <c r="D1022" s="50"/>
      <c r="E1022" s="50"/>
      <c r="F1022" s="35" t="str">
        <f t="shared" si="63"/>
        <v/>
      </c>
      <c r="G1022" s="36" t="str">
        <f t="shared" si="64"/>
        <v/>
      </c>
      <c r="H1022" s="51" t="str">
        <f t="shared" si="65"/>
        <v/>
      </c>
      <c r="I1022" s="51" t="str">
        <f t="shared" si="65"/>
        <v/>
      </c>
      <c r="J1022" s="51" t="str">
        <f t="shared" si="65"/>
        <v/>
      </c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  <c r="AD1022" s="37"/>
      <c r="AE1022" s="37"/>
      <c r="AF1022" s="37"/>
      <c r="AG1022" s="37"/>
      <c r="AH1022" s="37"/>
      <c r="AI1022" s="37"/>
      <c r="AJ1022" s="37"/>
      <c r="AK1022" s="37"/>
      <c r="AM1022" s="38"/>
      <c r="AN1022" s="38"/>
      <c r="AO1022" s="38"/>
      <c r="AP1022" s="38"/>
      <c r="AQ1022" s="38"/>
      <c r="AR1022" s="38"/>
      <c r="AS1022" s="38"/>
      <c r="AT1022" s="38"/>
      <c r="AU1022" s="38"/>
      <c r="AV1022" s="38"/>
      <c r="AW1022" s="38"/>
      <c r="AX1022" s="38"/>
      <c r="AY1022" s="38"/>
      <c r="AZ1022" s="38"/>
      <c r="BA1022" s="38"/>
      <c r="BB1022" s="38"/>
      <c r="BC1022" s="38"/>
      <c r="BD1022" s="38"/>
      <c r="BE1022" s="38"/>
      <c r="BF1022" s="38"/>
    </row>
    <row r="1023" spans="1:58" ht="22.5" hidden="1" customHeight="1">
      <c r="A1023" s="33" t="str">
        <f>IF(OR(ISBLANK(E1023),ISBLANK(C1023)),"",IF(COUNTIF($E$8:E1023,E1023)&gt;1,"",(MAX($A$7:A1022)+1)))</f>
        <v/>
      </c>
      <c r="B1023" s="34" t="str">
        <f>IF(ISBLANK(C1023),"",SUBTOTAL(3,$C$8:C1023))</f>
        <v/>
      </c>
      <c r="C1023" s="78"/>
      <c r="D1023" s="50"/>
      <c r="E1023" s="50"/>
      <c r="F1023" s="35" t="str">
        <f t="shared" si="63"/>
        <v/>
      </c>
      <c r="G1023" s="36" t="str">
        <f t="shared" si="64"/>
        <v/>
      </c>
      <c r="H1023" s="51" t="str">
        <f t="shared" si="65"/>
        <v/>
      </c>
      <c r="I1023" s="51" t="str">
        <f t="shared" si="65"/>
        <v/>
      </c>
      <c r="J1023" s="51" t="str">
        <f t="shared" si="65"/>
        <v/>
      </c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  <c r="AD1023" s="37"/>
      <c r="AE1023" s="37"/>
      <c r="AF1023" s="37"/>
      <c r="AG1023" s="37"/>
      <c r="AH1023" s="37"/>
      <c r="AI1023" s="37"/>
      <c r="AJ1023" s="37"/>
      <c r="AK1023" s="37"/>
      <c r="AM1023" s="38"/>
      <c r="AN1023" s="38"/>
      <c r="AO1023" s="38"/>
      <c r="AP1023" s="38"/>
      <c r="AQ1023" s="38"/>
      <c r="AR1023" s="38"/>
      <c r="AS1023" s="38"/>
      <c r="AT1023" s="38"/>
      <c r="AU1023" s="38"/>
      <c r="AV1023" s="38"/>
      <c r="AW1023" s="38"/>
      <c r="AX1023" s="38"/>
      <c r="AY1023" s="38"/>
      <c r="AZ1023" s="38"/>
      <c r="BA1023" s="38"/>
      <c r="BB1023" s="38"/>
      <c r="BC1023" s="38"/>
      <c r="BD1023" s="38"/>
      <c r="BE1023" s="38"/>
      <c r="BF1023" s="38"/>
    </row>
    <row r="1024" spans="1:58" ht="22.5" hidden="1" customHeight="1">
      <c r="A1024" s="33" t="str">
        <f>IF(OR(ISBLANK(E1024),ISBLANK(C1024)),"",IF(COUNTIF($E$8:E1024,E1024)&gt;1,"",(MAX($A$7:A1023)+1)))</f>
        <v/>
      </c>
      <c r="B1024" s="34" t="str">
        <f>IF(ISBLANK(C1024),"",SUBTOTAL(3,$C$8:C1024))</f>
        <v/>
      </c>
      <c r="C1024" s="78"/>
      <c r="D1024" s="50"/>
      <c r="E1024" s="50"/>
      <c r="F1024" s="35" t="str">
        <f t="shared" si="63"/>
        <v/>
      </c>
      <c r="G1024" s="36" t="str">
        <f t="shared" si="64"/>
        <v/>
      </c>
      <c r="H1024" s="51" t="str">
        <f t="shared" si="65"/>
        <v/>
      </c>
      <c r="I1024" s="51" t="str">
        <f t="shared" si="65"/>
        <v/>
      </c>
      <c r="J1024" s="51" t="str">
        <f t="shared" si="65"/>
        <v/>
      </c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  <c r="AC1024" s="37"/>
      <c r="AD1024" s="37"/>
      <c r="AE1024" s="37"/>
      <c r="AF1024" s="37"/>
      <c r="AG1024" s="37"/>
      <c r="AH1024" s="37"/>
      <c r="AI1024" s="37"/>
      <c r="AJ1024" s="37"/>
      <c r="AK1024" s="37"/>
      <c r="AM1024" s="38"/>
      <c r="AN1024" s="38"/>
      <c r="AO1024" s="38"/>
      <c r="AP1024" s="38"/>
      <c r="AQ1024" s="38"/>
      <c r="AR1024" s="38"/>
      <c r="AS1024" s="38"/>
      <c r="AT1024" s="38"/>
      <c r="AU1024" s="38"/>
      <c r="AV1024" s="38"/>
      <c r="AW1024" s="38"/>
      <c r="AX1024" s="38"/>
      <c r="AY1024" s="38"/>
      <c r="AZ1024" s="38"/>
      <c r="BA1024" s="38"/>
      <c r="BB1024" s="38"/>
      <c r="BC1024" s="38"/>
      <c r="BD1024" s="38"/>
      <c r="BE1024" s="38"/>
      <c r="BF1024" s="38"/>
    </row>
    <row r="1025" spans="1:58" ht="22.5" hidden="1" customHeight="1">
      <c r="A1025" s="33" t="str">
        <f>IF(OR(ISBLANK(E1025),ISBLANK(C1025)),"",IF(COUNTIF($E$8:E1025,E1025)&gt;1,"",(MAX($A$7:A1024)+1)))</f>
        <v/>
      </c>
      <c r="B1025" s="34" t="str">
        <f>IF(ISBLANK(C1025),"",SUBTOTAL(3,$C$8:C1025))</f>
        <v/>
      </c>
      <c r="C1025" s="78"/>
      <c r="D1025" s="50"/>
      <c r="E1025" s="50"/>
      <c r="F1025" s="35" t="str">
        <f t="shared" si="63"/>
        <v/>
      </c>
      <c r="G1025" s="36" t="str">
        <f t="shared" si="64"/>
        <v/>
      </c>
      <c r="H1025" s="51" t="str">
        <f t="shared" si="65"/>
        <v/>
      </c>
      <c r="I1025" s="51" t="str">
        <f t="shared" si="65"/>
        <v/>
      </c>
      <c r="J1025" s="51" t="str">
        <f t="shared" si="65"/>
        <v/>
      </c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  <c r="AC1025" s="37"/>
      <c r="AD1025" s="37"/>
      <c r="AE1025" s="37"/>
      <c r="AF1025" s="37"/>
      <c r="AG1025" s="37"/>
      <c r="AH1025" s="37"/>
      <c r="AI1025" s="37"/>
      <c r="AJ1025" s="37"/>
      <c r="AK1025" s="37"/>
      <c r="AM1025" s="38"/>
      <c r="AN1025" s="38"/>
      <c r="AO1025" s="38"/>
      <c r="AP1025" s="38"/>
      <c r="AQ1025" s="38"/>
      <c r="AR1025" s="38"/>
      <c r="AS1025" s="38"/>
      <c r="AT1025" s="38"/>
      <c r="AU1025" s="38"/>
      <c r="AV1025" s="38"/>
      <c r="AW1025" s="38"/>
      <c r="AX1025" s="38"/>
      <c r="AY1025" s="38"/>
      <c r="AZ1025" s="38"/>
      <c r="BA1025" s="38"/>
      <c r="BB1025" s="38"/>
      <c r="BC1025" s="38"/>
      <c r="BD1025" s="38"/>
      <c r="BE1025" s="38"/>
      <c r="BF1025" s="38"/>
    </row>
    <row r="1026" spans="1:58" ht="22.5" hidden="1" customHeight="1">
      <c r="A1026" s="33" t="str">
        <f>IF(OR(ISBLANK(E1026),ISBLANK(C1026)),"",IF(COUNTIF($E$8:E1026,E1026)&gt;1,"",(MAX($A$7:A1025)+1)))</f>
        <v/>
      </c>
      <c r="B1026" s="34" t="str">
        <f>IF(ISBLANK(C1026),"",SUBTOTAL(3,$C$8:C1026))</f>
        <v/>
      </c>
      <c r="C1026" s="80"/>
      <c r="D1026" s="52"/>
      <c r="E1026" s="50"/>
      <c r="F1026" s="35" t="str">
        <f t="shared" si="63"/>
        <v/>
      </c>
      <c r="G1026" s="36" t="str">
        <f t="shared" si="64"/>
        <v/>
      </c>
      <c r="H1026" s="51" t="str">
        <f t="shared" si="65"/>
        <v/>
      </c>
      <c r="I1026" s="51" t="str">
        <f t="shared" si="65"/>
        <v/>
      </c>
      <c r="J1026" s="51" t="str">
        <f t="shared" si="65"/>
        <v/>
      </c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  <c r="AC1026" s="37"/>
      <c r="AD1026" s="37"/>
      <c r="AE1026" s="37"/>
      <c r="AF1026" s="37"/>
      <c r="AG1026" s="37"/>
      <c r="AH1026" s="37"/>
      <c r="AI1026" s="37"/>
      <c r="AJ1026" s="37"/>
      <c r="AK1026" s="37"/>
      <c r="AM1026" s="38"/>
      <c r="AN1026" s="38"/>
      <c r="AO1026" s="38"/>
      <c r="AP1026" s="38"/>
      <c r="AQ1026" s="38"/>
      <c r="AR1026" s="38"/>
      <c r="AS1026" s="38"/>
      <c r="AT1026" s="38"/>
      <c r="AU1026" s="38"/>
      <c r="AV1026" s="38"/>
      <c r="AW1026" s="38"/>
      <c r="AX1026" s="38"/>
      <c r="AY1026" s="38"/>
      <c r="AZ1026" s="38"/>
      <c r="BA1026" s="38"/>
      <c r="BB1026" s="38"/>
      <c r="BC1026" s="38"/>
      <c r="BD1026" s="38"/>
      <c r="BE1026" s="38"/>
      <c r="BF1026" s="38"/>
    </row>
    <row r="1027" spans="1:58" ht="22.5" hidden="1" customHeight="1">
      <c r="A1027" s="33" t="str">
        <f>IF(OR(ISBLANK(E1027),ISBLANK(C1027)),"",IF(COUNTIF($E$8:E1027,E1027)&gt;1,"",(MAX($A$7:A1026)+1)))</f>
        <v/>
      </c>
      <c r="B1027" s="34" t="str">
        <f>IF(ISBLANK(C1027),"",SUBTOTAL(3,$C$8:C1027))</f>
        <v/>
      </c>
      <c r="C1027" s="80"/>
      <c r="D1027" s="52"/>
      <c r="E1027" s="50"/>
      <c r="F1027" s="35" t="str">
        <f t="shared" si="63"/>
        <v/>
      </c>
      <c r="G1027" s="36" t="str">
        <f t="shared" si="64"/>
        <v/>
      </c>
      <c r="H1027" s="51" t="str">
        <f t="shared" si="65"/>
        <v/>
      </c>
      <c r="I1027" s="51" t="str">
        <f t="shared" si="65"/>
        <v/>
      </c>
      <c r="J1027" s="51" t="str">
        <f t="shared" si="65"/>
        <v/>
      </c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  <c r="AC1027" s="37"/>
      <c r="AD1027" s="37"/>
      <c r="AE1027" s="37"/>
      <c r="AF1027" s="37"/>
      <c r="AG1027" s="37"/>
      <c r="AH1027" s="37"/>
      <c r="AI1027" s="37"/>
      <c r="AJ1027" s="37"/>
      <c r="AK1027" s="37"/>
      <c r="AM1027" s="38"/>
      <c r="AN1027" s="38"/>
      <c r="AO1027" s="38"/>
      <c r="AP1027" s="38"/>
      <c r="AQ1027" s="38"/>
      <c r="AR1027" s="38"/>
      <c r="AS1027" s="38"/>
      <c r="AT1027" s="38"/>
      <c r="AU1027" s="38"/>
      <c r="AV1027" s="38"/>
      <c r="AW1027" s="38"/>
      <c r="AX1027" s="38"/>
      <c r="AY1027" s="38"/>
      <c r="AZ1027" s="38"/>
      <c r="BA1027" s="38"/>
      <c r="BB1027" s="38"/>
      <c r="BC1027" s="38"/>
      <c r="BD1027" s="38"/>
      <c r="BE1027" s="38"/>
      <c r="BF1027" s="38"/>
    </row>
    <row r="1028" spans="1:58" ht="22.5" hidden="1" customHeight="1">
      <c r="A1028" s="33" t="str">
        <f>IF(OR(ISBLANK(E1028),ISBLANK(C1028)),"",IF(COUNTIF($E$8:E1028,E1028)&gt;1,"",(MAX($A$7:A1027)+1)))</f>
        <v/>
      </c>
      <c r="B1028" s="34" t="str">
        <f>IF(ISBLANK(C1028),"",SUBTOTAL(3,$C$8:C1028))</f>
        <v/>
      </c>
      <c r="C1028" s="80"/>
      <c r="D1028" s="52"/>
      <c r="E1028" s="50"/>
      <c r="F1028" s="35" t="str">
        <f t="shared" si="63"/>
        <v/>
      </c>
      <c r="G1028" s="36" t="str">
        <f t="shared" si="64"/>
        <v/>
      </c>
      <c r="H1028" s="51" t="str">
        <f t="shared" si="65"/>
        <v/>
      </c>
      <c r="I1028" s="51" t="str">
        <f t="shared" si="65"/>
        <v/>
      </c>
      <c r="J1028" s="51" t="str">
        <f t="shared" si="65"/>
        <v/>
      </c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  <c r="AC1028" s="37"/>
      <c r="AD1028" s="37"/>
      <c r="AE1028" s="37"/>
      <c r="AF1028" s="37"/>
      <c r="AG1028" s="37"/>
      <c r="AH1028" s="37"/>
      <c r="AI1028" s="37"/>
      <c r="AJ1028" s="37"/>
      <c r="AK1028" s="37"/>
      <c r="AM1028" s="38"/>
      <c r="AN1028" s="38"/>
      <c r="AO1028" s="38"/>
      <c r="AP1028" s="38"/>
      <c r="AQ1028" s="38"/>
      <c r="AR1028" s="38"/>
      <c r="AS1028" s="38"/>
      <c r="AT1028" s="38"/>
      <c r="AU1028" s="38"/>
      <c r="AV1028" s="38"/>
      <c r="AW1028" s="38"/>
      <c r="AX1028" s="38"/>
      <c r="AY1028" s="38"/>
      <c r="AZ1028" s="38"/>
      <c r="BA1028" s="38"/>
      <c r="BB1028" s="38"/>
      <c r="BC1028" s="38"/>
      <c r="BD1028" s="38"/>
      <c r="BE1028" s="38"/>
      <c r="BF1028" s="38"/>
    </row>
    <row r="1029" spans="1:58" ht="22.5" hidden="1" customHeight="1">
      <c r="A1029" s="33" t="str">
        <f>IF(OR(ISBLANK(E1029),ISBLANK(C1029)),"",IF(COUNTIF($E$8:E1029,E1029)&gt;1,"",(MAX($A$7:A1028)+1)))</f>
        <v/>
      </c>
      <c r="B1029" s="34" t="str">
        <f>IF(ISBLANK(C1029),"",SUBTOTAL(3,$C$8:C1029))</f>
        <v/>
      </c>
      <c r="C1029" s="80"/>
      <c r="D1029" s="50"/>
      <c r="E1029" s="50"/>
      <c r="F1029" s="35" t="str">
        <f t="shared" si="63"/>
        <v/>
      </c>
      <c r="G1029" s="36" t="str">
        <f t="shared" si="64"/>
        <v/>
      </c>
      <c r="H1029" s="51" t="str">
        <f t="shared" si="65"/>
        <v/>
      </c>
      <c r="I1029" s="51" t="str">
        <f t="shared" si="65"/>
        <v/>
      </c>
      <c r="J1029" s="51" t="str">
        <f t="shared" si="65"/>
        <v/>
      </c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  <c r="AC1029" s="37"/>
      <c r="AD1029" s="37"/>
      <c r="AE1029" s="37"/>
      <c r="AF1029" s="37"/>
      <c r="AG1029" s="37"/>
      <c r="AH1029" s="37"/>
      <c r="AI1029" s="37"/>
      <c r="AJ1029" s="37"/>
      <c r="AK1029" s="37"/>
      <c r="AM1029" s="38"/>
      <c r="AN1029" s="38"/>
      <c r="AO1029" s="38"/>
      <c r="AP1029" s="38"/>
      <c r="AQ1029" s="38"/>
      <c r="AR1029" s="38"/>
      <c r="AS1029" s="38"/>
      <c r="AT1029" s="38"/>
      <c r="AU1029" s="38"/>
      <c r="AV1029" s="38"/>
      <c r="AW1029" s="38"/>
      <c r="AX1029" s="38"/>
      <c r="AY1029" s="38"/>
      <c r="AZ1029" s="38"/>
      <c r="BA1029" s="38"/>
      <c r="BB1029" s="38"/>
      <c r="BC1029" s="38"/>
      <c r="BD1029" s="38"/>
      <c r="BE1029" s="38"/>
      <c r="BF1029" s="38"/>
    </row>
    <row r="1030" spans="1:58" ht="22.5" hidden="1" customHeight="1">
      <c r="A1030" s="33" t="str">
        <f>IF(OR(ISBLANK(E1030),ISBLANK(C1030)),"",IF(COUNTIF($E$8:E1030,E1030)&gt;1,"",(MAX($A$7:A1029)+1)))</f>
        <v/>
      </c>
      <c r="B1030" s="34" t="str">
        <f>IF(ISBLANK(C1030),"",SUBTOTAL(3,$C$8:C1030))</f>
        <v/>
      </c>
      <c r="C1030" s="80"/>
      <c r="D1030" s="50"/>
      <c r="E1030" s="50"/>
      <c r="F1030" s="35" t="str">
        <f t="shared" si="63"/>
        <v/>
      </c>
      <c r="G1030" s="36" t="str">
        <f t="shared" si="64"/>
        <v/>
      </c>
      <c r="H1030" s="51" t="str">
        <f t="shared" si="65"/>
        <v/>
      </c>
      <c r="I1030" s="51" t="str">
        <f t="shared" si="65"/>
        <v/>
      </c>
      <c r="J1030" s="51" t="str">
        <f t="shared" si="65"/>
        <v/>
      </c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  <c r="AC1030" s="37"/>
      <c r="AD1030" s="37"/>
      <c r="AE1030" s="37"/>
      <c r="AF1030" s="37"/>
      <c r="AG1030" s="37"/>
      <c r="AH1030" s="37"/>
      <c r="AI1030" s="37"/>
      <c r="AJ1030" s="37"/>
      <c r="AK1030" s="37"/>
      <c r="AM1030" s="38"/>
      <c r="AN1030" s="38"/>
      <c r="AO1030" s="38"/>
      <c r="AP1030" s="38"/>
      <c r="AQ1030" s="38"/>
      <c r="AR1030" s="38"/>
      <c r="AS1030" s="38"/>
      <c r="AT1030" s="38"/>
      <c r="AU1030" s="38"/>
      <c r="AV1030" s="38"/>
      <c r="AW1030" s="38"/>
      <c r="AX1030" s="38"/>
      <c r="AY1030" s="38"/>
      <c r="AZ1030" s="38"/>
      <c r="BA1030" s="38"/>
      <c r="BB1030" s="38"/>
      <c r="BC1030" s="38"/>
      <c r="BD1030" s="38"/>
      <c r="BE1030" s="38"/>
      <c r="BF1030" s="38"/>
    </row>
    <row r="1031" spans="1:58" ht="22.5" hidden="1" customHeight="1">
      <c r="A1031" s="33" t="str">
        <f>IF(OR(ISBLANK(E1031),ISBLANK(C1031)),"",IF(COUNTIF($E$8:E1031,E1031)&gt;1,"",(MAX($A$7:A1030)+1)))</f>
        <v/>
      </c>
      <c r="B1031" s="34" t="str">
        <f>IF(ISBLANK(C1031),"",SUBTOTAL(3,$C$8:C1031))</f>
        <v/>
      </c>
      <c r="C1031" s="78"/>
      <c r="D1031" s="50"/>
      <c r="E1031" s="50"/>
      <c r="F1031" s="35" t="str">
        <f t="shared" si="63"/>
        <v/>
      </c>
      <c r="G1031" s="36" t="str">
        <f t="shared" si="64"/>
        <v/>
      </c>
      <c r="H1031" s="51" t="str">
        <f t="shared" si="65"/>
        <v/>
      </c>
      <c r="I1031" s="51" t="str">
        <f t="shared" si="65"/>
        <v/>
      </c>
      <c r="J1031" s="51" t="str">
        <f t="shared" si="65"/>
        <v/>
      </c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7"/>
      <c r="AC1031" s="37"/>
      <c r="AD1031" s="37"/>
      <c r="AE1031" s="37"/>
      <c r="AF1031" s="37"/>
      <c r="AG1031" s="37"/>
      <c r="AH1031" s="37"/>
      <c r="AI1031" s="37"/>
      <c r="AJ1031" s="37"/>
      <c r="AK1031" s="37"/>
      <c r="AM1031" s="38"/>
      <c r="AN1031" s="38"/>
      <c r="AO1031" s="38"/>
      <c r="AP1031" s="38"/>
      <c r="AQ1031" s="38"/>
      <c r="AR1031" s="38"/>
      <c r="AS1031" s="38"/>
      <c r="AT1031" s="38"/>
      <c r="AU1031" s="38"/>
      <c r="AV1031" s="38"/>
      <c r="AW1031" s="38"/>
      <c r="AX1031" s="38"/>
      <c r="AY1031" s="38"/>
      <c r="AZ1031" s="38"/>
      <c r="BA1031" s="38"/>
      <c r="BB1031" s="38"/>
      <c r="BC1031" s="38"/>
      <c r="BD1031" s="38"/>
      <c r="BE1031" s="38"/>
      <c r="BF1031" s="38"/>
    </row>
    <row r="1032" spans="1:58" ht="22.5" hidden="1" customHeight="1">
      <c r="A1032" s="33" t="str">
        <f>IF(OR(ISBLANK(E1032),ISBLANK(C1032)),"",IF(COUNTIF($E$8:E1032,E1032)&gt;1,"",(MAX($A$7:A1031)+1)))</f>
        <v/>
      </c>
      <c r="B1032" s="34" t="str">
        <f>IF(ISBLANK(C1032),"",SUBTOTAL(3,$C$8:C1032))</f>
        <v/>
      </c>
      <c r="C1032" s="78"/>
      <c r="D1032" s="50"/>
      <c r="E1032" s="50"/>
      <c r="F1032" s="35" t="str">
        <f t="shared" ref="F1032:F1047" si="66">IFERROR(IF(OR(ISBLANK($C1032),B1032=""),"",INDEX(Luonggio,MATCH($C1032,MaNVLuong,0))),"")</f>
        <v/>
      </c>
      <c r="G1032" s="36" t="str">
        <f t="shared" si="64"/>
        <v/>
      </c>
      <c r="H1032" s="51" t="str">
        <f t="shared" si="65"/>
        <v/>
      </c>
      <c r="I1032" s="51" t="str">
        <f t="shared" si="65"/>
        <v/>
      </c>
      <c r="J1032" s="51" t="str">
        <f t="shared" si="65"/>
        <v/>
      </c>
      <c r="K1032" s="37"/>
      <c r="L1032" s="37"/>
      <c r="M1032" s="37"/>
      <c r="N1032" s="37"/>
      <c r="O1032" s="37"/>
      <c r="P1032" s="37"/>
      <c r="Q1032" s="37"/>
      <c r="R1032" s="37"/>
      <c r="S1032" s="37"/>
      <c r="T1032" s="37"/>
      <c r="U1032" s="37"/>
      <c r="V1032" s="37"/>
      <c r="W1032" s="37"/>
      <c r="X1032" s="37"/>
      <c r="Y1032" s="37"/>
      <c r="Z1032" s="37"/>
      <c r="AA1032" s="37"/>
      <c r="AB1032" s="37"/>
      <c r="AC1032" s="37"/>
      <c r="AD1032" s="37"/>
      <c r="AE1032" s="37"/>
      <c r="AF1032" s="37"/>
      <c r="AG1032" s="37"/>
      <c r="AH1032" s="37"/>
      <c r="AI1032" s="37"/>
      <c r="AJ1032" s="37"/>
      <c r="AK1032" s="37"/>
      <c r="AM1032" s="38"/>
      <c r="AN1032" s="38"/>
      <c r="AO1032" s="38"/>
      <c r="AP1032" s="38"/>
      <c r="AQ1032" s="38"/>
      <c r="AR1032" s="38"/>
      <c r="AS1032" s="38"/>
      <c r="AT1032" s="38"/>
      <c r="AU1032" s="38"/>
      <c r="AV1032" s="38"/>
      <c r="AW1032" s="38"/>
      <c r="AX1032" s="38"/>
      <c r="AY1032" s="38"/>
      <c r="AZ1032" s="38"/>
      <c r="BA1032" s="38"/>
      <c r="BB1032" s="38"/>
      <c r="BC1032" s="38"/>
      <c r="BD1032" s="38"/>
      <c r="BE1032" s="38"/>
      <c r="BF1032" s="38"/>
    </row>
    <row r="1033" spans="1:58" ht="22.5" hidden="1" customHeight="1">
      <c r="A1033" s="33" t="str">
        <f>IF(OR(ISBLANK(E1033),ISBLANK(C1033)),"",IF(COUNTIF($E$8:E1033,E1033)&gt;1,"",(MAX($A$7:A1032)+1)))</f>
        <v/>
      </c>
      <c r="B1033" s="34" t="str">
        <f>IF(ISBLANK(C1033),"",SUBTOTAL(3,$C$8:C1033))</f>
        <v/>
      </c>
      <c r="C1033" s="78"/>
      <c r="D1033" s="50"/>
      <c r="E1033" s="50"/>
      <c r="F1033" s="35" t="str">
        <f t="shared" si="66"/>
        <v/>
      </c>
      <c r="G1033" s="36" t="str">
        <f t="shared" ref="G1033:G1047" si="67">IF(COUNTIF(H1033:J1033,"&gt;0")=0,"",IF(AND(OR(OR(SUM(H1033)&gt;=2)),SUM(H1033:J1033)&gt;=4,OR(OR(SUM(I1033)&gt;=1))),"A",IF(OR(OR(SUM(H1033)&gt;=3)),"A",IF(AND(SUM(I1033)&gt;=2,SUM(H1033)=1),"B",IF(AND(SUM(I1033)&gt;=1,SUM(H1033)=2),"B",IF(H1033=2,"B",IF(SUM(I1033)&gt;=2,"C",IF(H1033=1,"C",IF(AND(H1033=1,I1033=1),"C",IF(AND(SUM(H1033:I1033)=0,SUM(J1033)&lt;=1),"D","D"))))))))))</f>
        <v/>
      </c>
      <c r="H1033" s="51" t="str">
        <f t="shared" si="65"/>
        <v/>
      </c>
      <c r="I1033" s="51" t="str">
        <f t="shared" si="65"/>
        <v/>
      </c>
      <c r="J1033" s="51" t="str">
        <f t="shared" si="65"/>
        <v/>
      </c>
      <c r="K1033" s="37"/>
      <c r="L1033" s="37"/>
      <c r="M1033" s="37"/>
      <c r="N1033" s="37"/>
      <c r="O1033" s="37"/>
      <c r="P1033" s="37"/>
      <c r="Q1033" s="37"/>
      <c r="R1033" s="37"/>
      <c r="S1033" s="37"/>
      <c r="T1033" s="37"/>
      <c r="U1033" s="37"/>
      <c r="V1033" s="37"/>
      <c r="W1033" s="37"/>
      <c r="X1033" s="37"/>
      <c r="Y1033" s="37"/>
      <c r="Z1033" s="37"/>
      <c r="AA1033" s="37"/>
      <c r="AB1033" s="37"/>
      <c r="AC1033" s="37"/>
      <c r="AD1033" s="37"/>
      <c r="AE1033" s="37"/>
      <c r="AF1033" s="37"/>
      <c r="AG1033" s="37"/>
      <c r="AH1033" s="37"/>
      <c r="AI1033" s="37"/>
      <c r="AJ1033" s="37"/>
      <c r="AK1033" s="37"/>
      <c r="AM1033" s="38"/>
      <c r="AN1033" s="38"/>
      <c r="AO1033" s="38"/>
      <c r="AP1033" s="38"/>
      <c r="AQ1033" s="38"/>
      <c r="AR1033" s="38"/>
      <c r="AS1033" s="38"/>
      <c r="AT1033" s="38"/>
      <c r="AU1033" s="38"/>
      <c r="AV1033" s="38"/>
      <c r="AW1033" s="38"/>
      <c r="AX1033" s="38"/>
      <c r="AY1033" s="38"/>
      <c r="AZ1033" s="38"/>
      <c r="BA1033" s="38"/>
      <c r="BB1033" s="38"/>
      <c r="BC1033" s="38"/>
      <c r="BD1033" s="38"/>
      <c r="BE1033" s="38"/>
      <c r="BF1033" s="38"/>
    </row>
    <row r="1034" spans="1:58" ht="22.5" hidden="1" customHeight="1">
      <c r="A1034" s="33" t="str">
        <f>IF(OR(ISBLANK(E1034),ISBLANK(C1034)),"",IF(COUNTIF($E$8:E1034,E1034)&gt;1,"",(MAX($A$7:A1033)+1)))</f>
        <v/>
      </c>
      <c r="B1034" s="34" t="str">
        <f>IF(ISBLANK(C1034),"",SUBTOTAL(3,$C$8:C1034))</f>
        <v/>
      </c>
      <c r="C1034" s="78"/>
      <c r="D1034" s="50"/>
      <c r="E1034" s="50"/>
      <c r="F1034" s="35" t="str">
        <f t="shared" si="66"/>
        <v/>
      </c>
      <c r="G1034" s="36" t="str">
        <f t="shared" si="67"/>
        <v/>
      </c>
      <c r="H1034" s="51" t="str">
        <f t="shared" si="65"/>
        <v/>
      </c>
      <c r="I1034" s="51" t="str">
        <f t="shared" si="65"/>
        <v/>
      </c>
      <c r="J1034" s="51" t="str">
        <f t="shared" si="65"/>
        <v/>
      </c>
      <c r="K1034" s="37"/>
      <c r="L1034" s="37"/>
      <c r="M1034" s="37"/>
      <c r="N1034" s="37"/>
      <c r="O1034" s="37"/>
      <c r="P1034" s="37"/>
      <c r="Q1034" s="37"/>
      <c r="R1034" s="37"/>
      <c r="S1034" s="37"/>
      <c r="T1034" s="37"/>
      <c r="U1034" s="37"/>
      <c r="V1034" s="37"/>
      <c r="W1034" s="37"/>
      <c r="X1034" s="37"/>
      <c r="Y1034" s="37"/>
      <c r="Z1034" s="37"/>
      <c r="AA1034" s="37"/>
      <c r="AB1034" s="37"/>
      <c r="AC1034" s="37"/>
      <c r="AD1034" s="37"/>
      <c r="AE1034" s="37"/>
      <c r="AF1034" s="37"/>
      <c r="AG1034" s="37"/>
      <c r="AH1034" s="37"/>
      <c r="AI1034" s="37"/>
      <c r="AJ1034" s="37"/>
      <c r="AK1034" s="37"/>
      <c r="AM1034" s="38"/>
      <c r="AN1034" s="38"/>
      <c r="AO1034" s="38"/>
      <c r="AP1034" s="38"/>
      <c r="AQ1034" s="38"/>
      <c r="AR1034" s="38"/>
      <c r="AS1034" s="38"/>
      <c r="AT1034" s="38"/>
      <c r="AU1034" s="38"/>
      <c r="AV1034" s="38"/>
      <c r="AW1034" s="38"/>
      <c r="AX1034" s="38"/>
      <c r="AY1034" s="38"/>
      <c r="AZ1034" s="38"/>
      <c r="BA1034" s="38"/>
      <c r="BB1034" s="38"/>
      <c r="BC1034" s="38"/>
      <c r="BD1034" s="38"/>
      <c r="BE1034" s="38"/>
      <c r="BF1034" s="38"/>
    </row>
    <row r="1035" spans="1:58" ht="22.5" hidden="1" customHeight="1">
      <c r="A1035" s="33" t="str">
        <f>IF(OR(ISBLANK(E1035),ISBLANK(C1035)),"",IF(COUNTIF($E$8:E1035,E1035)&gt;1,"",(MAX($A$7:A1034)+1)))</f>
        <v/>
      </c>
      <c r="B1035" s="34" t="str">
        <f>IF(ISBLANK(C1035),"",SUBTOTAL(3,$C$8:C1035))</f>
        <v/>
      </c>
      <c r="C1035" s="78"/>
      <c r="D1035" s="50"/>
      <c r="E1035" s="50"/>
      <c r="F1035" s="35" t="str">
        <f t="shared" si="66"/>
        <v/>
      </c>
      <c r="G1035" s="36" t="str">
        <f t="shared" si="67"/>
        <v/>
      </c>
      <c r="H1035" s="51" t="str">
        <f t="shared" si="65"/>
        <v/>
      </c>
      <c r="I1035" s="51" t="str">
        <f t="shared" si="65"/>
        <v/>
      </c>
      <c r="J1035" s="51" t="str">
        <f t="shared" si="65"/>
        <v/>
      </c>
      <c r="K1035" s="37"/>
      <c r="L1035" s="37"/>
      <c r="M1035" s="37"/>
      <c r="N1035" s="37"/>
      <c r="O1035" s="37"/>
      <c r="P1035" s="37"/>
      <c r="Q1035" s="37"/>
      <c r="R1035" s="37"/>
      <c r="S1035" s="37"/>
      <c r="T1035" s="37"/>
      <c r="U1035" s="37"/>
      <c r="V1035" s="37"/>
      <c r="W1035" s="37"/>
      <c r="X1035" s="37"/>
      <c r="Y1035" s="37"/>
      <c r="Z1035" s="37"/>
      <c r="AA1035" s="37"/>
      <c r="AB1035" s="37"/>
      <c r="AC1035" s="37"/>
      <c r="AD1035" s="37"/>
      <c r="AE1035" s="37"/>
      <c r="AF1035" s="37"/>
      <c r="AG1035" s="37"/>
      <c r="AH1035" s="37"/>
      <c r="AI1035" s="37"/>
      <c r="AJ1035" s="37"/>
      <c r="AK1035" s="37"/>
      <c r="AM1035" s="38"/>
      <c r="AN1035" s="38"/>
      <c r="AO1035" s="38"/>
      <c r="AP1035" s="38"/>
      <c r="AQ1035" s="38"/>
      <c r="AR1035" s="38"/>
      <c r="AS1035" s="38"/>
      <c r="AT1035" s="38"/>
      <c r="AU1035" s="38"/>
      <c r="AV1035" s="38"/>
      <c r="AW1035" s="38"/>
      <c r="AX1035" s="38"/>
      <c r="AY1035" s="38"/>
      <c r="AZ1035" s="38"/>
      <c r="BA1035" s="38"/>
      <c r="BB1035" s="38"/>
      <c r="BC1035" s="38"/>
      <c r="BD1035" s="38"/>
      <c r="BE1035" s="38"/>
      <c r="BF1035" s="38"/>
    </row>
    <row r="1036" spans="1:58" ht="22.5" hidden="1" customHeight="1">
      <c r="A1036" s="33" t="str">
        <f>IF(OR(ISBLANK(E1036),ISBLANK(C1036)),"",IF(COUNTIF($E$8:E1036,E1036)&gt;1,"",(MAX($A$7:A1035)+1)))</f>
        <v/>
      </c>
      <c r="B1036" s="34" t="str">
        <f>IF(ISBLANK(C1036),"",SUBTOTAL(3,$C$8:C1036))</f>
        <v/>
      </c>
      <c r="C1036" s="78"/>
      <c r="D1036" s="50"/>
      <c r="E1036" s="50"/>
      <c r="F1036" s="35" t="str">
        <f t="shared" si="66"/>
        <v/>
      </c>
      <c r="G1036" s="36" t="str">
        <f t="shared" si="67"/>
        <v/>
      </c>
      <c r="H1036" s="51" t="str">
        <f t="shared" si="65"/>
        <v/>
      </c>
      <c r="I1036" s="51" t="str">
        <f t="shared" si="65"/>
        <v/>
      </c>
      <c r="J1036" s="51" t="str">
        <f t="shared" si="65"/>
        <v/>
      </c>
      <c r="K1036" s="37"/>
      <c r="L1036" s="37"/>
      <c r="M1036" s="37"/>
      <c r="N1036" s="37"/>
      <c r="O1036" s="37"/>
      <c r="P1036" s="37"/>
      <c r="Q1036" s="37"/>
      <c r="R1036" s="37"/>
      <c r="S1036" s="37"/>
      <c r="T1036" s="37"/>
      <c r="U1036" s="37"/>
      <c r="V1036" s="37"/>
      <c r="W1036" s="37"/>
      <c r="X1036" s="37"/>
      <c r="Y1036" s="37"/>
      <c r="Z1036" s="37"/>
      <c r="AA1036" s="37"/>
      <c r="AB1036" s="37"/>
      <c r="AC1036" s="37"/>
      <c r="AD1036" s="37"/>
      <c r="AE1036" s="37"/>
      <c r="AF1036" s="37"/>
      <c r="AG1036" s="37"/>
      <c r="AH1036" s="37"/>
      <c r="AI1036" s="37"/>
      <c r="AJ1036" s="37"/>
      <c r="AK1036" s="37"/>
      <c r="AM1036" s="38"/>
      <c r="AN1036" s="38"/>
      <c r="AO1036" s="38"/>
      <c r="AP1036" s="38"/>
      <c r="AQ1036" s="38"/>
      <c r="AR1036" s="38"/>
      <c r="AS1036" s="38"/>
      <c r="AT1036" s="38"/>
      <c r="AU1036" s="38"/>
      <c r="AV1036" s="38"/>
      <c r="AW1036" s="38"/>
      <c r="AX1036" s="38"/>
      <c r="AY1036" s="38"/>
      <c r="AZ1036" s="38"/>
      <c r="BA1036" s="38"/>
      <c r="BB1036" s="38"/>
      <c r="BC1036" s="38"/>
      <c r="BD1036" s="38"/>
      <c r="BE1036" s="38"/>
      <c r="BF1036" s="38"/>
    </row>
    <row r="1037" spans="1:58" ht="22.5" hidden="1" customHeight="1">
      <c r="A1037" s="33" t="str">
        <f>IF(OR(ISBLANK(E1037),ISBLANK(C1037)),"",IF(COUNTIF($E$8:E1037,E1037)&gt;1,"",(MAX($A$7:A1036)+1)))</f>
        <v/>
      </c>
      <c r="B1037" s="34" t="str">
        <f>IF(ISBLANK(C1037),"",SUBTOTAL(3,$C$8:C1037))</f>
        <v/>
      </c>
      <c r="C1037" s="78"/>
      <c r="D1037" s="50"/>
      <c r="E1037" s="50"/>
      <c r="F1037" s="35" t="str">
        <f t="shared" si="66"/>
        <v/>
      </c>
      <c r="G1037" s="36" t="str">
        <f t="shared" si="67"/>
        <v/>
      </c>
      <c r="H1037" s="51" t="str">
        <f t="shared" si="65"/>
        <v/>
      </c>
      <c r="I1037" s="51" t="str">
        <f t="shared" si="65"/>
        <v/>
      </c>
      <c r="J1037" s="51" t="str">
        <f t="shared" si="65"/>
        <v/>
      </c>
      <c r="K1037" s="37"/>
      <c r="L1037" s="37"/>
      <c r="M1037" s="37"/>
      <c r="N1037" s="37"/>
      <c r="O1037" s="37"/>
      <c r="P1037" s="37"/>
      <c r="Q1037" s="37"/>
      <c r="R1037" s="37"/>
      <c r="S1037" s="37"/>
      <c r="T1037" s="37"/>
      <c r="U1037" s="37"/>
      <c r="V1037" s="37"/>
      <c r="W1037" s="37"/>
      <c r="X1037" s="37"/>
      <c r="Y1037" s="37"/>
      <c r="Z1037" s="37"/>
      <c r="AA1037" s="37"/>
      <c r="AB1037" s="37"/>
      <c r="AC1037" s="37"/>
      <c r="AD1037" s="37"/>
      <c r="AE1037" s="37"/>
      <c r="AF1037" s="37"/>
      <c r="AG1037" s="37"/>
      <c r="AH1037" s="37"/>
      <c r="AI1037" s="37"/>
      <c r="AJ1037" s="37"/>
      <c r="AK1037" s="37"/>
      <c r="AM1037" s="38"/>
      <c r="AN1037" s="38"/>
      <c r="AO1037" s="38"/>
      <c r="AP1037" s="38"/>
      <c r="AQ1037" s="38"/>
      <c r="AR1037" s="38"/>
      <c r="AS1037" s="38"/>
      <c r="AT1037" s="38"/>
      <c r="AU1037" s="38"/>
      <c r="AV1037" s="38"/>
      <c r="AW1037" s="38"/>
      <c r="AX1037" s="38"/>
      <c r="AY1037" s="38"/>
      <c r="AZ1037" s="38"/>
      <c r="BA1037" s="38"/>
      <c r="BB1037" s="38"/>
      <c r="BC1037" s="38"/>
      <c r="BD1037" s="38"/>
      <c r="BE1037" s="38"/>
      <c r="BF1037" s="38"/>
    </row>
    <row r="1038" spans="1:58" ht="22.5" hidden="1" customHeight="1">
      <c r="A1038" s="33" t="str">
        <f>IF(OR(ISBLANK(E1038),ISBLANK(C1038)),"",IF(COUNTIF($E$8:E1038,E1038)&gt;1,"",(MAX($A$7:A1037)+1)))</f>
        <v/>
      </c>
      <c r="B1038" s="34" t="str">
        <f>IF(ISBLANK(C1038),"",SUBTOTAL(3,$C$8:C1038))</f>
        <v/>
      </c>
      <c r="C1038" s="78"/>
      <c r="D1038" s="50"/>
      <c r="E1038" s="50"/>
      <c r="F1038" s="35" t="str">
        <f t="shared" si="66"/>
        <v/>
      </c>
      <c r="G1038" s="36" t="str">
        <f t="shared" si="67"/>
        <v/>
      </c>
      <c r="H1038" s="51" t="str">
        <f t="shared" si="65"/>
        <v/>
      </c>
      <c r="I1038" s="51" t="str">
        <f t="shared" si="65"/>
        <v/>
      </c>
      <c r="J1038" s="51" t="str">
        <f t="shared" si="65"/>
        <v/>
      </c>
      <c r="K1038" s="37"/>
      <c r="L1038" s="37"/>
      <c r="M1038" s="37"/>
      <c r="N1038" s="37"/>
      <c r="O1038" s="37"/>
      <c r="P1038" s="37"/>
      <c r="Q1038" s="37"/>
      <c r="R1038" s="37"/>
      <c r="S1038" s="37"/>
      <c r="T1038" s="37"/>
      <c r="U1038" s="37"/>
      <c r="V1038" s="37"/>
      <c r="W1038" s="37"/>
      <c r="X1038" s="37"/>
      <c r="Y1038" s="37"/>
      <c r="Z1038" s="37"/>
      <c r="AA1038" s="37"/>
      <c r="AB1038" s="37"/>
      <c r="AC1038" s="37"/>
      <c r="AD1038" s="37"/>
      <c r="AE1038" s="37"/>
      <c r="AF1038" s="37"/>
      <c r="AG1038" s="37"/>
      <c r="AH1038" s="37"/>
      <c r="AI1038" s="37"/>
      <c r="AJ1038" s="37"/>
      <c r="AK1038" s="37"/>
      <c r="AM1038" s="38"/>
      <c r="AN1038" s="38"/>
      <c r="AO1038" s="38"/>
      <c r="AP1038" s="38"/>
      <c r="AQ1038" s="38"/>
      <c r="AR1038" s="38"/>
      <c r="AS1038" s="38"/>
      <c r="AT1038" s="38"/>
      <c r="AU1038" s="38"/>
      <c r="AV1038" s="38"/>
      <c r="AW1038" s="38"/>
      <c r="AX1038" s="38"/>
      <c r="AY1038" s="38"/>
      <c r="AZ1038" s="38"/>
      <c r="BA1038" s="38"/>
      <c r="BB1038" s="38"/>
      <c r="BC1038" s="38"/>
      <c r="BD1038" s="38"/>
      <c r="BE1038" s="38"/>
      <c r="BF1038" s="38"/>
    </row>
    <row r="1039" spans="1:58" ht="22.5" hidden="1" customHeight="1">
      <c r="A1039" s="33" t="str">
        <f>IF(OR(ISBLANK(E1039),ISBLANK(C1039)),"",IF(COUNTIF($E$8:E1039,E1039)&gt;1,"",(MAX($A$7:A1038)+1)))</f>
        <v/>
      </c>
      <c r="B1039" s="34" t="str">
        <f>IF(ISBLANK(C1039),"",SUBTOTAL(3,$C$8:C1039))</f>
        <v/>
      </c>
      <c r="C1039" s="78"/>
      <c r="D1039" s="50"/>
      <c r="E1039" s="50"/>
      <c r="F1039" s="35" t="str">
        <f t="shared" si="66"/>
        <v/>
      </c>
      <c r="G1039" s="36" t="str">
        <f t="shared" si="67"/>
        <v/>
      </c>
      <c r="H1039" s="51" t="str">
        <f t="shared" si="65"/>
        <v/>
      </c>
      <c r="I1039" s="51" t="str">
        <f t="shared" si="65"/>
        <v/>
      </c>
      <c r="J1039" s="51" t="str">
        <f t="shared" si="65"/>
        <v/>
      </c>
      <c r="K1039" s="37"/>
      <c r="L1039" s="37"/>
      <c r="M1039" s="37"/>
      <c r="N1039" s="37"/>
      <c r="O1039" s="37"/>
      <c r="P1039" s="37"/>
      <c r="Q1039" s="37"/>
      <c r="R1039" s="37"/>
      <c r="S1039" s="37"/>
      <c r="T1039" s="37"/>
      <c r="U1039" s="37"/>
      <c r="V1039" s="37"/>
      <c r="W1039" s="37"/>
      <c r="X1039" s="37"/>
      <c r="Y1039" s="37"/>
      <c r="Z1039" s="37"/>
      <c r="AA1039" s="37"/>
      <c r="AB1039" s="37"/>
      <c r="AC1039" s="37"/>
      <c r="AD1039" s="37"/>
      <c r="AE1039" s="37"/>
      <c r="AF1039" s="37"/>
      <c r="AG1039" s="37"/>
      <c r="AH1039" s="37"/>
      <c r="AI1039" s="37"/>
      <c r="AJ1039" s="37"/>
      <c r="AK1039" s="37"/>
      <c r="AM1039" s="38"/>
      <c r="AN1039" s="38"/>
      <c r="AO1039" s="38"/>
      <c r="AP1039" s="38"/>
      <c r="AQ1039" s="38"/>
      <c r="AR1039" s="38"/>
      <c r="AS1039" s="38"/>
      <c r="AT1039" s="38"/>
      <c r="AU1039" s="38"/>
      <c r="AV1039" s="38"/>
      <c r="AW1039" s="38"/>
      <c r="AX1039" s="38"/>
      <c r="AY1039" s="38"/>
      <c r="AZ1039" s="38"/>
      <c r="BA1039" s="38"/>
      <c r="BB1039" s="38"/>
      <c r="BC1039" s="38"/>
      <c r="BD1039" s="38"/>
      <c r="BE1039" s="38"/>
      <c r="BF1039" s="38"/>
    </row>
    <row r="1040" spans="1:58" ht="22.5" hidden="1" customHeight="1">
      <c r="A1040" s="33" t="str">
        <f>IF(OR(ISBLANK(E1040),ISBLANK(C1040)),"",IF(COUNTIF($E$8:E1040,E1040)&gt;1,"",(MAX($A$7:A1039)+1)))</f>
        <v/>
      </c>
      <c r="B1040" s="34" t="str">
        <f>IF(ISBLANK(C1040),"",SUBTOTAL(3,$C$8:C1040))</f>
        <v/>
      </c>
      <c r="C1040" s="78"/>
      <c r="D1040" s="50"/>
      <c r="E1040" s="50"/>
      <c r="F1040" s="35" t="str">
        <f t="shared" si="66"/>
        <v/>
      </c>
      <c r="G1040" s="36" t="str">
        <f t="shared" si="67"/>
        <v/>
      </c>
      <c r="H1040" s="51" t="str">
        <f t="shared" si="65"/>
        <v/>
      </c>
      <c r="I1040" s="51" t="str">
        <f t="shared" si="65"/>
        <v/>
      </c>
      <c r="J1040" s="51" t="str">
        <f t="shared" si="65"/>
        <v/>
      </c>
      <c r="K1040" s="37"/>
      <c r="L1040" s="37"/>
      <c r="M1040" s="37"/>
      <c r="N1040" s="37"/>
      <c r="O1040" s="37"/>
      <c r="P1040" s="37"/>
      <c r="Q1040" s="37"/>
      <c r="R1040" s="37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7"/>
      <c r="AC1040" s="37"/>
      <c r="AD1040" s="37"/>
      <c r="AE1040" s="37"/>
      <c r="AF1040" s="37"/>
      <c r="AG1040" s="37"/>
      <c r="AH1040" s="37"/>
      <c r="AI1040" s="37"/>
      <c r="AJ1040" s="37"/>
      <c r="AK1040" s="37"/>
      <c r="AM1040" s="38"/>
      <c r="AN1040" s="38"/>
      <c r="AO1040" s="38"/>
      <c r="AP1040" s="38"/>
      <c r="AQ1040" s="38"/>
      <c r="AR1040" s="38"/>
      <c r="AS1040" s="38"/>
      <c r="AT1040" s="38"/>
      <c r="AU1040" s="38"/>
      <c r="AV1040" s="38"/>
      <c r="AW1040" s="38"/>
      <c r="AX1040" s="38"/>
      <c r="AY1040" s="38"/>
      <c r="AZ1040" s="38"/>
      <c r="BA1040" s="38"/>
      <c r="BB1040" s="38"/>
      <c r="BC1040" s="38"/>
      <c r="BD1040" s="38"/>
      <c r="BE1040" s="38"/>
      <c r="BF1040" s="38"/>
    </row>
    <row r="1041" spans="1:58" ht="22.5" hidden="1" customHeight="1">
      <c r="A1041" s="33" t="str">
        <f>IF(OR(ISBLANK(E1041),ISBLANK(C1041)),"",IF(COUNTIF($E$8:E1041,E1041)&gt;1,"",(MAX($A$7:A1040)+1)))</f>
        <v/>
      </c>
      <c r="B1041" s="34" t="str">
        <f>IF(ISBLANK(C1041),"",SUBTOTAL(3,$C$8:C1041))</f>
        <v/>
      </c>
      <c r="C1041" s="78"/>
      <c r="D1041" s="50"/>
      <c r="E1041" s="50"/>
      <c r="F1041" s="35" t="str">
        <f t="shared" si="66"/>
        <v/>
      </c>
      <c r="G1041" s="36" t="str">
        <f t="shared" si="67"/>
        <v/>
      </c>
      <c r="H1041" s="51" t="str">
        <f t="shared" si="65"/>
        <v/>
      </c>
      <c r="I1041" s="51" t="str">
        <f t="shared" si="65"/>
        <v/>
      </c>
      <c r="J1041" s="51" t="str">
        <f t="shared" si="65"/>
        <v/>
      </c>
      <c r="K1041" s="37"/>
      <c r="L1041" s="37"/>
      <c r="M1041" s="37"/>
      <c r="N1041" s="37"/>
      <c r="O1041" s="37"/>
      <c r="P1041" s="37"/>
      <c r="Q1041" s="37"/>
      <c r="R1041" s="37"/>
      <c r="S1041" s="37"/>
      <c r="T1041" s="37"/>
      <c r="U1041" s="37"/>
      <c r="V1041" s="37"/>
      <c r="W1041" s="37"/>
      <c r="X1041" s="37"/>
      <c r="Y1041" s="37"/>
      <c r="Z1041" s="37"/>
      <c r="AA1041" s="37"/>
      <c r="AB1041" s="37"/>
      <c r="AC1041" s="37"/>
      <c r="AD1041" s="37"/>
      <c r="AE1041" s="37"/>
      <c r="AF1041" s="37"/>
      <c r="AG1041" s="37"/>
      <c r="AH1041" s="37"/>
      <c r="AI1041" s="37"/>
      <c r="AJ1041" s="37"/>
      <c r="AK1041" s="37"/>
      <c r="AM1041" s="38"/>
      <c r="AN1041" s="38"/>
      <c r="AO1041" s="38"/>
      <c r="AP1041" s="38"/>
      <c r="AQ1041" s="38"/>
      <c r="AR1041" s="38"/>
      <c r="AS1041" s="38"/>
      <c r="AT1041" s="38"/>
      <c r="AU1041" s="38"/>
      <c r="AV1041" s="38"/>
      <c r="AW1041" s="38"/>
      <c r="AX1041" s="38"/>
      <c r="AY1041" s="38"/>
      <c r="AZ1041" s="38"/>
      <c r="BA1041" s="38"/>
      <c r="BB1041" s="38"/>
      <c r="BC1041" s="38"/>
      <c r="BD1041" s="38"/>
      <c r="BE1041" s="38"/>
      <c r="BF1041" s="38"/>
    </row>
    <row r="1042" spans="1:58" ht="22.5" hidden="1" customHeight="1">
      <c r="A1042" s="33" t="str">
        <f>IF(OR(ISBLANK(E1042),ISBLANK(C1042)),"",IF(COUNTIF($E$8:E1042,E1042)&gt;1,"",(MAX($A$7:A1041)+1)))</f>
        <v/>
      </c>
      <c r="B1042" s="34" t="str">
        <f>IF(ISBLANK(C1042),"",SUBTOTAL(3,$C$8:C1042))</f>
        <v/>
      </c>
      <c r="C1042" s="80"/>
      <c r="D1042" s="50"/>
      <c r="E1042" s="50"/>
      <c r="F1042" s="35" t="str">
        <f t="shared" si="66"/>
        <v/>
      </c>
      <c r="G1042" s="36" t="str">
        <f t="shared" si="67"/>
        <v/>
      </c>
      <c r="H1042" s="51" t="str">
        <f t="shared" si="65"/>
        <v/>
      </c>
      <c r="I1042" s="51" t="str">
        <f t="shared" si="65"/>
        <v/>
      </c>
      <c r="J1042" s="51" t="str">
        <f t="shared" si="65"/>
        <v/>
      </c>
      <c r="K1042" s="37"/>
      <c r="L1042" s="37"/>
      <c r="M1042" s="37"/>
      <c r="N1042" s="37"/>
      <c r="O1042" s="37"/>
      <c r="P1042" s="37"/>
      <c r="Q1042" s="37"/>
      <c r="R1042" s="37"/>
      <c r="S1042" s="37"/>
      <c r="T1042" s="37"/>
      <c r="U1042" s="37"/>
      <c r="V1042" s="37"/>
      <c r="W1042" s="37"/>
      <c r="X1042" s="37"/>
      <c r="Y1042" s="37"/>
      <c r="Z1042" s="37"/>
      <c r="AA1042" s="37"/>
      <c r="AB1042" s="37"/>
      <c r="AC1042" s="37"/>
      <c r="AD1042" s="37"/>
      <c r="AE1042" s="37"/>
      <c r="AF1042" s="37"/>
      <c r="AG1042" s="37"/>
      <c r="AH1042" s="37"/>
      <c r="AI1042" s="37"/>
      <c r="AJ1042" s="37"/>
      <c r="AK1042" s="37"/>
      <c r="AM1042" s="38"/>
      <c r="AN1042" s="38"/>
      <c r="AO1042" s="38"/>
      <c r="AP1042" s="38"/>
      <c r="AQ1042" s="38"/>
      <c r="AR1042" s="38"/>
      <c r="AS1042" s="38"/>
      <c r="AT1042" s="38"/>
      <c r="AU1042" s="38"/>
      <c r="AV1042" s="38"/>
      <c r="AW1042" s="38"/>
      <c r="AX1042" s="38"/>
      <c r="AY1042" s="38"/>
      <c r="AZ1042" s="38"/>
      <c r="BA1042" s="38"/>
      <c r="BB1042" s="38"/>
      <c r="BC1042" s="38"/>
      <c r="BD1042" s="38"/>
      <c r="BE1042" s="38"/>
      <c r="BF1042" s="38"/>
    </row>
    <row r="1043" spans="1:58" ht="22.5" hidden="1" customHeight="1">
      <c r="A1043" s="33" t="str">
        <f>IF(OR(ISBLANK(E1043),ISBLANK(C1043)),"",IF(COUNTIF($E$8:E1043,E1043)&gt;1,"",(MAX($A$7:A1042)+1)))</f>
        <v/>
      </c>
      <c r="B1043" s="34" t="str">
        <f>IF(ISBLANK(C1043),"",SUBTOTAL(3,$C$8:C1043))</f>
        <v/>
      </c>
      <c r="C1043" s="80"/>
      <c r="D1043" s="50"/>
      <c r="E1043" s="50"/>
      <c r="F1043" s="35" t="str">
        <f t="shared" si="66"/>
        <v/>
      </c>
      <c r="G1043" s="36" t="str">
        <f t="shared" si="67"/>
        <v/>
      </c>
      <c r="H1043" s="51" t="str">
        <f t="shared" si="65"/>
        <v/>
      </c>
      <c r="I1043" s="51" t="str">
        <f t="shared" si="65"/>
        <v/>
      </c>
      <c r="J1043" s="51" t="str">
        <f t="shared" si="65"/>
        <v/>
      </c>
      <c r="K1043" s="37"/>
      <c r="L1043" s="37"/>
      <c r="M1043" s="37"/>
      <c r="N1043" s="37"/>
      <c r="O1043" s="37"/>
      <c r="P1043" s="37"/>
      <c r="Q1043" s="37"/>
      <c r="R1043" s="37"/>
      <c r="S1043" s="37"/>
      <c r="T1043" s="37"/>
      <c r="U1043" s="37"/>
      <c r="V1043" s="37"/>
      <c r="W1043" s="37"/>
      <c r="X1043" s="37"/>
      <c r="Y1043" s="37"/>
      <c r="Z1043" s="37"/>
      <c r="AA1043" s="37"/>
      <c r="AB1043" s="37"/>
      <c r="AC1043" s="37"/>
      <c r="AD1043" s="37"/>
      <c r="AE1043" s="37"/>
      <c r="AF1043" s="37"/>
      <c r="AG1043" s="37"/>
      <c r="AH1043" s="37"/>
      <c r="AI1043" s="37"/>
      <c r="AJ1043" s="37"/>
      <c r="AK1043" s="37"/>
      <c r="AM1043" s="38"/>
      <c r="AN1043" s="38"/>
      <c r="AO1043" s="38"/>
      <c r="AP1043" s="38"/>
      <c r="AQ1043" s="38"/>
      <c r="AR1043" s="38"/>
      <c r="AS1043" s="38"/>
      <c r="AT1043" s="38"/>
      <c r="AU1043" s="38"/>
      <c r="AV1043" s="38"/>
      <c r="AW1043" s="38"/>
      <c r="AX1043" s="38"/>
      <c r="AY1043" s="38"/>
      <c r="AZ1043" s="38"/>
      <c r="BA1043" s="38"/>
      <c r="BB1043" s="38"/>
      <c r="BC1043" s="38"/>
      <c r="BD1043" s="38"/>
      <c r="BE1043" s="38"/>
      <c r="BF1043" s="38"/>
    </row>
    <row r="1044" spans="1:58" ht="22.5" hidden="1" customHeight="1">
      <c r="A1044" s="33" t="str">
        <f>IF(OR(ISBLANK(E1044),ISBLANK(C1044)),"",IF(COUNTIF($E$8:E1044,E1044)&gt;1,"",(MAX($A$7:A1043)+1)))</f>
        <v/>
      </c>
      <c r="B1044" s="34" t="str">
        <f>IF(ISBLANK(C1044),"",SUBTOTAL(3,$C$8:C1044))</f>
        <v/>
      </c>
      <c r="C1044" s="79"/>
      <c r="D1044" s="50"/>
      <c r="E1044" s="50"/>
      <c r="F1044" s="35" t="str">
        <f t="shared" si="66"/>
        <v/>
      </c>
      <c r="G1044" s="36" t="str">
        <f t="shared" si="67"/>
        <v/>
      </c>
      <c r="H1044" s="51" t="str">
        <f t="shared" si="65"/>
        <v/>
      </c>
      <c r="I1044" s="51" t="str">
        <f t="shared" si="65"/>
        <v/>
      </c>
      <c r="J1044" s="51" t="str">
        <f t="shared" si="65"/>
        <v/>
      </c>
      <c r="K1044" s="36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M1044" s="38"/>
      <c r="AN1044" s="38"/>
      <c r="AO1044" s="38"/>
      <c r="AP1044" s="38"/>
      <c r="AQ1044" s="38"/>
      <c r="AR1044" s="38"/>
      <c r="AS1044" s="38"/>
      <c r="AT1044" s="38"/>
      <c r="AU1044" s="38"/>
      <c r="AV1044" s="38"/>
      <c r="AW1044" s="38"/>
      <c r="AX1044" s="38"/>
      <c r="AY1044" s="38"/>
      <c r="AZ1044" s="38"/>
      <c r="BA1044" s="38"/>
      <c r="BB1044" s="38"/>
      <c r="BC1044" s="38"/>
      <c r="BD1044" s="38"/>
      <c r="BE1044" s="38"/>
      <c r="BF1044" s="38"/>
    </row>
    <row r="1045" spans="1:58" ht="22.5" hidden="1" customHeight="1">
      <c r="A1045" s="33" t="str">
        <f>IF(OR(ISBLANK(E1045),ISBLANK(C1045)),"",IF(COUNTIF($E$8:E1045,E1045)&gt;1,"",(MAX($A$7:A1044)+1)))</f>
        <v/>
      </c>
      <c r="B1045" s="34" t="str">
        <f>IF(ISBLANK(C1045),"",SUBTOTAL(3,$C$8:C1045))</f>
        <v/>
      </c>
      <c r="C1045" s="79"/>
      <c r="D1045" s="50"/>
      <c r="E1045" s="50"/>
      <c r="F1045" s="35" t="str">
        <f t="shared" si="66"/>
        <v/>
      </c>
      <c r="G1045" s="36" t="str">
        <f t="shared" si="67"/>
        <v/>
      </c>
      <c r="H1045" s="51" t="str">
        <f t="shared" si="65"/>
        <v/>
      </c>
      <c r="I1045" s="51" t="str">
        <f t="shared" si="65"/>
        <v/>
      </c>
      <c r="J1045" s="51" t="str">
        <f t="shared" si="65"/>
        <v/>
      </c>
      <c r="K1045" s="36"/>
      <c r="L1045" s="36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M1045" s="38"/>
      <c r="AN1045" s="38"/>
      <c r="AO1045" s="38"/>
      <c r="AP1045" s="38"/>
      <c r="AQ1045" s="38"/>
      <c r="AR1045" s="38"/>
      <c r="AS1045" s="38"/>
      <c r="AT1045" s="38"/>
      <c r="AU1045" s="38"/>
      <c r="AV1045" s="38"/>
      <c r="AW1045" s="38"/>
      <c r="AX1045" s="38"/>
      <c r="AY1045" s="38"/>
      <c r="AZ1045" s="38"/>
      <c r="BA1045" s="38"/>
      <c r="BB1045" s="38"/>
      <c r="BC1045" s="38"/>
      <c r="BD1045" s="38"/>
      <c r="BE1045" s="38"/>
      <c r="BF1045" s="38"/>
    </row>
    <row r="1046" spans="1:58" ht="22.5" hidden="1" customHeight="1">
      <c r="A1046" s="33" t="str">
        <f>IF(OR(ISBLANK(E1046),ISBLANK(C1046)),"",IF(COUNTIF($E$8:E1046,E1046)&gt;1,"",(MAX($A$7:A1045)+1)))</f>
        <v/>
      </c>
      <c r="B1046" s="34" t="str">
        <f>IF(ISBLANK(C1046),"",SUBTOTAL(3,$C$8:C1046))</f>
        <v/>
      </c>
      <c r="C1046" s="79"/>
      <c r="D1046" s="50"/>
      <c r="E1046" s="50"/>
      <c r="F1046" s="35" t="str">
        <f t="shared" si="66"/>
        <v/>
      </c>
      <c r="G1046" s="36" t="str">
        <f t="shared" si="67"/>
        <v/>
      </c>
      <c r="H1046" s="51" t="str">
        <f t="shared" si="65"/>
        <v/>
      </c>
      <c r="I1046" s="51" t="str">
        <f t="shared" si="65"/>
        <v/>
      </c>
      <c r="J1046" s="51" t="str">
        <f t="shared" si="65"/>
        <v/>
      </c>
      <c r="K1046" s="36"/>
      <c r="L1046" s="36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M1046" s="38"/>
      <c r="AN1046" s="38"/>
      <c r="AO1046" s="38"/>
      <c r="AP1046" s="38"/>
      <c r="AQ1046" s="38"/>
      <c r="AR1046" s="38"/>
      <c r="AS1046" s="38"/>
      <c r="AT1046" s="38"/>
      <c r="AU1046" s="38"/>
      <c r="AV1046" s="38"/>
      <c r="AW1046" s="38"/>
      <c r="AX1046" s="38"/>
      <c r="AY1046" s="38"/>
      <c r="AZ1046" s="38"/>
      <c r="BA1046" s="38"/>
      <c r="BB1046" s="38"/>
      <c r="BC1046" s="38"/>
      <c r="BD1046" s="38"/>
      <c r="BE1046" s="38"/>
      <c r="BF1046" s="38"/>
    </row>
    <row r="1047" spans="1:58" ht="22.5" hidden="1" customHeight="1">
      <c r="A1047" s="33" t="str">
        <f>IF(OR(ISBLANK(E1047),ISBLANK(C1047)),"",IF(COUNTIF($E$8:E1047,E1047)&gt;1,"",(MAX($A$7:A1046)+1)))</f>
        <v/>
      </c>
      <c r="B1047" s="34" t="str">
        <f>IF(ISBLANK(C1047),"",SUBTOTAL(3,$C$8:C1047))</f>
        <v/>
      </c>
      <c r="C1047" s="79"/>
      <c r="D1047" s="50"/>
      <c r="E1047" s="50"/>
      <c r="F1047" s="35" t="str">
        <f t="shared" si="66"/>
        <v/>
      </c>
      <c r="G1047" s="36" t="str">
        <f t="shared" si="67"/>
        <v/>
      </c>
      <c r="H1047" s="51" t="str">
        <f t="shared" si="65"/>
        <v/>
      </c>
      <c r="I1047" s="51" t="str">
        <f t="shared" si="65"/>
        <v/>
      </c>
      <c r="J1047" s="51" t="str">
        <f t="shared" si="65"/>
        <v/>
      </c>
      <c r="K1047" s="36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M1047" s="38"/>
      <c r="AN1047" s="38"/>
      <c r="AO1047" s="38"/>
      <c r="AP1047" s="38"/>
      <c r="AQ1047" s="38"/>
      <c r="AR1047" s="38"/>
      <c r="AS1047" s="38"/>
      <c r="AT1047" s="38"/>
      <c r="AU1047" s="38"/>
      <c r="AV1047" s="38"/>
      <c r="AW1047" s="38"/>
      <c r="AX1047" s="38"/>
      <c r="AY1047" s="38"/>
      <c r="AZ1047" s="38"/>
      <c r="BA1047" s="38"/>
      <c r="BB1047" s="38"/>
      <c r="BC1047" s="38"/>
      <c r="BD1047" s="38"/>
      <c r="BE1047" s="38"/>
      <c r="BF1047" s="38"/>
    </row>
    <row r="1048" spans="1:58" hidden="1">
      <c r="B1048" s="44"/>
      <c r="C1048" s="45"/>
      <c r="Z1048" s="233">
        <f ca="1">TODAY()</f>
        <v>46262</v>
      </c>
      <c r="AA1048" s="233"/>
      <c r="AB1048" s="233"/>
      <c r="AC1048" s="233"/>
      <c r="AD1048" s="233"/>
      <c r="AE1048" s="233"/>
      <c r="AF1048" s="233"/>
    </row>
    <row r="1049" spans="1:58" hidden="1">
      <c r="B1049" s="44"/>
      <c r="C1049" s="45"/>
      <c r="D1049" s="46"/>
      <c r="E1049" s="45">
        <v>1</v>
      </c>
      <c r="Z1049" s="234" t="s">
        <v>1773</v>
      </c>
      <c r="AA1049" s="234"/>
      <c r="AB1049" s="234"/>
      <c r="AC1049" s="234"/>
      <c r="AD1049" s="234"/>
      <c r="AE1049" s="234"/>
      <c r="AF1049" s="234"/>
    </row>
    <row r="1050" spans="1:58">
      <c r="B1050" s="44"/>
      <c r="C1050" s="59"/>
      <c r="D1050" s="59"/>
      <c r="E1050" s="59"/>
    </row>
    <row r="1051" spans="1:58">
      <c r="B1051" s="44"/>
      <c r="C1051" s="59"/>
      <c r="D1051" s="59"/>
      <c r="E1051" s="59"/>
    </row>
    <row r="1052" spans="1:58">
      <c r="B1052" s="44"/>
      <c r="C1052" s="59"/>
      <c r="D1052" s="59"/>
      <c r="E1052" s="59"/>
    </row>
    <row r="1053" spans="1:58">
      <c r="B1053" s="44"/>
      <c r="C1053" s="59"/>
      <c r="D1053" s="59"/>
      <c r="E1053" s="59"/>
    </row>
    <row r="1054" spans="1:58">
      <c r="B1054" s="44"/>
      <c r="C1054" s="59"/>
      <c r="D1054" s="59"/>
      <c r="E1054" s="59"/>
    </row>
    <row r="1055" spans="1:58">
      <c r="B1055" s="44"/>
      <c r="C1055" s="59"/>
      <c r="D1055" s="59"/>
      <c r="E1055" s="59"/>
    </row>
    <row r="1056" spans="1:58">
      <c r="B1056" s="44"/>
      <c r="C1056" s="59"/>
      <c r="D1056" s="59"/>
      <c r="E1056" s="59"/>
    </row>
    <row r="1057" spans="2:5">
      <c r="B1057" s="44"/>
      <c r="C1057" s="59"/>
      <c r="D1057" s="59"/>
      <c r="E1057" s="59"/>
    </row>
    <row r="1058" spans="2:5">
      <c r="B1058" s="44"/>
      <c r="C1058" s="59"/>
      <c r="D1058" s="59"/>
      <c r="E1058" s="59"/>
    </row>
    <row r="1059" spans="2:5">
      <c r="B1059" s="44"/>
      <c r="C1059" s="59"/>
      <c r="D1059" s="59"/>
      <c r="E1059" s="59"/>
    </row>
    <row r="1060" spans="2:5">
      <c r="B1060" s="44"/>
      <c r="C1060" s="59"/>
      <c r="D1060" s="59"/>
      <c r="E1060" s="59"/>
    </row>
    <row r="1061" spans="2:5">
      <c r="B1061" s="44"/>
      <c r="C1061" s="59"/>
      <c r="D1061" s="59"/>
      <c r="E1061" s="59"/>
    </row>
    <row r="1062" spans="2:5">
      <c r="B1062" s="44"/>
      <c r="C1062" s="59"/>
      <c r="D1062" s="59"/>
      <c r="E1062" s="59"/>
    </row>
    <row r="1063" spans="2:5">
      <c r="B1063" s="44"/>
      <c r="C1063" s="59"/>
      <c r="D1063" s="59"/>
      <c r="E1063" s="59"/>
    </row>
    <row r="1064" spans="2:5">
      <c r="B1064" s="44"/>
      <c r="C1064" s="59"/>
      <c r="D1064" s="59"/>
      <c r="E1064" s="59"/>
    </row>
    <row r="1065" spans="2:5">
      <c r="B1065" s="44"/>
      <c r="C1065" s="59"/>
      <c r="D1065" s="59"/>
      <c r="E1065" s="59"/>
    </row>
    <row r="1066" spans="2:5">
      <c r="B1066" s="44"/>
      <c r="C1066" s="59"/>
      <c r="D1066" s="59"/>
      <c r="E1066" s="59"/>
    </row>
    <row r="1067" spans="2:5">
      <c r="B1067" s="44"/>
      <c r="C1067" s="59"/>
      <c r="D1067" s="59"/>
      <c r="E1067" s="59"/>
    </row>
    <row r="1068" spans="2:5">
      <c r="B1068" s="44"/>
      <c r="C1068" s="59"/>
      <c r="D1068" s="59"/>
      <c r="E1068" s="59"/>
    </row>
    <row r="1069" spans="2:5">
      <c r="B1069" s="44"/>
      <c r="C1069" s="59"/>
      <c r="D1069" s="59"/>
      <c r="E1069" s="59"/>
    </row>
    <row r="1070" spans="2:5">
      <c r="B1070" s="44"/>
      <c r="C1070" s="59"/>
      <c r="D1070" s="59"/>
      <c r="E1070" s="59"/>
    </row>
    <row r="1071" spans="2:5">
      <c r="B1071" s="44"/>
      <c r="C1071" s="59"/>
      <c r="D1071" s="59"/>
      <c r="E1071" s="59"/>
    </row>
    <row r="1072" spans="2:5">
      <c r="B1072" s="44"/>
      <c r="C1072" s="59"/>
      <c r="D1072" s="59"/>
      <c r="E1072" s="59"/>
    </row>
    <row r="1073" spans="2:5">
      <c r="B1073" s="44"/>
      <c r="C1073" s="59"/>
      <c r="D1073" s="59"/>
      <c r="E1073" s="59"/>
    </row>
    <row r="1074" spans="2:5">
      <c r="B1074" s="44"/>
      <c r="C1074" s="59"/>
      <c r="D1074" s="59"/>
      <c r="E1074" s="59"/>
    </row>
    <row r="1075" spans="2:5">
      <c r="B1075" s="44"/>
      <c r="C1075" s="59"/>
      <c r="D1075" s="59"/>
      <c r="E1075" s="59"/>
    </row>
    <row r="1076" spans="2:5">
      <c r="B1076" s="44"/>
      <c r="C1076" s="59"/>
      <c r="D1076" s="59"/>
      <c r="E1076" s="59"/>
    </row>
    <row r="1077" spans="2:5">
      <c r="B1077" s="44"/>
      <c r="C1077" s="59"/>
      <c r="D1077" s="59"/>
      <c r="E1077" s="59"/>
    </row>
    <row r="1078" spans="2:5">
      <c r="B1078" s="44"/>
      <c r="C1078" s="59"/>
      <c r="D1078" s="59"/>
      <c r="E1078" s="59"/>
    </row>
    <row r="1079" spans="2:5">
      <c r="B1079" s="44"/>
      <c r="C1079" s="59"/>
      <c r="D1079" s="59"/>
      <c r="E1079" s="59"/>
    </row>
    <row r="1080" spans="2:5">
      <c r="B1080" s="44"/>
      <c r="C1080" s="59"/>
      <c r="D1080" s="59"/>
      <c r="E1080" s="59"/>
    </row>
    <row r="1081" spans="2:5">
      <c r="B1081" s="44"/>
      <c r="C1081" s="59"/>
      <c r="D1081" s="59"/>
      <c r="E1081" s="59"/>
    </row>
    <row r="1082" spans="2:5">
      <c r="B1082" s="44"/>
      <c r="C1082" s="59"/>
      <c r="D1082" s="59"/>
      <c r="E1082" s="59"/>
    </row>
    <row r="1083" spans="2:5">
      <c r="B1083" s="44"/>
      <c r="C1083" s="59"/>
      <c r="D1083" s="59"/>
      <c r="E1083" s="59"/>
    </row>
    <row r="1084" spans="2:5">
      <c r="B1084" s="44"/>
      <c r="C1084" s="59"/>
      <c r="D1084" s="59"/>
      <c r="E1084" s="59"/>
    </row>
    <row r="1085" spans="2:5">
      <c r="B1085" s="44"/>
      <c r="C1085" s="59"/>
      <c r="D1085" s="59"/>
      <c r="E1085" s="59"/>
    </row>
    <row r="1086" spans="2:5">
      <c r="B1086" s="44"/>
      <c r="C1086" s="59"/>
      <c r="D1086" s="59"/>
      <c r="E1086" s="59"/>
    </row>
    <row r="1087" spans="2:5">
      <c r="B1087" s="44"/>
      <c r="C1087" s="59"/>
      <c r="D1087" s="59"/>
      <c r="E1087" s="59"/>
    </row>
    <row r="1088" spans="2:5">
      <c r="B1088" s="44"/>
      <c r="C1088" s="59"/>
      <c r="D1088" s="59"/>
      <c r="E1088" s="59"/>
    </row>
    <row r="1089" spans="2:5">
      <c r="B1089" s="44"/>
      <c r="C1089" s="59"/>
      <c r="D1089" s="59"/>
      <c r="E1089" s="59"/>
    </row>
    <row r="1090" spans="2:5">
      <c r="B1090" s="44"/>
      <c r="C1090" s="59"/>
      <c r="D1090" s="59"/>
      <c r="E1090" s="59"/>
    </row>
    <row r="1091" spans="2:5">
      <c r="B1091" s="44"/>
      <c r="C1091" s="59"/>
      <c r="D1091" s="59"/>
      <c r="E1091" s="60"/>
    </row>
    <row r="1092" spans="2:5">
      <c r="B1092" s="44"/>
      <c r="C1092" s="59"/>
      <c r="D1092" s="59"/>
      <c r="E1092" s="61"/>
    </row>
    <row r="1093" spans="2:5">
      <c r="B1093" s="44"/>
      <c r="C1093" s="59"/>
      <c r="D1093" s="59"/>
      <c r="E1093" s="61"/>
    </row>
    <row r="1094" spans="2:5">
      <c r="B1094" s="44"/>
      <c r="C1094" s="59"/>
      <c r="D1094" s="59"/>
      <c r="E1094" s="61"/>
    </row>
    <row r="1095" spans="2:5">
      <c r="B1095" s="44"/>
      <c r="C1095" s="59"/>
      <c r="D1095" s="59"/>
      <c r="E1095" s="61"/>
    </row>
    <row r="1096" spans="2:5">
      <c r="B1096" s="44"/>
      <c r="C1096" s="59"/>
      <c r="D1096" s="59"/>
      <c r="E1096" s="61"/>
    </row>
    <row r="1097" spans="2:5">
      <c r="B1097" s="44"/>
      <c r="C1097" s="59"/>
      <c r="D1097" s="59"/>
      <c r="E1097" s="61"/>
    </row>
    <row r="1098" spans="2:5">
      <c r="B1098" s="44"/>
      <c r="C1098" s="59"/>
      <c r="D1098" s="59"/>
      <c r="E1098" s="61"/>
    </row>
    <row r="1099" spans="2:5">
      <c r="B1099" s="44"/>
      <c r="C1099" s="59"/>
      <c r="D1099" s="59"/>
      <c r="E1099" s="61"/>
    </row>
    <row r="1100" spans="2:5">
      <c r="B1100" s="44"/>
      <c r="C1100" s="59"/>
      <c r="D1100" s="59"/>
      <c r="E1100" s="61"/>
    </row>
    <row r="1101" spans="2:5">
      <c r="B1101" s="44"/>
      <c r="C1101" s="59"/>
      <c r="D1101" s="59"/>
      <c r="E1101" s="61"/>
    </row>
    <row r="1102" spans="2:5">
      <c r="B1102" s="44"/>
      <c r="C1102" s="59"/>
      <c r="D1102" s="59"/>
      <c r="E1102" s="61"/>
    </row>
    <row r="1103" spans="2:5">
      <c r="B1103" s="44"/>
      <c r="C1103" s="59"/>
      <c r="D1103" s="59"/>
      <c r="E1103" s="61"/>
    </row>
    <row r="1104" spans="2:5">
      <c r="B1104" s="44"/>
      <c r="C1104" s="59"/>
      <c r="D1104" s="59"/>
      <c r="E1104" s="61"/>
    </row>
    <row r="1105" spans="2:5">
      <c r="B1105" s="44"/>
      <c r="C1105" s="59"/>
      <c r="D1105" s="59"/>
      <c r="E1105" s="61"/>
    </row>
    <row r="1106" spans="2:5">
      <c r="B1106" s="44"/>
      <c r="C1106" s="59"/>
      <c r="D1106" s="59"/>
      <c r="E1106" s="61"/>
    </row>
    <row r="1107" spans="2:5">
      <c r="B1107" s="44"/>
      <c r="C1107" s="59"/>
      <c r="D1107" s="59"/>
      <c r="E1107" s="61"/>
    </row>
    <row r="1108" spans="2:5">
      <c r="B1108" s="44"/>
      <c r="C1108" s="59"/>
      <c r="D1108" s="59"/>
      <c r="E1108" s="61"/>
    </row>
    <row r="1109" spans="2:5">
      <c r="B1109" s="44"/>
      <c r="C1109" s="59"/>
      <c r="D1109" s="59"/>
      <c r="E1109" s="61"/>
    </row>
    <row r="1110" spans="2:5">
      <c r="B1110" s="44"/>
      <c r="C1110" s="59"/>
      <c r="D1110" s="59"/>
      <c r="E1110" s="61"/>
    </row>
    <row r="1111" spans="2:5">
      <c r="B1111" s="44"/>
      <c r="C1111" s="59"/>
      <c r="D1111" s="59"/>
      <c r="E1111" s="61"/>
    </row>
    <row r="1112" spans="2:5">
      <c r="B1112" s="44"/>
      <c r="C1112" s="59"/>
      <c r="D1112" s="59"/>
      <c r="E1112" s="61"/>
    </row>
    <row r="1113" spans="2:5">
      <c r="B1113" s="44"/>
      <c r="C1113" s="59"/>
      <c r="D1113" s="59"/>
      <c r="E1113" s="61"/>
    </row>
    <row r="1114" spans="2:5">
      <c r="B1114" s="44"/>
      <c r="C1114" s="59"/>
      <c r="D1114" s="59"/>
      <c r="E1114" s="61"/>
    </row>
    <row r="1115" spans="2:5">
      <c r="B1115" s="44"/>
      <c r="C1115" s="59"/>
      <c r="D1115" s="59"/>
      <c r="E1115" s="61"/>
    </row>
    <row r="1116" spans="2:5">
      <c r="B1116" s="44"/>
      <c r="C1116" s="59"/>
      <c r="D1116" s="59"/>
      <c r="E1116" s="61"/>
    </row>
    <row r="1117" spans="2:5">
      <c r="B1117" s="44"/>
      <c r="C1117" s="59"/>
      <c r="D1117" s="59"/>
      <c r="E1117" s="61"/>
    </row>
    <row r="1118" spans="2:5">
      <c r="B1118" s="44"/>
      <c r="C1118" s="59"/>
      <c r="D1118" s="59"/>
      <c r="E1118" s="61"/>
    </row>
    <row r="1119" spans="2:5">
      <c r="B1119" s="44"/>
      <c r="C1119" s="59"/>
      <c r="D1119" s="59"/>
      <c r="E1119" s="61"/>
    </row>
    <row r="1120" spans="2:5">
      <c r="B1120" s="44"/>
      <c r="C1120" s="59"/>
      <c r="D1120" s="59"/>
      <c r="E1120" s="61"/>
    </row>
    <row r="1121" spans="2:5">
      <c r="B1121" s="44"/>
      <c r="C1121" s="59"/>
      <c r="D1121" s="59"/>
      <c r="E1121" s="61"/>
    </row>
    <row r="1122" spans="2:5">
      <c r="B1122" s="44"/>
      <c r="C1122" s="59"/>
      <c r="D1122" s="59"/>
      <c r="E1122" s="61"/>
    </row>
    <row r="1123" spans="2:5">
      <c r="B1123" s="44"/>
      <c r="C1123" s="59"/>
      <c r="D1123" s="59"/>
      <c r="E1123" s="61"/>
    </row>
    <row r="1124" spans="2:5">
      <c r="B1124" s="44"/>
      <c r="C1124" s="59"/>
      <c r="D1124" s="59"/>
      <c r="E1124" s="61"/>
    </row>
    <row r="1125" spans="2:5">
      <c r="B1125" s="44"/>
      <c r="C1125" s="59"/>
      <c r="D1125" s="59"/>
      <c r="E1125" s="61"/>
    </row>
    <row r="1126" spans="2:5">
      <c r="B1126" s="44"/>
      <c r="C1126" s="59"/>
      <c r="D1126" s="59"/>
      <c r="E1126" s="61"/>
    </row>
    <row r="1127" spans="2:5">
      <c r="B1127" s="44"/>
      <c r="C1127" s="59"/>
      <c r="D1127" s="59"/>
      <c r="E1127" s="61"/>
    </row>
    <row r="1128" spans="2:5">
      <c r="B1128" s="44"/>
      <c r="C1128" s="59"/>
      <c r="D1128" s="59"/>
      <c r="E1128" s="61"/>
    </row>
    <row r="1129" spans="2:5">
      <c r="B1129" s="44"/>
      <c r="C1129" s="59"/>
      <c r="D1129" s="59"/>
      <c r="E1129" s="61"/>
    </row>
    <row r="1130" spans="2:5">
      <c r="B1130" s="44"/>
      <c r="C1130" s="59"/>
      <c r="D1130" s="59"/>
      <c r="E1130" s="61"/>
    </row>
    <row r="1131" spans="2:5">
      <c r="B1131" s="44"/>
      <c r="C1131" s="59"/>
      <c r="D1131" s="59"/>
      <c r="E1131" s="61"/>
    </row>
    <row r="1132" spans="2:5">
      <c r="B1132" s="44"/>
      <c r="C1132" s="59"/>
      <c r="D1132" s="59"/>
      <c r="E1132" s="61"/>
    </row>
    <row r="1133" spans="2:5">
      <c r="B1133" s="44"/>
      <c r="C1133" s="59"/>
      <c r="D1133" s="59"/>
      <c r="E1133" s="61"/>
    </row>
    <row r="1134" spans="2:5">
      <c r="B1134" s="44"/>
      <c r="C1134" s="59"/>
      <c r="D1134" s="59"/>
      <c r="E1134" s="61"/>
    </row>
    <row r="1135" spans="2:5">
      <c r="B1135" s="44"/>
      <c r="C1135" s="59"/>
      <c r="D1135" s="59"/>
      <c r="E1135" s="61"/>
    </row>
    <row r="1136" spans="2:5">
      <c r="B1136" s="44"/>
      <c r="C1136" s="59"/>
      <c r="D1136" s="59"/>
      <c r="E1136" s="61"/>
    </row>
    <row r="1137" spans="2:5">
      <c r="B1137" s="44"/>
      <c r="C1137" s="59"/>
      <c r="D1137" s="59"/>
      <c r="E1137" s="61"/>
    </row>
    <row r="1138" spans="2:5">
      <c r="B1138" s="44"/>
      <c r="C1138" s="59"/>
      <c r="D1138" s="59"/>
      <c r="E1138" s="61"/>
    </row>
    <row r="1139" spans="2:5">
      <c r="B1139" s="59"/>
      <c r="C1139" s="59"/>
      <c r="D1139" s="59"/>
      <c r="E1139" s="61"/>
    </row>
    <row r="1140" spans="2:5">
      <c r="B1140" s="59"/>
      <c r="C1140" s="59"/>
      <c r="D1140" s="59"/>
      <c r="E1140" s="61"/>
    </row>
    <row r="1141" spans="2:5">
      <c r="B1141" s="59"/>
      <c r="C1141" s="59"/>
      <c r="D1141" s="59"/>
      <c r="E1141" s="61"/>
    </row>
    <row r="1142" spans="2:5">
      <c r="B1142" s="59"/>
      <c r="C1142" s="59"/>
      <c r="D1142" s="59"/>
      <c r="E1142" s="61"/>
    </row>
    <row r="1143" spans="2:5">
      <c r="B1143" s="59"/>
      <c r="C1143" s="59"/>
      <c r="D1143" s="59"/>
      <c r="E1143" s="61"/>
    </row>
    <row r="1144" spans="2:5">
      <c r="B1144" s="59"/>
      <c r="C1144" s="59"/>
      <c r="D1144" s="59"/>
      <c r="E1144" s="61"/>
    </row>
    <row r="1145" spans="2:5">
      <c r="B1145" s="59"/>
      <c r="C1145" s="59"/>
      <c r="D1145" s="59"/>
      <c r="E1145" s="61"/>
    </row>
    <row r="1146" spans="2:5">
      <c r="B1146" s="59"/>
      <c r="C1146" s="59"/>
      <c r="D1146" s="59"/>
      <c r="E1146" s="61"/>
    </row>
    <row r="1147" spans="2:5">
      <c r="B1147" s="59"/>
      <c r="C1147" s="59"/>
      <c r="D1147" s="59"/>
      <c r="E1147" s="61"/>
    </row>
    <row r="1148" spans="2:5">
      <c r="B1148" s="59"/>
      <c r="C1148" s="59"/>
      <c r="D1148" s="59"/>
      <c r="E1148" s="61"/>
    </row>
    <row r="1149" spans="2:5">
      <c r="B1149" s="59"/>
      <c r="C1149" s="59"/>
      <c r="D1149" s="59"/>
      <c r="E1149" s="61"/>
    </row>
    <row r="1150" spans="2:5">
      <c r="B1150" s="59"/>
      <c r="C1150" s="59"/>
      <c r="D1150" s="59"/>
      <c r="E1150" s="61"/>
    </row>
    <row r="1151" spans="2:5">
      <c r="B1151" s="59"/>
      <c r="C1151" s="59"/>
      <c r="D1151" s="59"/>
      <c r="E1151" s="61"/>
    </row>
    <row r="1152" spans="2:5">
      <c r="B1152" s="59"/>
      <c r="C1152" s="59"/>
      <c r="D1152" s="59"/>
      <c r="E1152" s="61"/>
    </row>
    <row r="1153" spans="2:5">
      <c r="B1153" s="59"/>
      <c r="C1153" s="59"/>
      <c r="D1153" s="59"/>
      <c r="E1153" s="61"/>
    </row>
    <row r="1154" spans="2:5">
      <c r="B1154" s="59"/>
      <c r="C1154" s="59"/>
      <c r="D1154" s="59"/>
      <c r="E1154" s="61"/>
    </row>
    <row r="1155" spans="2:5">
      <c r="B1155" s="59"/>
      <c r="C1155" s="59"/>
      <c r="D1155" s="59"/>
      <c r="E1155" s="61"/>
    </row>
    <row r="1156" spans="2:5">
      <c r="B1156" s="59"/>
      <c r="C1156" s="59"/>
      <c r="D1156" s="59"/>
      <c r="E1156" s="61"/>
    </row>
    <row r="1157" spans="2:5">
      <c r="B1157" s="59"/>
      <c r="C1157" s="59"/>
      <c r="D1157" s="59"/>
      <c r="E1157" s="61"/>
    </row>
    <row r="1158" spans="2:5">
      <c r="B1158" s="59"/>
      <c r="C1158" s="59"/>
      <c r="D1158" s="59"/>
      <c r="E1158" s="61"/>
    </row>
    <row r="1159" spans="2:5">
      <c r="B1159" s="59"/>
      <c r="C1159" s="59"/>
      <c r="D1159" s="59"/>
      <c r="E1159" s="61"/>
    </row>
    <row r="1160" spans="2:5">
      <c r="B1160" s="59"/>
      <c r="C1160" s="59"/>
      <c r="D1160" s="59"/>
      <c r="E1160" s="61"/>
    </row>
    <row r="1161" spans="2:5">
      <c r="B1161" s="59"/>
      <c r="C1161" s="59"/>
      <c r="D1161" s="59"/>
      <c r="E1161" s="61"/>
    </row>
    <row r="1162" spans="2:5">
      <c r="B1162" s="59"/>
      <c r="C1162" s="59"/>
      <c r="D1162" s="59"/>
      <c r="E1162" s="61"/>
    </row>
    <row r="1163" spans="2:5">
      <c r="B1163" s="59"/>
      <c r="C1163" s="59"/>
      <c r="D1163" s="59"/>
      <c r="E1163" s="61"/>
    </row>
    <row r="1164" spans="2:5">
      <c r="B1164" s="59"/>
      <c r="C1164" s="59"/>
      <c r="D1164" s="59"/>
      <c r="E1164" s="61"/>
    </row>
    <row r="1165" spans="2:5">
      <c r="B1165" s="59"/>
      <c r="C1165" s="59"/>
      <c r="D1165" s="59"/>
      <c r="E1165" s="61"/>
    </row>
    <row r="1166" spans="2:5">
      <c r="B1166" s="59"/>
      <c r="C1166" s="59"/>
      <c r="D1166" s="59"/>
      <c r="E1166" s="61"/>
    </row>
    <row r="1167" spans="2:5">
      <c r="B1167" s="59"/>
      <c r="C1167" s="59"/>
      <c r="D1167" s="59"/>
      <c r="E1167" s="61"/>
    </row>
    <row r="1168" spans="2:5">
      <c r="B1168" s="59"/>
      <c r="C1168" s="59"/>
      <c r="D1168" s="59"/>
      <c r="E1168" s="61"/>
    </row>
    <row r="1169" spans="2:5">
      <c r="B1169" s="59"/>
      <c r="C1169" s="59"/>
      <c r="D1169" s="59"/>
      <c r="E1169" s="61"/>
    </row>
    <row r="1170" spans="2:5">
      <c r="B1170" s="59"/>
      <c r="C1170" s="59"/>
      <c r="D1170" s="59"/>
      <c r="E1170" s="61"/>
    </row>
    <row r="1171" spans="2:5">
      <c r="B1171" s="59"/>
      <c r="C1171" s="59"/>
      <c r="D1171" s="59"/>
      <c r="E1171" s="61"/>
    </row>
    <row r="1172" spans="2:5">
      <c r="B1172" s="59"/>
      <c r="C1172" s="59"/>
      <c r="D1172" s="59"/>
      <c r="E1172" s="61"/>
    </row>
    <row r="1173" spans="2:5">
      <c r="B1173" s="59"/>
      <c r="C1173" s="59"/>
      <c r="D1173" s="59"/>
      <c r="E1173" s="61"/>
    </row>
    <row r="1174" spans="2:5">
      <c r="B1174" s="59"/>
      <c r="C1174" s="59"/>
      <c r="D1174" s="59"/>
      <c r="E1174" s="61"/>
    </row>
    <row r="1175" spans="2:5">
      <c r="B1175" s="59"/>
      <c r="C1175" s="59"/>
      <c r="D1175" s="59"/>
      <c r="E1175" s="61"/>
    </row>
    <row r="1176" spans="2:5">
      <c r="B1176" s="59"/>
      <c r="C1176" s="59"/>
      <c r="D1176" s="59"/>
      <c r="E1176" s="61"/>
    </row>
    <row r="1177" spans="2:5">
      <c r="B1177" s="59"/>
      <c r="C1177" s="59"/>
      <c r="D1177" s="59"/>
      <c r="E1177" s="61"/>
    </row>
    <row r="1178" spans="2:5">
      <c r="B1178" s="59"/>
      <c r="C1178" s="59"/>
      <c r="D1178" s="59"/>
      <c r="E1178" s="61"/>
    </row>
    <row r="1179" spans="2:5">
      <c r="B1179" s="59"/>
      <c r="C1179" s="59"/>
      <c r="D1179" s="59"/>
      <c r="E1179" s="61"/>
    </row>
    <row r="1180" spans="2:5">
      <c r="B1180" s="59"/>
      <c r="C1180" s="59"/>
      <c r="D1180" s="59"/>
      <c r="E1180" s="61"/>
    </row>
    <row r="1181" spans="2:5">
      <c r="B1181" s="59"/>
      <c r="C1181" s="59"/>
      <c r="D1181" s="59"/>
      <c r="E1181" s="61"/>
    </row>
    <row r="1182" spans="2:5">
      <c r="B1182" s="59"/>
      <c r="C1182" s="59"/>
      <c r="D1182" s="59"/>
      <c r="E1182" s="61"/>
    </row>
    <row r="1183" spans="2:5">
      <c r="B1183" s="59"/>
      <c r="C1183" s="59"/>
      <c r="D1183" s="59"/>
      <c r="E1183" s="61"/>
    </row>
    <row r="1184" spans="2:5">
      <c r="B1184" s="59"/>
      <c r="C1184" s="59"/>
      <c r="D1184" s="59"/>
      <c r="E1184" s="61"/>
    </row>
    <row r="1185" spans="2:5">
      <c r="B1185" s="59"/>
      <c r="C1185" s="59"/>
      <c r="D1185" s="59"/>
      <c r="E1185" s="61"/>
    </row>
    <row r="1186" spans="2:5">
      <c r="B1186" s="59"/>
      <c r="C1186" s="59"/>
      <c r="D1186" s="59"/>
      <c r="E1186" s="61"/>
    </row>
    <row r="1187" spans="2:5">
      <c r="B1187" s="59"/>
      <c r="C1187" s="59"/>
      <c r="D1187" s="59"/>
      <c r="E1187" s="61"/>
    </row>
    <row r="1188" spans="2:5">
      <c r="B1188" s="59"/>
      <c r="C1188" s="59"/>
      <c r="D1188" s="59"/>
      <c r="E1188" s="61"/>
    </row>
    <row r="1189" spans="2:5">
      <c r="B1189" s="59"/>
      <c r="C1189" s="59"/>
      <c r="D1189" s="59"/>
      <c r="E1189" s="61"/>
    </row>
    <row r="1190" spans="2:5">
      <c r="B1190" s="59"/>
      <c r="C1190" s="59"/>
      <c r="D1190" s="59"/>
      <c r="E1190" s="61"/>
    </row>
    <row r="1191" spans="2:5">
      <c r="B1191" s="59"/>
      <c r="C1191" s="59"/>
      <c r="D1191" s="59"/>
      <c r="E1191" s="61"/>
    </row>
    <row r="1192" spans="2:5">
      <c r="B1192" s="59"/>
      <c r="C1192" s="59"/>
      <c r="D1192" s="59"/>
      <c r="E1192" s="61"/>
    </row>
    <row r="1193" spans="2:5">
      <c r="B1193" s="59"/>
      <c r="C1193" s="59"/>
      <c r="D1193" s="59"/>
      <c r="E1193" s="61"/>
    </row>
    <row r="1194" spans="2:5">
      <c r="B1194" s="59"/>
      <c r="C1194" s="59"/>
      <c r="D1194" s="59"/>
      <c r="E1194" s="61"/>
    </row>
    <row r="1195" spans="2:5">
      <c r="B1195" s="59"/>
      <c r="C1195" s="59"/>
      <c r="D1195" s="59"/>
      <c r="E1195" s="61"/>
    </row>
    <row r="1196" spans="2:5">
      <c r="B1196" s="59"/>
      <c r="C1196" s="59"/>
      <c r="D1196" s="59"/>
      <c r="E1196" s="61"/>
    </row>
    <row r="1197" spans="2:5">
      <c r="B1197" s="59"/>
      <c r="C1197" s="59"/>
      <c r="D1197" s="59"/>
      <c r="E1197" s="61"/>
    </row>
    <row r="1198" spans="2:5">
      <c r="B1198" s="59"/>
      <c r="C1198" s="59"/>
      <c r="D1198" s="59"/>
      <c r="E1198" s="61"/>
    </row>
    <row r="1199" spans="2:5">
      <c r="B1199" s="59"/>
      <c r="C1199" s="59"/>
      <c r="D1199" s="59"/>
      <c r="E1199" s="61"/>
    </row>
    <row r="1200" spans="2:5">
      <c r="B1200" s="59"/>
      <c r="C1200" s="59"/>
      <c r="D1200" s="59"/>
      <c r="E1200" s="61"/>
    </row>
    <row r="1201" spans="2:5">
      <c r="B1201" s="59"/>
      <c r="C1201" s="59"/>
      <c r="D1201" s="59"/>
      <c r="E1201" s="61"/>
    </row>
    <row r="1202" spans="2:5">
      <c r="B1202" s="59"/>
      <c r="C1202" s="59"/>
      <c r="D1202" s="59"/>
      <c r="E1202" s="61"/>
    </row>
    <row r="1203" spans="2:5">
      <c r="B1203" s="59"/>
      <c r="C1203" s="59"/>
      <c r="D1203" s="59"/>
      <c r="E1203" s="61"/>
    </row>
    <row r="1204" spans="2:5">
      <c r="B1204" s="59"/>
      <c r="C1204" s="59"/>
      <c r="D1204" s="59"/>
      <c r="E1204" s="61"/>
    </row>
    <row r="1205" spans="2:5">
      <c r="B1205" s="59"/>
      <c r="C1205" s="59"/>
      <c r="D1205" s="59"/>
      <c r="E1205" s="61"/>
    </row>
    <row r="1206" spans="2:5">
      <c r="B1206" s="59"/>
      <c r="C1206" s="59"/>
      <c r="D1206" s="59"/>
      <c r="E1206" s="61"/>
    </row>
    <row r="1207" spans="2:5">
      <c r="B1207" s="59"/>
      <c r="C1207" s="59"/>
      <c r="D1207" s="59"/>
      <c r="E1207" s="61"/>
    </row>
    <row r="1208" spans="2:5">
      <c r="B1208" s="59"/>
      <c r="C1208" s="59"/>
      <c r="D1208" s="59"/>
      <c r="E1208" s="61"/>
    </row>
    <row r="1209" spans="2:5">
      <c r="B1209" s="59"/>
      <c r="C1209" s="59"/>
      <c r="D1209" s="59"/>
      <c r="E1209" s="61"/>
    </row>
    <row r="1210" spans="2:5">
      <c r="B1210" s="59"/>
      <c r="C1210" s="59"/>
      <c r="D1210" s="59"/>
      <c r="E1210" s="61"/>
    </row>
    <row r="1211" spans="2:5">
      <c r="B1211" s="59"/>
      <c r="C1211" s="59"/>
      <c r="D1211" s="59"/>
      <c r="E1211" s="61"/>
    </row>
    <row r="1212" spans="2:5">
      <c r="B1212" s="59"/>
      <c r="C1212" s="59"/>
      <c r="D1212" s="59"/>
      <c r="E1212" s="61"/>
    </row>
    <row r="1213" spans="2:5">
      <c r="B1213" s="59"/>
      <c r="C1213" s="59"/>
      <c r="D1213" s="59"/>
      <c r="E1213" s="61"/>
    </row>
    <row r="1214" spans="2:5">
      <c r="B1214" s="59"/>
      <c r="C1214" s="59"/>
      <c r="D1214" s="59"/>
      <c r="E1214" s="61"/>
    </row>
    <row r="1215" spans="2:5">
      <c r="B1215" s="59"/>
      <c r="C1215" s="59"/>
      <c r="D1215" s="59"/>
      <c r="E1215" s="61"/>
    </row>
    <row r="1216" spans="2:5">
      <c r="B1216" s="59"/>
      <c r="C1216" s="59"/>
      <c r="D1216" s="59"/>
      <c r="E1216" s="61"/>
    </row>
    <row r="1217" spans="2:5">
      <c r="B1217" s="59"/>
      <c r="C1217" s="59"/>
      <c r="D1217" s="59"/>
      <c r="E1217" s="61"/>
    </row>
    <row r="1218" spans="2:5">
      <c r="B1218" s="59"/>
      <c r="C1218" s="59"/>
      <c r="D1218" s="59"/>
      <c r="E1218" s="61"/>
    </row>
    <row r="1219" spans="2:5">
      <c r="B1219" s="59"/>
      <c r="C1219" s="59"/>
      <c r="D1219" s="59"/>
      <c r="E1219" s="61"/>
    </row>
    <row r="1220" spans="2:5">
      <c r="B1220" s="59"/>
      <c r="C1220" s="59"/>
      <c r="D1220" s="59"/>
      <c r="E1220" s="61"/>
    </row>
    <row r="1221" spans="2:5">
      <c r="B1221" s="59"/>
      <c r="C1221" s="59"/>
      <c r="D1221" s="59"/>
      <c r="E1221" s="61"/>
    </row>
    <row r="1222" spans="2:5">
      <c r="B1222" s="59"/>
      <c r="C1222" s="59"/>
      <c r="D1222" s="59"/>
      <c r="E1222" s="61"/>
    </row>
    <row r="1223" spans="2:5">
      <c r="B1223" s="59"/>
      <c r="C1223" s="59"/>
      <c r="D1223" s="59"/>
      <c r="E1223" s="61"/>
    </row>
    <row r="1224" spans="2:5">
      <c r="B1224" s="59"/>
      <c r="C1224" s="59"/>
      <c r="D1224" s="59"/>
      <c r="E1224" s="61"/>
    </row>
    <row r="1225" spans="2:5">
      <c r="B1225" s="59"/>
      <c r="C1225" s="59"/>
      <c r="D1225" s="59"/>
      <c r="E1225" s="61"/>
    </row>
    <row r="1226" spans="2:5">
      <c r="B1226" s="59"/>
      <c r="C1226" s="59"/>
      <c r="D1226" s="59"/>
      <c r="E1226" s="61"/>
    </row>
    <row r="1227" spans="2:5">
      <c r="B1227" s="59"/>
      <c r="C1227" s="59"/>
      <c r="D1227" s="59"/>
      <c r="E1227" s="61"/>
    </row>
    <row r="1228" spans="2:5">
      <c r="B1228" s="59"/>
      <c r="C1228" s="59"/>
      <c r="D1228" s="59"/>
      <c r="E1228" s="61"/>
    </row>
    <row r="1229" spans="2:5">
      <c r="B1229" s="59"/>
      <c r="C1229" s="59"/>
      <c r="D1229" s="59"/>
      <c r="E1229" s="61"/>
    </row>
    <row r="1230" spans="2:5">
      <c r="B1230" s="59"/>
      <c r="C1230" s="59"/>
      <c r="D1230" s="59"/>
      <c r="E1230" s="61"/>
    </row>
    <row r="1231" spans="2:5">
      <c r="B1231" s="59"/>
      <c r="C1231" s="59"/>
      <c r="D1231" s="59"/>
      <c r="E1231" s="61"/>
    </row>
    <row r="1232" spans="2:5">
      <c r="E1232" s="62"/>
    </row>
    <row r="1233" spans="5:5">
      <c r="E1233" s="62"/>
    </row>
    <row r="1234" spans="5:5">
      <c r="E1234" s="62"/>
    </row>
    <row r="1235" spans="5:5">
      <c r="E1235" s="62"/>
    </row>
    <row r="1236" spans="5:5">
      <c r="E1236" s="62"/>
    </row>
    <row r="1237" spans="5:5">
      <c r="E1237" s="62"/>
    </row>
    <row r="1238" spans="5:5">
      <c r="E1238" s="62"/>
    </row>
    <row r="1239" spans="5:5">
      <c r="E1239" s="62"/>
    </row>
    <row r="1240" spans="5:5">
      <c r="E1240" s="62"/>
    </row>
    <row r="1241" spans="5:5">
      <c r="E1241" s="62"/>
    </row>
    <row r="1242" spans="5:5">
      <c r="E1242" s="62"/>
    </row>
    <row r="1243" spans="5:5">
      <c r="E1243" s="62"/>
    </row>
    <row r="1244" spans="5:5">
      <c r="E1244" s="62"/>
    </row>
    <row r="1245" spans="5:5">
      <c r="E1245" s="62"/>
    </row>
    <row r="1246" spans="5:5">
      <c r="E1246" s="62"/>
    </row>
    <row r="1247" spans="5:5">
      <c r="E1247" s="62"/>
    </row>
    <row r="1248" spans="5:5">
      <c r="E1248" s="62"/>
    </row>
    <row r="1249" spans="5:5">
      <c r="E1249" s="62"/>
    </row>
    <row r="1250" spans="5:5">
      <c r="E1250" s="62"/>
    </row>
    <row r="1251" spans="5:5">
      <c r="E1251" s="62"/>
    </row>
    <row r="1252" spans="5:5">
      <c r="E1252" s="62"/>
    </row>
    <row r="1253" spans="5:5">
      <c r="E1253" s="62"/>
    </row>
    <row r="1254" spans="5:5">
      <c r="E1254" s="62"/>
    </row>
    <row r="1255" spans="5:5">
      <c r="E1255" s="62"/>
    </row>
    <row r="1256" spans="5:5">
      <c r="E1256" s="62"/>
    </row>
    <row r="1257" spans="5:5">
      <c r="E1257" s="62"/>
    </row>
    <row r="1258" spans="5:5">
      <c r="E1258" s="62"/>
    </row>
    <row r="1259" spans="5:5">
      <c r="E1259" s="62"/>
    </row>
    <row r="1260" spans="5:5">
      <c r="E1260" s="62"/>
    </row>
    <row r="1261" spans="5:5">
      <c r="E1261" s="62"/>
    </row>
    <row r="1262" spans="5:5">
      <c r="E1262" s="62"/>
    </row>
    <row r="1263" spans="5:5">
      <c r="E1263" s="62"/>
    </row>
    <row r="1264" spans="5:5">
      <c r="E1264" s="62"/>
    </row>
    <row r="1265" spans="5:5">
      <c r="E1265" s="62"/>
    </row>
    <row r="1266" spans="5:5">
      <c r="E1266" s="62"/>
    </row>
    <row r="1267" spans="5:5">
      <c r="E1267" s="62"/>
    </row>
    <row r="1268" spans="5:5">
      <c r="E1268" s="62"/>
    </row>
    <row r="1269" spans="5:5">
      <c r="E1269" s="62"/>
    </row>
    <row r="1270" spans="5:5">
      <c r="E1270" s="62"/>
    </row>
    <row r="1271" spans="5:5">
      <c r="E1271" s="62"/>
    </row>
    <row r="1272" spans="5:5">
      <c r="E1272" s="62"/>
    </row>
    <row r="1273" spans="5:5">
      <c r="E1273" s="62"/>
    </row>
    <row r="1274" spans="5:5">
      <c r="E1274" s="62"/>
    </row>
    <row r="1275" spans="5:5">
      <c r="E1275" s="62"/>
    </row>
    <row r="1276" spans="5:5">
      <c r="E1276" s="62"/>
    </row>
    <row r="1277" spans="5:5">
      <c r="E1277" s="62"/>
    </row>
    <row r="1278" spans="5:5">
      <c r="E1278" s="62"/>
    </row>
    <row r="1279" spans="5:5">
      <c r="E1279" s="62"/>
    </row>
    <row r="1280" spans="5:5">
      <c r="E1280" s="62"/>
    </row>
    <row r="1281" spans="5:5">
      <c r="E1281" s="62"/>
    </row>
    <row r="1282" spans="5:5">
      <c r="E1282" s="62"/>
    </row>
    <row r="1283" spans="5:5">
      <c r="E1283" s="62"/>
    </row>
    <row r="1284" spans="5:5">
      <c r="E1284" s="62"/>
    </row>
    <row r="1285" spans="5:5">
      <c r="E1285" s="62"/>
    </row>
    <row r="1286" spans="5:5">
      <c r="E1286" s="62"/>
    </row>
    <row r="1287" spans="5:5">
      <c r="E1287" s="62"/>
    </row>
    <row r="1288" spans="5:5">
      <c r="E1288" s="62"/>
    </row>
    <row r="1289" spans="5:5">
      <c r="E1289" s="62"/>
    </row>
    <row r="1290" spans="5:5">
      <c r="E1290" s="62"/>
    </row>
    <row r="1291" spans="5:5">
      <c r="E1291" s="62"/>
    </row>
    <row r="1292" spans="5:5">
      <c r="E1292" s="62"/>
    </row>
    <row r="1293" spans="5:5">
      <c r="E1293" s="62"/>
    </row>
    <row r="1294" spans="5:5">
      <c r="E1294" s="62"/>
    </row>
    <row r="1295" spans="5:5">
      <c r="E1295" s="62"/>
    </row>
    <row r="1296" spans="5:5">
      <c r="E1296" s="62"/>
    </row>
    <row r="1297" spans="5:5">
      <c r="E1297" s="62"/>
    </row>
    <row r="1298" spans="5:5">
      <c r="E1298" s="62"/>
    </row>
    <row r="1299" spans="5:5">
      <c r="E1299" s="62"/>
    </row>
    <row r="1300" spans="5:5">
      <c r="E1300" s="62"/>
    </row>
    <row r="1301" spans="5:5">
      <c r="E1301" s="62"/>
    </row>
    <row r="1302" spans="5:5">
      <c r="E1302" s="62"/>
    </row>
    <row r="1303" spans="5:5">
      <c r="E1303" s="62"/>
    </row>
    <row r="1304" spans="5:5">
      <c r="E1304" s="62"/>
    </row>
    <row r="1305" spans="5:5">
      <c r="E1305" s="62"/>
    </row>
    <row r="1306" spans="5:5">
      <c r="E1306" s="62"/>
    </row>
    <row r="1307" spans="5:5">
      <c r="E1307" s="62"/>
    </row>
    <row r="1308" spans="5:5">
      <c r="E1308" s="62"/>
    </row>
    <row r="1309" spans="5:5">
      <c r="E1309" s="62"/>
    </row>
    <row r="1310" spans="5:5">
      <c r="E1310" s="62"/>
    </row>
    <row r="1311" spans="5:5">
      <c r="E1311" s="62"/>
    </row>
    <row r="1312" spans="5:5">
      <c r="E1312" s="62"/>
    </row>
    <row r="1313" spans="5:5">
      <c r="E1313" s="62"/>
    </row>
    <row r="1314" spans="5:5">
      <c r="E1314" s="62"/>
    </row>
    <row r="1315" spans="5:5">
      <c r="E1315" s="62"/>
    </row>
    <row r="1316" spans="5:5">
      <c r="E1316" s="62"/>
    </row>
    <row r="1317" spans="5:5">
      <c r="E1317" s="62"/>
    </row>
    <row r="1318" spans="5:5">
      <c r="E1318" s="62"/>
    </row>
    <row r="1319" spans="5:5">
      <c r="E1319" s="62"/>
    </row>
    <row r="1320" spans="5:5">
      <c r="E1320" s="62"/>
    </row>
    <row r="1321" spans="5:5">
      <c r="E1321" s="62"/>
    </row>
    <row r="1322" spans="5:5">
      <c r="E1322" s="62"/>
    </row>
    <row r="1323" spans="5:5">
      <c r="E1323" s="62"/>
    </row>
    <row r="1324" spans="5:5">
      <c r="E1324" s="62"/>
    </row>
    <row r="1325" spans="5:5">
      <c r="E1325" s="62"/>
    </row>
    <row r="1326" spans="5:5">
      <c r="E1326" s="62"/>
    </row>
    <row r="1327" spans="5:5">
      <c r="E1327" s="62"/>
    </row>
    <row r="1328" spans="5:5">
      <c r="E1328" s="62"/>
    </row>
    <row r="1329" spans="5:5">
      <c r="E1329" s="62"/>
    </row>
    <row r="1330" spans="5:5">
      <c r="E1330" s="62"/>
    </row>
    <row r="1331" spans="5:5">
      <c r="E1331" s="62"/>
    </row>
    <row r="1332" spans="5:5">
      <c r="E1332" s="62"/>
    </row>
    <row r="1333" spans="5:5">
      <c r="E1333" s="62"/>
    </row>
    <row r="1334" spans="5:5">
      <c r="E1334" s="62"/>
    </row>
    <row r="1335" spans="5:5">
      <c r="E1335" s="62"/>
    </row>
    <row r="1336" spans="5:5">
      <c r="E1336" s="62"/>
    </row>
    <row r="1337" spans="5:5">
      <c r="E1337" s="62"/>
    </row>
    <row r="1338" spans="5:5">
      <c r="E1338" s="62"/>
    </row>
    <row r="1339" spans="5:5">
      <c r="E1339" s="62"/>
    </row>
    <row r="1340" spans="5:5">
      <c r="E1340" s="62"/>
    </row>
    <row r="1341" spans="5:5">
      <c r="E1341" s="62"/>
    </row>
    <row r="1342" spans="5:5">
      <c r="E1342" s="62"/>
    </row>
    <row r="1343" spans="5:5">
      <c r="E1343" s="62"/>
    </row>
    <row r="1344" spans="5:5">
      <c r="E1344" s="62"/>
    </row>
    <row r="1345" spans="5:5">
      <c r="E1345" s="62"/>
    </row>
    <row r="1346" spans="5:5">
      <c r="E1346" s="62"/>
    </row>
    <row r="1347" spans="5:5">
      <c r="E1347" s="62"/>
    </row>
    <row r="1348" spans="5:5">
      <c r="E1348" s="62"/>
    </row>
    <row r="1349" spans="5:5">
      <c r="E1349" s="62"/>
    </row>
    <row r="1350" spans="5:5">
      <c r="E1350" s="62"/>
    </row>
    <row r="1351" spans="5:5">
      <c r="E1351" s="62"/>
    </row>
    <row r="1352" spans="5:5">
      <c r="E1352" s="62"/>
    </row>
    <row r="1353" spans="5:5">
      <c r="E1353" s="62"/>
    </row>
    <row r="1354" spans="5:5">
      <c r="E1354" s="62"/>
    </row>
    <row r="1355" spans="5:5">
      <c r="E1355" s="62"/>
    </row>
    <row r="1356" spans="5:5">
      <c r="E1356" s="62"/>
    </row>
    <row r="1357" spans="5:5">
      <c r="E1357" s="62"/>
    </row>
    <row r="1358" spans="5:5">
      <c r="E1358" s="62"/>
    </row>
    <row r="1359" spans="5:5">
      <c r="E1359" s="62"/>
    </row>
    <row r="1360" spans="5:5">
      <c r="E1360" s="62"/>
    </row>
    <row r="1361" spans="5:5">
      <c r="E1361" s="62"/>
    </row>
    <row r="1362" spans="5:5">
      <c r="E1362" s="62"/>
    </row>
    <row r="1363" spans="5:5">
      <c r="E1363" s="62"/>
    </row>
    <row r="1364" spans="5:5">
      <c r="E1364" s="62"/>
    </row>
    <row r="1365" spans="5:5">
      <c r="E1365" s="62"/>
    </row>
    <row r="1366" spans="5:5">
      <c r="E1366" s="62"/>
    </row>
    <row r="1367" spans="5:5">
      <c r="E1367" s="62"/>
    </row>
    <row r="1368" spans="5:5">
      <c r="E1368" s="62"/>
    </row>
    <row r="1369" spans="5:5">
      <c r="E1369" s="62"/>
    </row>
    <row r="1370" spans="5:5">
      <c r="E1370" s="62"/>
    </row>
    <row r="1371" spans="5:5">
      <c r="E1371" s="62"/>
    </row>
    <row r="1372" spans="5:5">
      <c r="E1372" s="62"/>
    </row>
    <row r="1373" spans="5:5">
      <c r="E1373" s="62"/>
    </row>
    <row r="1374" spans="5:5">
      <c r="E1374" s="62"/>
    </row>
    <row r="1375" spans="5:5">
      <c r="E1375" s="62"/>
    </row>
    <row r="1376" spans="5:5">
      <c r="E1376" s="62"/>
    </row>
    <row r="1377" spans="5:5">
      <c r="E1377" s="62"/>
    </row>
    <row r="1378" spans="5:5">
      <c r="E1378" s="62"/>
    </row>
    <row r="1379" spans="5:5">
      <c r="E1379" s="62"/>
    </row>
    <row r="1380" spans="5:5">
      <c r="E1380" s="62"/>
    </row>
    <row r="1381" spans="5:5">
      <c r="E1381" s="62"/>
    </row>
    <row r="1382" spans="5:5">
      <c r="E1382" s="62"/>
    </row>
    <row r="1383" spans="5:5">
      <c r="E1383" s="62"/>
    </row>
    <row r="1384" spans="5:5">
      <c r="E1384" s="62"/>
    </row>
    <row r="1385" spans="5:5">
      <c r="E1385" s="62"/>
    </row>
    <row r="1386" spans="5:5">
      <c r="E1386" s="62"/>
    </row>
    <row r="1387" spans="5:5">
      <c r="E1387" s="62"/>
    </row>
    <row r="1388" spans="5:5">
      <c r="E1388" s="62"/>
    </row>
    <row r="1389" spans="5:5">
      <c r="E1389" s="62"/>
    </row>
    <row r="1390" spans="5:5">
      <c r="E1390" s="62"/>
    </row>
    <row r="1391" spans="5:5">
      <c r="E1391" s="62"/>
    </row>
    <row r="1392" spans="5:5">
      <c r="E1392" s="62"/>
    </row>
    <row r="1393" spans="5:5">
      <c r="E1393" s="62"/>
    </row>
    <row r="1394" spans="5:5">
      <c r="E1394" s="62"/>
    </row>
    <row r="1395" spans="5:5">
      <c r="E1395" s="62"/>
    </row>
    <row r="1396" spans="5:5">
      <c r="E1396" s="62"/>
    </row>
    <row r="1397" spans="5:5">
      <c r="E1397" s="62"/>
    </row>
    <row r="1398" spans="5:5">
      <c r="E1398" s="62"/>
    </row>
    <row r="1399" spans="5:5">
      <c r="E1399" s="62"/>
    </row>
    <row r="1400" spans="5:5">
      <c r="E1400" s="62"/>
    </row>
    <row r="1401" spans="5:5">
      <c r="E1401" s="62"/>
    </row>
    <row r="1402" spans="5:5">
      <c r="E1402" s="62"/>
    </row>
    <row r="1403" spans="5:5">
      <c r="E1403" s="62"/>
    </row>
    <row r="1404" spans="5:5">
      <c r="E1404" s="62"/>
    </row>
    <row r="1405" spans="5:5">
      <c r="E1405" s="62"/>
    </row>
    <row r="1406" spans="5:5">
      <c r="E1406" s="62"/>
    </row>
    <row r="1407" spans="5:5">
      <c r="E1407" s="62"/>
    </row>
    <row r="1408" spans="5:5">
      <c r="E1408" s="62"/>
    </row>
    <row r="1409" spans="5:5">
      <c r="E1409" s="62"/>
    </row>
    <row r="1410" spans="5:5">
      <c r="E1410" s="62"/>
    </row>
    <row r="1411" spans="5:5">
      <c r="E1411" s="62"/>
    </row>
    <row r="1412" spans="5:5">
      <c r="E1412" s="62"/>
    </row>
    <row r="1413" spans="5:5">
      <c r="E1413" s="62"/>
    </row>
    <row r="1414" spans="5:5">
      <c r="E1414" s="62"/>
    </row>
    <row r="1415" spans="5:5">
      <c r="E1415" s="62"/>
    </row>
    <row r="1416" spans="5:5">
      <c r="E1416" s="62"/>
    </row>
    <row r="1417" spans="5:5">
      <c r="E1417" s="62"/>
    </row>
    <row r="1418" spans="5:5">
      <c r="E1418" s="62"/>
    </row>
    <row r="1419" spans="5:5">
      <c r="E1419" s="62"/>
    </row>
    <row r="1420" spans="5:5">
      <c r="E1420" s="62"/>
    </row>
    <row r="1421" spans="5:5">
      <c r="E1421" s="62"/>
    </row>
    <row r="1422" spans="5:5">
      <c r="E1422" s="62"/>
    </row>
    <row r="1423" spans="5:5">
      <c r="E1423" s="62"/>
    </row>
    <row r="1424" spans="5:5">
      <c r="E1424" s="62"/>
    </row>
    <row r="1425" spans="5:5">
      <c r="E1425" s="62"/>
    </row>
    <row r="1426" spans="5:5">
      <c r="E1426" s="62"/>
    </row>
    <row r="1427" spans="5:5">
      <c r="E1427" s="62"/>
    </row>
    <row r="1428" spans="5:5">
      <c r="E1428" s="62"/>
    </row>
    <row r="1429" spans="5:5">
      <c r="E1429" s="62"/>
    </row>
    <row r="1430" spans="5:5">
      <c r="E1430" s="62"/>
    </row>
    <row r="1431" spans="5:5">
      <c r="E1431" s="62"/>
    </row>
    <row r="1432" spans="5:5">
      <c r="E1432" s="62"/>
    </row>
    <row r="1433" spans="5:5">
      <c r="E1433" s="62"/>
    </row>
    <row r="1434" spans="5:5">
      <c r="E1434" s="62"/>
    </row>
    <row r="1435" spans="5:5">
      <c r="E1435" s="62"/>
    </row>
    <row r="1436" spans="5:5">
      <c r="E1436" s="62"/>
    </row>
    <row r="1437" spans="5:5">
      <c r="E1437" s="62"/>
    </row>
    <row r="1438" spans="5:5">
      <c r="E1438" s="62"/>
    </row>
    <row r="1439" spans="5:5">
      <c r="E1439" s="62"/>
    </row>
    <row r="1440" spans="5:5">
      <c r="E1440" s="62"/>
    </row>
    <row r="1441" spans="5:5">
      <c r="E1441" s="62"/>
    </row>
    <row r="1442" spans="5:5">
      <c r="E1442" s="62"/>
    </row>
    <row r="1443" spans="5:5">
      <c r="E1443" s="62"/>
    </row>
    <row r="1444" spans="5:5">
      <c r="E1444" s="62"/>
    </row>
    <row r="1445" spans="5:5">
      <c r="E1445" s="62"/>
    </row>
    <row r="1446" spans="5:5">
      <c r="E1446" s="62"/>
    </row>
    <row r="1447" spans="5:5">
      <c r="E1447" s="62"/>
    </row>
    <row r="1448" spans="5:5">
      <c r="E1448" s="62"/>
    </row>
    <row r="1449" spans="5:5">
      <c r="E1449" s="62"/>
    </row>
    <row r="1450" spans="5:5">
      <c r="E1450" s="62"/>
    </row>
    <row r="1451" spans="5:5">
      <c r="E1451" s="62"/>
    </row>
    <row r="1452" spans="5:5">
      <c r="E1452" s="62"/>
    </row>
    <row r="1453" spans="5:5">
      <c r="E1453" s="62"/>
    </row>
    <row r="1454" spans="5:5">
      <c r="E1454" s="62"/>
    </row>
    <row r="1455" spans="5:5">
      <c r="E1455" s="62"/>
    </row>
    <row r="1456" spans="5:5">
      <c r="E1456" s="62"/>
    </row>
    <row r="1457" spans="5:5">
      <c r="E1457" s="62"/>
    </row>
    <row r="1458" spans="5:5">
      <c r="E1458" s="62"/>
    </row>
    <row r="1459" spans="5:5">
      <c r="E1459" s="62"/>
    </row>
    <row r="1460" spans="5:5">
      <c r="E1460" s="62"/>
    </row>
    <row r="1461" spans="5:5">
      <c r="E1461" s="62"/>
    </row>
    <row r="1462" spans="5:5">
      <c r="E1462" s="62"/>
    </row>
    <row r="1463" spans="5:5">
      <c r="E1463" s="62"/>
    </row>
    <row r="1464" spans="5:5">
      <c r="E1464" s="62"/>
    </row>
    <row r="1465" spans="5:5">
      <c r="E1465" s="62"/>
    </row>
    <row r="1466" spans="5:5">
      <c r="E1466" s="62"/>
    </row>
    <row r="1467" spans="5:5">
      <c r="E1467" s="62"/>
    </row>
    <row r="1468" spans="5:5">
      <c r="E1468" s="62"/>
    </row>
    <row r="1469" spans="5:5">
      <c r="E1469" s="62"/>
    </row>
    <row r="1470" spans="5:5">
      <c r="E1470" s="62"/>
    </row>
    <row r="1471" spans="5:5">
      <c r="E1471" s="62"/>
    </row>
    <row r="1472" spans="5:5">
      <c r="E1472" s="62"/>
    </row>
    <row r="1473" spans="5:5">
      <c r="E1473" s="62"/>
    </row>
    <row r="1474" spans="5:5">
      <c r="E1474" s="62"/>
    </row>
    <row r="1475" spans="5:5">
      <c r="E1475" s="62"/>
    </row>
    <row r="1476" spans="5:5">
      <c r="E1476" s="62"/>
    </row>
    <row r="1477" spans="5:5">
      <c r="E1477" s="62"/>
    </row>
    <row r="1478" spans="5:5">
      <c r="E1478" s="62"/>
    </row>
    <row r="1479" spans="5:5">
      <c r="E1479" s="62"/>
    </row>
    <row r="1480" spans="5:5">
      <c r="E1480" s="62"/>
    </row>
    <row r="1481" spans="5:5">
      <c r="E1481" s="62"/>
    </row>
    <row r="1482" spans="5:5">
      <c r="E1482" s="62"/>
    </row>
    <row r="1483" spans="5:5">
      <c r="E1483" s="62"/>
    </row>
    <row r="1484" spans="5:5">
      <c r="E1484" s="62"/>
    </row>
    <row r="1485" spans="5:5">
      <c r="E1485" s="62"/>
    </row>
    <row r="1486" spans="5:5">
      <c r="E1486" s="62"/>
    </row>
    <row r="1487" spans="5:5">
      <c r="E1487" s="62"/>
    </row>
    <row r="1488" spans="5:5">
      <c r="E1488" s="62"/>
    </row>
    <row r="1489" spans="5:5">
      <c r="E1489" s="62"/>
    </row>
    <row r="1490" spans="5:5">
      <c r="E1490" s="62"/>
    </row>
    <row r="1491" spans="5:5">
      <c r="E1491" s="62"/>
    </row>
    <row r="1492" spans="5:5">
      <c r="E1492" s="62"/>
    </row>
    <row r="1493" spans="5:5">
      <c r="E1493" s="62"/>
    </row>
    <row r="1494" spans="5:5">
      <c r="E1494" s="62"/>
    </row>
    <row r="1495" spans="5:5">
      <c r="E1495" s="62"/>
    </row>
    <row r="1496" spans="5:5">
      <c r="E1496" s="62"/>
    </row>
    <row r="1497" spans="5:5">
      <c r="E1497" s="62"/>
    </row>
    <row r="1498" spans="5:5">
      <c r="E1498" s="62"/>
    </row>
    <row r="1499" spans="5:5">
      <c r="E1499" s="62"/>
    </row>
    <row r="1500" spans="5:5">
      <c r="E1500" s="62"/>
    </row>
    <row r="1501" spans="5:5">
      <c r="E1501" s="62"/>
    </row>
    <row r="1502" spans="5:5">
      <c r="E1502" s="62"/>
    </row>
    <row r="1503" spans="5:5">
      <c r="E1503" s="62"/>
    </row>
    <row r="1504" spans="5:5">
      <c r="E1504" s="62"/>
    </row>
    <row r="1505" spans="5:5">
      <c r="E1505" s="62"/>
    </row>
    <row r="1506" spans="5:5">
      <c r="E1506" s="62"/>
    </row>
    <row r="1507" spans="5:5">
      <c r="E1507" s="62"/>
    </row>
    <row r="1508" spans="5:5">
      <c r="E1508" s="62"/>
    </row>
    <row r="1509" spans="5:5">
      <c r="E1509" s="62"/>
    </row>
    <row r="1510" spans="5:5">
      <c r="E1510" s="62"/>
    </row>
    <row r="1511" spans="5:5">
      <c r="E1511" s="62"/>
    </row>
    <row r="1512" spans="5:5">
      <c r="E1512" s="62"/>
    </row>
    <row r="1513" spans="5:5">
      <c r="E1513" s="62"/>
    </row>
    <row r="1514" spans="5:5">
      <c r="E1514" s="62"/>
    </row>
    <row r="1515" spans="5:5">
      <c r="E1515" s="62"/>
    </row>
    <row r="1516" spans="5:5">
      <c r="E1516" s="62"/>
    </row>
    <row r="1517" spans="5:5">
      <c r="E1517" s="62"/>
    </row>
    <row r="1518" spans="5:5">
      <c r="E1518" s="62"/>
    </row>
    <row r="1519" spans="5:5">
      <c r="E1519" s="62"/>
    </row>
    <row r="1520" spans="5:5">
      <c r="E1520" s="62"/>
    </row>
    <row r="1521" spans="5:5">
      <c r="E1521" s="62"/>
    </row>
    <row r="1522" spans="5:5">
      <c r="E1522" s="62"/>
    </row>
    <row r="1523" spans="5:5">
      <c r="E1523" s="62"/>
    </row>
    <row r="1524" spans="5:5">
      <c r="E1524" s="62"/>
    </row>
    <row r="1525" spans="5:5">
      <c r="E1525" s="62"/>
    </row>
    <row r="1526" spans="5:5">
      <c r="E1526" s="62"/>
    </row>
    <row r="1527" spans="5:5">
      <c r="E1527" s="62"/>
    </row>
    <row r="1528" spans="5:5">
      <c r="E1528" s="62"/>
    </row>
    <row r="1529" spans="5:5">
      <c r="E1529" s="62"/>
    </row>
    <row r="1530" spans="5:5">
      <c r="E1530" s="62"/>
    </row>
    <row r="1531" spans="5:5">
      <c r="E1531" s="62"/>
    </row>
    <row r="1532" spans="5:5">
      <c r="E1532" s="62"/>
    </row>
    <row r="1533" spans="5:5">
      <c r="E1533" s="62"/>
    </row>
    <row r="1534" spans="5:5">
      <c r="E1534" s="62"/>
    </row>
    <row r="1535" spans="5:5">
      <c r="E1535" s="62"/>
    </row>
    <row r="1536" spans="5:5">
      <c r="E1536" s="62"/>
    </row>
    <row r="1537" spans="5:5">
      <c r="E1537" s="62"/>
    </row>
    <row r="1538" spans="5:5">
      <c r="E1538" s="62"/>
    </row>
    <row r="1539" spans="5:5">
      <c r="E1539" s="62"/>
    </row>
    <row r="1540" spans="5:5">
      <c r="E1540" s="62"/>
    </row>
    <row r="1541" spans="5:5">
      <c r="E1541" s="62"/>
    </row>
    <row r="1542" spans="5:5">
      <c r="E1542" s="62"/>
    </row>
    <row r="1543" spans="5:5">
      <c r="E1543" s="62"/>
    </row>
    <row r="1544" spans="5:5">
      <c r="E1544" s="62"/>
    </row>
    <row r="1545" spans="5:5">
      <c r="E1545" s="62"/>
    </row>
    <row r="1546" spans="5:5">
      <c r="E1546" s="62"/>
    </row>
    <row r="1547" spans="5:5">
      <c r="E1547" s="62"/>
    </row>
    <row r="1548" spans="5:5">
      <c r="E1548" s="62"/>
    </row>
    <row r="1549" spans="5:5">
      <c r="E1549" s="62"/>
    </row>
    <row r="1550" spans="5:5">
      <c r="E1550" s="62"/>
    </row>
    <row r="1551" spans="5:5">
      <c r="E1551" s="62"/>
    </row>
    <row r="1552" spans="5:5">
      <c r="E1552" s="62"/>
    </row>
    <row r="1553" spans="5:5">
      <c r="E1553" s="62"/>
    </row>
    <row r="1554" spans="5:5">
      <c r="E1554" s="62"/>
    </row>
    <row r="1555" spans="5:5">
      <c r="E1555" s="62"/>
    </row>
    <row r="1556" spans="5:5">
      <c r="E1556" s="62"/>
    </row>
    <row r="1557" spans="5:5">
      <c r="E1557" s="62"/>
    </row>
    <row r="1558" spans="5:5">
      <c r="E1558" s="62"/>
    </row>
    <row r="1559" spans="5:5">
      <c r="E1559" s="62"/>
    </row>
    <row r="1560" spans="5:5">
      <c r="E1560" s="62"/>
    </row>
    <row r="1561" spans="5:5">
      <c r="E1561" s="62"/>
    </row>
    <row r="1562" spans="5:5">
      <c r="E1562" s="62"/>
    </row>
    <row r="1563" spans="5:5">
      <c r="E1563" s="62"/>
    </row>
    <row r="1564" spans="5:5">
      <c r="E1564" s="62"/>
    </row>
    <row r="1565" spans="5:5">
      <c r="E1565" s="62"/>
    </row>
    <row r="1566" spans="5:5">
      <c r="E1566" s="62"/>
    </row>
    <row r="1567" spans="5:5">
      <c r="E1567" s="62"/>
    </row>
    <row r="1568" spans="5:5">
      <c r="E1568" s="62"/>
    </row>
    <row r="1569" spans="5:5">
      <c r="E1569" s="62"/>
    </row>
    <row r="1570" spans="5:5">
      <c r="E1570" s="62"/>
    </row>
    <row r="1571" spans="5:5">
      <c r="E1571" s="62"/>
    </row>
    <row r="1572" spans="5:5">
      <c r="E1572" s="62"/>
    </row>
    <row r="1573" spans="5:5">
      <c r="E1573" s="62"/>
    </row>
    <row r="1574" spans="5:5">
      <c r="E1574" s="62"/>
    </row>
    <row r="1575" spans="5:5">
      <c r="E1575" s="62"/>
    </row>
    <row r="1576" spans="5:5">
      <c r="E1576" s="62"/>
    </row>
    <row r="1577" spans="5:5">
      <c r="E1577" s="62"/>
    </row>
    <row r="1578" spans="5:5">
      <c r="E1578" s="62"/>
    </row>
    <row r="1579" spans="5:5">
      <c r="E1579" s="62"/>
    </row>
    <row r="1580" spans="5:5">
      <c r="E1580" s="62"/>
    </row>
    <row r="1581" spans="5:5">
      <c r="E1581" s="62"/>
    </row>
    <row r="1582" spans="5:5">
      <c r="E1582" s="62"/>
    </row>
    <row r="1583" spans="5:5">
      <c r="E1583" s="62"/>
    </row>
    <row r="1584" spans="5:5">
      <c r="E1584" s="62"/>
    </row>
    <row r="1585" spans="5:5">
      <c r="E1585" s="62"/>
    </row>
    <row r="1586" spans="5:5">
      <c r="E1586" s="62"/>
    </row>
    <row r="1587" spans="5:5">
      <c r="E1587" s="62"/>
    </row>
    <row r="1588" spans="5:5">
      <c r="E1588" s="62"/>
    </row>
    <row r="1589" spans="5:5">
      <c r="E1589" s="62"/>
    </row>
    <row r="1590" spans="5:5">
      <c r="E1590" s="62"/>
    </row>
    <row r="1591" spans="5:5">
      <c r="E1591" s="62"/>
    </row>
    <row r="1592" spans="5:5">
      <c r="E1592" s="62"/>
    </row>
    <row r="1593" spans="5:5">
      <c r="E1593" s="62"/>
    </row>
    <row r="1594" spans="5:5">
      <c r="E1594" s="62"/>
    </row>
    <row r="1595" spans="5:5">
      <c r="E1595" s="62"/>
    </row>
    <row r="1596" spans="5:5">
      <c r="E1596" s="62"/>
    </row>
    <row r="1597" spans="5:5">
      <c r="E1597" s="62"/>
    </row>
    <row r="1598" spans="5:5">
      <c r="E1598" s="62"/>
    </row>
    <row r="1599" spans="5:5">
      <c r="E1599" s="62"/>
    </row>
    <row r="1600" spans="5:5">
      <c r="E1600" s="62"/>
    </row>
    <row r="1601" spans="5:5">
      <c r="E1601" s="62"/>
    </row>
    <row r="1602" spans="5:5">
      <c r="E1602" s="62"/>
    </row>
    <row r="1603" spans="5:5">
      <c r="E1603" s="62"/>
    </row>
    <row r="1604" spans="5:5">
      <c r="E1604" s="62"/>
    </row>
    <row r="1605" spans="5:5">
      <c r="E1605" s="62"/>
    </row>
    <row r="1606" spans="5:5">
      <c r="E1606" s="62"/>
    </row>
    <row r="1607" spans="5:5">
      <c r="E1607" s="62"/>
    </row>
    <row r="1608" spans="5:5">
      <c r="E1608" s="62"/>
    </row>
    <row r="1609" spans="5:5">
      <c r="E1609" s="62"/>
    </row>
    <row r="1610" spans="5:5">
      <c r="E1610" s="62"/>
    </row>
    <row r="1611" spans="5:5">
      <c r="E1611" s="62"/>
    </row>
    <row r="1612" spans="5:5">
      <c r="E1612" s="62"/>
    </row>
    <row r="1613" spans="5:5">
      <c r="E1613" s="62"/>
    </row>
    <row r="1614" spans="5:5">
      <c r="E1614" s="62"/>
    </row>
    <row r="1615" spans="5:5">
      <c r="E1615" s="62"/>
    </row>
    <row r="1616" spans="5:5">
      <c r="E1616" s="62"/>
    </row>
    <row r="1617" spans="5:5">
      <c r="E1617" s="62"/>
    </row>
    <row r="1618" spans="5:5">
      <c r="E1618" s="62"/>
    </row>
    <row r="1619" spans="5:5">
      <c r="E1619" s="62"/>
    </row>
    <row r="1620" spans="5:5">
      <c r="E1620" s="62"/>
    </row>
    <row r="1621" spans="5:5">
      <c r="E1621" s="62"/>
    </row>
    <row r="1622" spans="5:5">
      <c r="E1622" s="62"/>
    </row>
    <row r="1623" spans="5:5">
      <c r="E1623" s="62"/>
    </row>
    <row r="1624" spans="5:5">
      <c r="E1624" s="62"/>
    </row>
    <row r="1625" spans="5:5">
      <c r="E1625" s="62"/>
    </row>
    <row r="1626" spans="5:5">
      <c r="E1626" s="62"/>
    </row>
    <row r="1627" spans="5:5">
      <c r="E1627" s="62"/>
    </row>
    <row r="1628" spans="5:5">
      <c r="E1628" s="62"/>
    </row>
    <row r="1629" spans="5:5">
      <c r="E1629" s="62"/>
    </row>
    <row r="1630" spans="5:5">
      <c r="E1630" s="62"/>
    </row>
    <row r="1631" spans="5:5">
      <c r="E1631" s="62"/>
    </row>
    <row r="1632" spans="5:5">
      <c r="E1632" s="62"/>
    </row>
    <row r="1633" spans="5:5">
      <c r="E1633" s="62"/>
    </row>
    <row r="1634" spans="5:5">
      <c r="E1634" s="62"/>
    </row>
    <row r="1635" spans="5:5">
      <c r="E1635" s="62"/>
    </row>
    <row r="1636" spans="5:5">
      <c r="E1636" s="62"/>
    </row>
    <row r="1637" spans="5:5">
      <c r="E1637" s="62"/>
    </row>
    <row r="1638" spans="5:5">
      <c r="E1638" s="62"/>
    </row>
    <row r="1639" spans="5:5">
      <c r="E1639" s="62"/>
    </row>
    <row r="1640" spans="5:5">
      <c r="E1640" s="62"/>
    </row>
    <row r="1641" spans="5:5">
      <c r="E1641" s="62"/>
    </row>
    <row r="1642" spans="5:5">
      <c r="E1642" s="62"/>
    </row>
    <row r="1643" spans="5:5">
      <c r="E1643" s="62"/>
    </row>
    <row r="1644" spans="5:5">
      <c r="E1644" s="62"/>
    </row>
    <row r="1645" spans="5:5">
      <c r="E1645" s="62"/>
    </row>
    <row r="1646" spans="5:5">
      <c r="E1646" s="62"/>
    </row>
    <row r="1647" spans="5:5">
      <c r="E1647" s="62"/>
    </row>
    <row r="1648" spans="5:5">
      <c r="E1648" s="62"/>
    </row>
    <row r="1649" spans="5:5">
      <c r="E1649" s="62"/>
    </row>
    <row r="1650" spans="5:5">
      <c r="E1650" s="62"/>
    </row>
    <row r="1651" spans="5:5">
      <c r="E1651" s="62"/>
    </row>
    <row r="1652" spans="5:5">
      <c r="E1652" s="62"/>
    </row>
    <row r="1653" spans="5:5">
      <c r="E1653" s="62"/>
    </row>
    <row r="1654" spans="5:5">
      <c r="E1654" s="62"/>
    </row>
    <row r="1655" spans="5:5">
      <c r="E1655" s="62"/>
    </row>
    <row r="1656" spans="5:5">
      <c r="E1656" s="62"/>
    </row>
    <row r="1657" spans="5:5">
      <c r="E1657" s="62"/>
    </row>
    <row r="1658" spans="5:5">
      <c r="E1658" s="62"/>
    </row>
    <row r="1659" spans="5:5">
      <c r="E1659" s="62"/>
    </row>
    <row r="1660" spans="5:5">
      <c r="E1660" s="62"/>
    </row>
    <row r="1661" spans="5:5">
      <c r="E1661" s="62"/>
    </row>
    <row r="1662" spans="5:5">
      <c r="E1662" s="62"/>
    </row>
    <row r="1663" spans="5:5">
      <c r="E1663" s="62"/>
    </row>
    <row r="1664" spans="5:5">
      <c r="E1664" s="62"/>
    </row>
    <row r="1665" spans="5:5">
      <c r="E1665" s="62"/>
    </row>
    <row r="1666" spans="5:5">
      <c r="E1666" s="62"/>
    </row>
    <row r="1667" spans="5:5">
      <c r="E1667" s="62"/>
    </row>
    <row r="1668" spans="5:5">
      <c r="E1668" s="62"/>
    </row>
    <row r="1669" spans="5:5">
      <c r="E1669" s="62"/>
    </row>
    <row r="1670" spans="5:5">
      <c r="E1670" s="62"/>
    </row>
    <row r="1671" spans="5:5">
      <c r="E1671" s="62"/>
    </row>
    <row r="1672" spans="5:5">
      <c r="E1672" s="62"/>
    </row>
    <row r="1673" spans="5:5">
      <c r="E1673" s="62"/>
    </row>
    <row r="1674" spans="5:5">
      <c r="E1674" s="62"/>
    </row>
    <row r="1675" spans="5:5">
      <c r="E1675" s="62"/>
    </row>
    <row r="1676" spans="5:5">
      <c r="E1676" s="62"/>
    </row>
    <row r="1677" spans="5:5">
      <c r="E1677" s="62"/>
    </row>
    <row r="1678" spans="5:5">
      <c r="E1678" s="62"/>
    </row>
    <row r="1679" spans="5:5">
      <c r="E1679" s="62"/>
    </row>
    <row r="1680" spans="5:5">
      <c r="E1680" s="62"/>
    </row>
    <row r="1681" spans="5:5">
      <c r="E1681" s="62"/>
    </row>
    <row r="1682" spans="5:5">
      <c r="E1682" s="62"/>
    </row>
    <row r="1683" spans="5:5">
      <c r="E1683" s="62"/>
    </row>
    <row r="1684" spans="5:5">
      <c r="E1684" s="62"/>
    </row>
    <row r="1685" spans="5:5">
      <c r="E1685" s="62"/>
    </row>
    <row r="1686" spans="5:5">
      <c r="E1686" s="62"/>
    </row>
    <row r="1687" spans="5:5">
      <c r="E1687" s="62"/>
    </row>
    <row r="1688" spans="5:5">
      <c r="E1688" s="62"/>
    </row>
    <row r="1689" spans="5:5">
      <c r="E1689" s="62"/>
    </row>
    <row r="1690" spans="5:5">
      <c r="E1690" s="62"/>
    </row>
    <row r="1691" spans="5:5">
      <c r="E1691" s="62"/>
    </row>
    <row r="1692" spans="5:5">
      <c r="E1692" s="62"/>
    </row>
    <row r="1693" spans="5:5">
      <c r="E1693" s="62"/>
    </row>
    <row r="1694" spans="5:5">
      <c r="E1694" s="62"/>
    </row>
    <row r="1695" spans="5:5">
      <c r="E1695" s="62"/>
    </row>
    <row r="1696" spans="5:5">
      <c r="E1696" s="62"/>
    </row>
    <row r="1697" spans="5:5">
      <c r="E1697" s="62"/>
    </row>
    <row r="1698" spans="5:5">
      <c r="E1698" s="62"/>
    </row>
    <row r="1699" spans="5:5">
      <c r="E1699" s="62"/>
    </row>
    <row r="1700" spans="5:5">
      <c r="E1700" s="62"/>
    </row>
    <row r="1701" spans="5:5">
      <c r="E1701" s="62"/>
    </row>
    <row r="1702" spans="5:5">
      <c r="E1702" s="62"/>
    </row>
    <row r="1703" spans="5:5">
      <c r="E1703" s="62"/>
    </row>
    <row r="1704" spans="5:5">
      <c r="E1704" s="62"/>
    </row>
    <row r="1705" spans="5:5">
      <c r="E1705" s="62"/>
    </row>
    <row r="1706" spans="5:5">
      <c r="E1706" s="62"/>
    </row>
    <row r="1707" spans="5:5">
      <c r="E1707" s="62"/>
    </row>
    <row r="1708" spans="5:5">
      <c r="E1708" s="62"/>
    </row>
    <row r="1709" spans="5:5">
      <c r="E1709" s="62"/>
    </row>
    <row r="1710" spans="5:5">
      <c r="E1710" s="62"/>
    </row>
    <row r="1711" spans="5:5">
      <c r="E1711" s="62"/>
    </row>
    <row r="1712" spans="5:5">
      <c r="E1712" s="62"/>
    </row>
    <row r="1713" spans="5:5">
      <c r="E1713" s="62"/>
    </row>
    <row r="1714" spans="5:5">
      <c r="E1714" s="62"/>
    </row>
    <row r="1715" spans="5:5">
      <c r="E1715" s="62"/>
    </row>
    <row r="1716" spans="5:5">
      <c r="E1716" s="62"/>
    </row>
    <row r="1717" spans="5:5">
      <c r="E1717" s="62"/>
    </row>
    <row r="1718" spans="5:5">
      <c r="E1718" s="62"/>
    </row>
    <row r="1719" spans="5:5">
      <c r="E1719" s="62"/>
    </row>
    <row r="1720" spans="5:5">
      <c r="E1720" s="62"/>
    </row>
    <row r="1721" spans="5:5">
      <c r="E1721" s="62"/>
    </row>
    <row r="1722" spans="5:5">
      <c r="E1722" s="62"/>
    </row>
    <row r="1723" spans="5:5">
      <c r="E1723" s="62"/>
    </row>
    <row r="1724" spans="5:5">
      <c r="E1724" s="62"/>
    </row>
    <row r="1725" spans="5:5">
      <c r="E1725" s="62"/>
    </row>
    <row r="1726" spans="5:5">
      <c r="E1726" s="62"/>
    </row>
    <row r="1727" spans="5:5">
      <c r="E1727" s="62"/>
    </row>
    <row r="1728" spans="5:5">
      <c r="E1728" s="62"/>
    </row>
    <row r="1729" spans="5:5">
      <c r="E1729" s="62"/>
    </row>
    <row r="1730" spans="5:5">
      <c r="E1730" s="62"/>
    </row>
    <row r="1731" spans="5:5">
      <c r="E1731" s="62"/>
    </row>
    <row r="1732" spans="5:5">
      <c r="E1732" s="62"/>
    </row>
    <row r="1733" spans="5:5">
      <c r="E1733" s="62"/>
    </row>
    <row r="1734" spans="5:5">
      <c r="E1734" s="62"/>
    </row>
    <row r="1735" spans="5:5">
      <c r="E1735" s="62"/>
    </row>
    <row r="1736" spans="5:5">
      <c r="E1736" s="62"/>
    </row>
    <row r="1737" spans="5:5">
      <c r="E1737" s="62"/>
    </row>
    <row r="1738" spans="5:5">
      <c r="E1738" s="62"/>
    </row>
    <row r="1739" spans="5:5">
      <c r="E1739" s="62"/>
    </row>
    <row r="1740" spans="5:5">
      <c r="E1740" s="62"/>
    </row>
    <row r="1741" spans="5:5">
      <c r="E1741" s="62"/>
    </row>
    <row r="1742" spans="5:5">
      <c r="E1742" s="62"/>
    </row>
    <row r="1743" spans="5:5">
      <c r="E1743" s="62"/>
    </row>
    <row r="1744" spans="5:5">
      <c r="E1744" s="62"/>
    </row>
    <row r="1745" spans="5:5">
      <c r="E1745" s="62"/>
    </row>
    <row r="1746" spans="5:5">
      <c r="E1746" s="62"/>
    </row>
    <row r="1747" spans="5:5">
      <c r="E1747" s="62"/>
    </row>
    <row r="1748" spans="5:5">
      <c r="E1748" s="62"/>
    </row>
    <row r="1749" spans="5:5">
      <c r="E1749" s="62"/>
    </row>
    <row r="1750" spans="5:5">
      <c r="E1750" s="62"/>
    </row>
    <row r="1751" spans="5:5">
      <c r="E1751" s="62"/>
    </row>
    <row r="1752" spans="5:5">
      <c r="E1752" s="62"/>
    </row>
    <row r="1753" spans="5:5">
      <c r="E1753" s="62"/>
    </row>
    <row r="1754" spans="5:5">
      <c r="E1754" s="62"/>
    </row>
    <row r="1755" spans="5:5">
      <c r="E1755" s="62"/>
    </row>
    <row r="1756" spans="5:5">
      <c r="E1756" s="62"/>
    </row>
    <row r="1757" spans="5:5">
      <c r="E1757" s="62"/>
    </row>
    <row r="1758" spans="5:5">
      <c r="E1758" s="62"/>
    </row>
    <row r="1759" spans="5:5">
      <c r="E1759" s="62"/>
    </row>
    <row r="1760" spans="5:5">
      <c r="E1760" s="62"/>
    </row>
    <row r="1761" spans="5:5">
      <c r="E1761" s="62"/>
    </row>
    <row r="1762" spans="5:5">
      <c r="E1762" s="62"/>
    </row>
    <row r="1763" spans="5:5">
      <c r="E1763" s="62"/>
    </row>
    <row r="1764" spans="5:5">
      <c r="E1764" s="62"/>
    </row>
    <row r="1765" spans="5:5">
      <c r="E1765" s="62"/>
    </row>
    <row r="1766" spans="5:5">
      <c r="E1766" s="62"/>
    </row>
    <row r="1767" spans="5:5">
      <c r="E1767" s="62"/>
    </row>
    <row r="1768" spans="5:5">
      <c r="E1768" s="62"/>
    </row>
    <row r="1769" spans="5:5">
      <c r="E1769" s="62"/>
    </row>
    <row r="1770" spans="5:5">
      <c r="E1770" s="62"/>
    </row>
    <row r="1771" spans="5:5">
      <c r="E1771" s="62"/>
    </row>
    <row r="1772" spans="5:5">
      <c r="E1772" s="62"/>
    </row>
    <row r="1773" spans="5:5">
      <c r="E1773" s="62"/>
    </row>
    <row r="1774" spans="5:5">
      <c r="E1774" s="62"/>
    </row>
    <row r="1775" spans="5:5">
      <c r="E1775" s="62"/>
    </row>
    <row r="1776" spans="5:5">
      <c r="E1776" s="62"/>
    </row>
    <row r="1777" spans="5:5">
      <c r="E1777" s="62"/>
    </row>
    <row r="1778" spans="5:5">
      <c r="E1778" s="62"/>
    </row>
    <row r="1779" spans="5:5">
      <c r="E1779" s="62"/>
    </row>
    <row r="1780" spans="5:5">
      <c r="E1780" s="62"/>
    </row>
    <row r="1781" spans="5:5">
      <c r="E1781" s="62"/>
    </row>
    <row r="1782" spans="5:5">
      <c r="E1782" s="62"/>
    </row>
    <row r="1783" spans="5:5">
      <c r="E1783" s="62"/>
    </row>
    <row r="1784" spans="5:5">
      <c r="E1784" s="62"/>
    </row>
    <row r="1785" spans="5:5">
      <c r="E1785" s="62"/>
    </row>
    <row r="1786" spans="5:5">
      <c r="E1786" s="62"/>
    </row>
    <row r="1787" spans="5:5">
      <c r="E1787" s="62"/>
    </row>
    <row r="1788" spans="5:5">
      <c r="E1788" s="62"/>
    </row>
    <row r="1789" spans="5:5">
      <c r="E1789" s="62"/>
    </row>
    <row r="1790" spans="5:5">
      <c r="E1790" s="62"/>
    </row>
    <row r="1791" spans="5:5">
      <c r="E1791" s="62"/>
    </row>
    <row r="1792" spans="5:5">
      <c r="E1792" s="62"/>
    </row>
    <row r="1793" spans="5:5">
      <c r="E1793" s="62"/>
    </row>
    <row r="1794" spans="5:5">
      <c r="E1794" s="62"/>
    </row>
    <row r="1795" spans="5:5">
      <c r="E1795" s="62"/>
    </row>
    <row r="1796" spans="5:5">
      <c r="E1796" s="62"/>
    </row>
    <row r="1797" spans="5:5">
      <c r="E1797" s="62"/>
    </row>
    <row r="1798" spans="5:5">
      <c r="E1798" s="62"/>
    </row>
    <row r="1799" spans="5:5">
      <c r="E1799" s="62"/>
    </row>
    <row r="1800" spans="5:5">
      <c r="E1800" s="62"/>
    </row>
    <row r="1801" spans="5:5">
      <c r="E1801" s="62"/>
    </row>
    <row r="1802" spans="5:5">
      <c r="E1802" s="62"/>
    </row>
    <row r="1803" spans="5:5">
      <c r="E1803" s="62"/>
    </row>
    <row r="1804" spans="5:5">
      <c r="E1804" s="62"/>
    </row>
    <row r="1805" spans="5:5">
      <c r="E1805" s="62"/>
    </row>
    <row r="1806" spans="5:5">
      <c r="E1806" s="62"/>
    </row>
    <row r="1807" spans="5:5">
      <c r="E1807" s="62"/>
    </row>
    <row r="1808" spans="5:5">
      <c r="E1808" s="62"/>
    </row>
    <row r="1809" spans="5:5">
      <c r="E1809" s="62"/>
    </row>
    <row r="1810" spans="5:5">
      <c r="E1810" s="62"/>
    </row>
    <row r="1811" spans="5:5">
      <c r="E1811" s="62"/>
    </row>
    <row r="1812" spans="5:5">
      <c r="E1812" s="62"/>
    </row>
    <row r="1813" spans="5:5">
      <c r="E1813" s="62"/>
    </row>
    <row r="1814" spans="5:5">
      <c r="E1814" s="62"/>
    </row>
    <row r="1815" spans="5:5">
      <c r="E1815" s="62"/>
    </row>
    <row r="1816" spans="5:5">
      <c r="E1816" s="62"/>
    </row>
    <row r="1817" spans="5:5">
      <c r="E1817" s="62"/>
    </row>
    <row r="1818" spans="5:5">
      <c r="E1818" s="62"/>
    </row>
    <row r="1819" spans="5:5">
      <c r="E1819" s="62"/>
    </row>
    <row r="1820" spans="5:5">
      <c r="E1820" s="62"/>
    </row>
    <row r="1821" spans="5:5">
      <c r="E1821" s="62"/>
    </row>
    <row r="1822" spans="5:5">
      <c r="E1822" s="62"/>
    </row>
    <row r="1823" spans="5:5">
      <c r="E1823" s="62"/>
    </row>
    <row r="1824" spans="5:5">
      <c r="E1824" s="62"/>
    </row>
    <row r="1825" spans="5:5">
      <c r="E1825" s="62"/>
    </row>
    <row r="1826" spans="5:5">
      <c r="E1826" s="62"/>
    </row>
    <row r="1827" spans="5:5">
      <c r="E1827" s="62"/>
    </row>
    <row r="1828" spans="5:5">
      <c r="E1828" s="62"/>
    </row>
    <row r="1829" spans="5:5">
      <c r="E1829" s="62"/>
    </row>
    <row r="1830" spans="5:5">
      <c r="E1830" s="62"/>
    </row>
    <row r="1831" spans="5:5">
      <c r="E1831" s="62"/>
    </row>
    <row r="1832" spans="5:5">
      <c r="E1832" s="62"/>
    </row>
    <row r="1833" spans="5:5">
      <c r="E1833" s="62"/>
    </row>
    <row r="1834" spans="5:5">
      <c r="E1834" s="62"/>
    </row>
    <row r="1835" spans="5:5">
      <c r="E1835" s="62"/>
    </row>
    <row r="1836" spans="5:5">
      <c r="E1836" s="62"/>
    </row>
    <row r="1837" spans="5:5">
      <c r="E1837" s="62"/>
    </row>
    <row r="1838" spans="5:5">
      <c r="E1838" s="62"/>
    </row>
    <row r="1839" spans="5:5">
      <c r="E1839" s="62"/>
    </row>
    <row r="1840" spans="5:5">
      <c r="E1840" s="62"/>
    </row>
    <row r="1841" spans="5:5">
      <c r="E1841" s="62"/>
    </row>
    <row r="1842" spans="5:5">
      <c r="E1842" s="62"/>
    </row>
    <row r="1843" spans="5:5">
      <c r="E1843" s="62"/>
    </row>
    <row r="1844" spans="5:5">
      <c r="E1844" s="62"/>
    </row>
    <row r="1845" spans="5:5">
      <c r="E1845" s="62"/>
    </row>
    <row r="1846" spans="5:5">
      <c r="E1846" s="62"/>
    </row>
    <row r="1847" spans="5:5">
      <c r="E1847" s="62"/>
    </row>
    <row r="1848" spans="5:5">
      <c r="E1848" s="62"/>
    </row>
    <row r="1849" spans="5:5">
      <c r="E1849" s="62"/>
    </row>
    <row r="1850" spans="5:5">
      <c r="E1850" s="62"/>
    </row>
    <row r="1851" spans="5:5">
      <c r="E1851" s="62"/>
    </row>
    <row r="1852" spans="5:5">
      <c r="E1852" s="62"/>
    </row>
    <row r="1853" spans="5:5">
      <c r="E1853" s="62"/>
    </row>
    <row r="1854" spans="5:5">
      <c r="E1854" s="62"/>
    </row>
    <row r="1855" spans="5:5">
      <c r="E1855" s="62"/>
    </row>
    <row r="1856" spans="5:5">
      <c r="E1856" s="62"/>
    </row>
    <row r="1857" spans="5:5">
      <c r="E1857" s="62"/>
    </row>
    <row r="1858" spans="5:5">
      <c r="E1858" s="62"/>
    </row>
    <row r="1859" spans="5:5">
      <c r="E1859" s="62"/>
    </row>
    <row r="1860" spans="5:5">
      <c r="E1860" s="62"/>
    </row>
    <row r="1861" spans="5:5">
      <c r="E1861" s="62"/>
    </row>
    <row r="1862" spans="5:5">
      <c r="E1862" s="62"/>
    </row>
    <row r="1863" spans="5:5">
      <c r="E1863" s="62"/>
    </row>
    <row r="1864" spans="5:5">
      <c r="E1864" s="62"/>
    </row>
    <row r="1865" spans="5:5">
      <c r="E1865" s="62"/>
    </row>
    <row r="1866" spans="5:5">
      <c r="E1866" s="62"/>
    </row>
    <row r="1867" spans="5:5">
      <c r="E1867" s="62"/>
    </row>
    <row r="1868" spans="5:5">
      <c r="E1868" s="62"/>
    </row>
    <row r="1869" spans="5:5">
      <c r="E1869" s="62"/>
    </row>
    <row r="1870" spans="5:5">
      <c r="E1870" s="62"/>
    </row>
    <row r="1871" spans="5:5">
      <c r="E1871" s="62"/>
    </row>
    <row r="1872" spans="5:5">
      <c r="E1872" s="62"/>
    </row>
    <row r="1873" spans="5:5">
      <c r="E1873" s="62"/>
    </row>
    <row r="1874" spans="5:5">
      <c r="E1874" s="62"/>
    </row>
    <row r="1875" spans="5:5">
      <c r="E1875" s="62"/>
    </row>
    <row r="1876" spans="5:5">
      <c r="E1876" s="62"/>
    </row>
    <row r="1877" spans="5:5">
      <c r="E1877" s="62"/>
    </row>
    <row r="1878" spans="5:5">
      <c r="E1878" s="62"/>
    </row>
    <row r="1879" spans="5:5">
      <c r="E1879" s="62"/>
    </row>
    <row r="1880" spans="5:5">
      <c r="E1880" s="62"/>
    </row>
    <row r="1881" spans="5:5">
      <c r="E1881" s="62"/>
    </row>
    <row r="1882" spans="5:5">
      <c r="E1882" s="62"/>
    </row>
    <row r="1883" spans="5:5">
      <c r="E1883" s="62"/>
    </row>
    <row r="1884" spans="5:5">
      <c r="E1884" s="62"/>
    </row>
    <row r="1885" spans="5:5">
      <c r="E1885" s="62"/>
    </row>
    <row r="1886" spans="5:5">
      <c r="E1886" s="62"/>
    </row>
    <row r="1887" spans="5:5">
      <c r="E1887" s="62"/>
    </row>
    <row r="1888" spans="5:5">
      <c r="E1888" s="62"/>
    </row>
    <row r="1889" spans="5:5">
      <c r="E1889" s="62"/>
    </row>
    <row r="1890" spans="5:5">
      <c r="E1890" s="62"/>
    </row>
    <row r="1891" spans="5:5">
      <c r="E1891" s="62"/>
    </row>
    <row r="1892" spans="5:5">
      <c r="E1892" s="62"/>
    </row>
    <row r="1893" spans="5:5">
      <c r="E1893" s="62"/>
    </row>
    <row r="1894" spans="5:5">
      <c r="E1894" s="62"/>
    </row>
    <row r="1895" spans="5:5">
      <c r="E1895" s="62"/>
    </row>
    <row r="1896" spans="5:5">
      <c r="E1896" s="62"/>
    </row>
    <row r="1897" spans="5:5">
      <c r="E1897" s="62"/>
    </row>
    <row r="1898" spans="5:5">
      <c r="E1898" s="62"/>
    </row>
    <row r="1899" spans="5:5">
      <c r="E1899" s="62"/>
    </row>
    <row r="1900" spans="5:5">
      <c r="E1900" s="62"/>
    </row>
    <row r="1901" spans="5:5">
      <c r="E1901" s="62"/>
    </row>
    <row r="1902" spans="5:5">
      <c r="E1902" s="62"/>
    </row>
    <row r="1903" spans="5:5">
      <c r="E1903" s="62"/>
    </row>
    <row r="1904" spans="5:5">
      <c r="E1904" s="62"/>
    </row>
    <row r="1905" spans="5:5">
      <c r="E1905" s="62"/>
    </row>
    <row r="1906" spans="5:5">
      <c r="E1906" s="62"/>
    </row>
    <row r="1907" spans="5:5">
      <c r="E1907" s="62"/>
    </row>
    <row r="1908" spans="5:5">
      <c r="E1908" s="62"/>
    </row>
    <row r="1909" spans="5:5">
      <c r="E1909" s="62"/>
    </row>
    <row r="1910" spans="5:5">
      <c r="E1910" s="62"/>
    </row>
    <row r="1911" spans="5:5">
      <c r="E1911" s="62"/>
    </row>
    <row r="1912" spans="5:5">
      <c r="E1912" s="62"/>
    </row>
    <row r="1913" spans="5:5">
      <c r="E1913" s="62"/>
    </row>
    <row r="1914" spans="5:5">
      <c r="E1914" s="62"/>
    </row>
    <row r="1915" spans="5:5">
      <c r="E1915" s="62"/>
    </row>
    <row r="1916" spans="5:5">
      <c r="E1916" s="62"/>
    </row>
    <row r="1917" spans="5:5">
      <c r="E1917" s="62"/>
    </row>
    <row r="1918" spans="5:5">
      <c r="E1918" s="62"/>
    </row>
    <row r="1919" spans="5:5">
      <c r="E1919" s="62"/>
    </row>
    <row r="1920" spans="5:5">
      <c r="E1920" s="62"/>
    </row>
    <row r="1921" spans="5:5">
      <c r="E1921" s="62"/>
    </row>
    <row r="1922" spans="5:5">
      <c r="E1922" s="62"/>
    </row>
    <row r="1923" spans="5:5">
      <c r="E1923" s="62"/>
    </row>
    <row r="1924" spans="5:5">
      <c r="E1924" s="62"/>
    </row>
    <row r="1925" spans="5:5">
      <c r="E1925" s="62"/>
    </row>
    <row r="1926" spans="5:5">
      <c r="E1926" s="62"/>
    </row>
    <row r="1927" spans="5:5">
      <c r="E1927" s="62"/>
    </row>
    <row r="1928" spans="5:5">
      <c r="E1928" s="62"/>
    </row>
    <row r="1929" spans="5:5">
      <c r="E1929" s="62"/>
    </row>
    <row r="1930" spans="5:5">
      <c r="E1930" s="62"/>
    </row>
    <row r="1931" spans="5:5">
      <c r="E1931" s="62"/>
    </row>
    <row r="1932" spans="5:5">
      <c r="E1932" s="62"/>
    </row>
    <row r="1933" spans="5:5">
      <c r="E1933" s="62"/>
    </row>
    <row r="1934" spans="5:5">
      <c r="E1934" s="62"/>
    </row>
    <row r="1935" spans="5:5">
      <c r="E1935" s="62"/>
    </row>
    <row r="1936" spans="5:5">
      <c r="E1936" s="62"/>
    </row>
    <row r="1937" spans="5:5">
      <c r="E1937" s="62"/>
    </row>
    <row r="1938" spans="5:5">
      <c r="E1938" s="62"/>
    </row>
    <row r="1939" spans="5:5">
      <c r="E1939" s="62"/>
    </row>
    <row r="1940" spans="5:5">
      <c r="E1940" s="62"/>
    </row>
    <row r="1941" spans="5:5">
      <c r="E1941" s="62"/>
    </row>
    <row r="1942" spans="5:5">
      <c r="E1942" s="62"/>
    </row>
    <row r="1943" spans="5:5">
      <c r="E1943" s="62"/>
    </row>
    <row r="1944" spans="5:5">
      <c r="E1944" s="62"/>
    </row>
    <row r="1945" spans="5:5">
      <c r="E1945" s="62"/>
    </row>
    <row r="1946" spans="5:5">
      <c r="E1946" s="62"/>
    </row>
    <row r="1947" spans="5:5">
      <c r="E1947" s="62"/>
    </row>
    <row r="1948" spans="5:5">
      <c r="E1948" s="62"/>
    </row>
    <row r="1949" spans="5:5">
      <c r="E1949" s="62"/>
    </row>
    <row r="1950" spans="5:5">
      <c r="E1950" s="62"/>
    </row>
    <row r="1951" spans="5:5">
      <c r="E1951" s="62"/>
    </row>
    <row r="1952" spans="5:5">
      <c r="E1952" s="62"/>
    </row>
    <row r="1953" spans="5:5">
      <c r="E1953" s="62"/>
    </row>
    <row r="1954" spans="5:5">
      <c r="E1954" s="62"/>
    </row>
    <row r="1955" spans="5:5">
      <c r="E1955" s="62"/>
    </row>
    <row r="1956" spans="5:5">
      <c r="E1956" s="62"/>
    </row>
    <row r="1957" spans="5:5">
      <c r="E1957" s="62"/>
    </row>
    <row r="1958" spans="5:5">
      <c r="E1958" s="62"/>
    </row>
    <row r="1959" spans="5:5">
      <c r="E1959" s="62"/>
    </row>
    <row r="1960" spans="5:5">
      <c r="E1960" s="62"/>
    </row>
    <row r="1961" spans="5:5">
      <c r="E1961" s="62"/>
    </row>
    <row r="1962" spans="5:5">
      <c r="E1962" s="62"/>
    </row>
    <row r="1963" spans="5:5">
      <c r="E1963" s="62"/>
    </row>
    <row r="1964" spans="5:5">
      <c r="E1964" s="62"/>
    </row>
    <row r="1965" spans="5:5">
      <c r="E1965" s="62"/>
    </row>
    <row r="1966" spans="5:5">
      <c r="E1966" s="62"/>
    </row>
    <row r="1967" spans="5:5">
      <c r="E1967" s="62"/>
    </row>
    <row r="1968" spans="5:5">
      <c r="E1968" s="62"/>
    </row>
    <row r="1969" spans="5:5">
      <c r="E1969" s="62"/>
    </row>
    <row r="1970" spans="5:5">
      <c r="E1970" s="62"/>
    </row>
    <row r="1971" spans="5:5">
      <c r="E1971" s="62"/>
    </row>
    <row r="1972" spans="5:5">
      <c r="E1972" s="62"/>
    </row>
    <row r="1973" spans="5:5">
      <c r="E1973" s="62"/>
    </row>
    <row r="1974" spans="5:5">
      <c r="E1974" s="62"/>
    </row>
    <row r="1975" spans="5:5">
      <c r="E1975" s="62"/>
    </row>
    <row r="1976" spans="5:5">
      <c r="E1976" s="62"/>
    </row>
    <row r="1977" spans="5:5">
      <c r="E1977" s="62"/>
    </row>
    <row r="1978" spans="5:5">
      <c r="E1978" s="62"/>
    </row>
    <row r="1979" spans="5:5">
      <c r="E1979" s="62"/>
    </row>
    <row r="1980" spans="5:5">
      <c r="E1980" s="62"/>
    </row>
    <row r="1981" spans="5:5">
      <c r="E1981" s="62"/>
    </row>
    <row r="1982" spans="5:5">
      <c r="E1982" s="62"/>
    </row>
    <row r="1983" spans="5:5">
      <c r="E1983" s="62"/>
    </row>
    <row r="1984" spans="5:5">
      <c r="E1984" s="62"/>
    </row>
    <row r="1985" spans="5:5">
      <c r="E1985" s="62"/>
    </row>
    <row r="1986" spans="5:5">
      <c r="E1986" s="62"/>
    </row>
    <row r="1987" spans="5:5">
      <c r="E1987" s="62"/>
    </row>
    <row r="1988" spans="5:5">
      <c r="E1988" s="62"/>
    </row>
    <row r="1989" spans="5:5">
      <c r="E1989" s="62"/>
    </row>
    <row r="1990" spans="5:5">
      <c r="E1990" s="62"/>
    </row>
    <row r="1991" spans="5:5">
      <c r="E1991" s="62"/>
    </row>
    <row r="1992" spans="5:5">
      <c r="E1992" s="62"/>
    </row>
    <row r="1993" spans="5:5">
      <c r="E1993" s="62"/>
    </row>
    <row r="1994" spans="5:5">
      <c r="E1994" s="62"/>
    </row>
    <row r="1995" spans="5:5">
      <c r="E1995" s="62"/>
    </row>
    <row r="1996" spans="5:5">
      <c r="E1996" s="62"/>
    </row>
    <row r="1997" spans="5:5">
      <c r="E1997" s="62"/>
    </row>
    <row r="1998" spans="5:5">
      <c r="E1998" s="62"/>
    </row>
    <row r="1999" spans="5:5">
      <c r="E1999" s="62"/>
    </row>
    <row r="2000" spans="5:5">
      <c r="E2000" s="62"/>
    </row>
    <row r="2001" spans="5:5">
      <c r="E2001" s="62"/>
    </row>
    <row r="2002" spans="5:5">
      <c r="E2002" s="62"/>
    </row>
    <row r="2003" spans="5:5">
      <c r="E2003" s="62"/>
    </row>
    <row r="2004" spans="5:5">
      <c r="E2004" s="62"/>
    </row>
    <row r="2005" spans="5:5">
      <c r="E2005" s="62"/>
    </row>
    <row r="2006" spans="5:5">
      <c r="E2006" s="62"/>
    </row>
    <row r="2007" spans="5:5">
      <c r="E2007" s="62"/>
    </row>
    <row r="2008" spans="5:5">
      <c r="E2008" s="62"/>
    </row>
    <row r="2009" spans="5:5">
      <c r="E2009" s="62"/>
    </row>
    <row r="2010" spans="5:5">
      <c r="E2010" s="62"/>
    </row>
    <row r="2011" spans="5:5">
      <c r="E2011" s="62"/>
    </row>
    <row r="2012" spans="5:5">
      <c r="E2012" s="62"/>
    </row>
    <row r="2013" spans="5:5">
      <c r="E2013" s="62"/>
    </row>
    <row r="2014" spans="5:5">
      <c r="E2014" s="62"/>
    </row>
    <row r="2015" spans="5:5">
      <c r="E2015" s="62"/>
    </row>
    <row r="2016" spans="5:5">
      <c r="E2016" s="62"/>
    </row>
    <row r="2017" spans="5:5">
      <c r="E2017" s="62"/>
    </row>
    <row r="2018" spans="5:5">
      <c r="E2018" s="62"/>
    </row>
    <row r="2019" spans="5:5">
      <c r="E2019" s="62"/>
    </row>
    <row r="2020" spans="5:5">
      <c r="E2020" s="62"/>
    </row>
    <row r="2021" spans="5:5">
      <c r="E2021" s="62"/>
    </row>
    <row r="2022" spans="5:5">
      <c r="E2022" s="62"/>
    </row>
    <row r="2023" spans="5:5">
      <c r="E2023" s="62"/>
    </row>
    <row r="2024" spans="5:5">
      <c r="E2024" s="62"/>
    </row>
    <row r="2025" spans="5:5">
      <c r="E2025" s="62"/>
    </row>
    <row r="2026" spans="5:5">
      <c r="E2026" s="62"/>
    </row>
    <row r="2027" spans="5:5">
      <c r="E2027" s="62"/>
    </row>
    <row r="2028" spans="5:5">
      <c r="E2028" s="62"/>
    </row>
    <row r="2029" spans="5:5">
      <c r="E2029" s="62"/>
    </row>
    <row r="2030" spans="5:5">
      <c r="E2030" s="62"/>
    </row>
    <row r="2031" spans="5:5">
      <c r="E2031" s="62"/>
    </row>
    <row r="2032" spans="5:5">
      <c r="E2032" s="62"/>
    </row>
    <row r="2033" spans="5:5">
      <c r="E2033" s="62"/>
    </row>
    <row r="2034" spans="5:5">
      <c r="E2034" s="62"/>
    </row>
    <row r="2035" spans="5:5">
      <c r="E2035" s="62"/>
    </row>
    <row r="2036" spans="5:5">
      <c r="E2036" s="62"/>
    </row>
    <row r="2037" spans="5:5">
      <c r="E2037" s="62"/>
    </row>
    <row r="2038" spans="5:5">
      <c r="E2038" s="62"/>
    </row>
    <row r="2039" spans="5:5">
      <c r="E2039" s="62"/>
    </row>
    <row r="2040" spans="5:5">
      <c r="E2040" s="62"/>
    </row>
    <row r="2041" spans="5:5">
      <c r="E2041" s="62"/>
    </row>
    <row r="2042" spans="5:5">
      <c r="E2042" s="62"/>
    </row>
    <row r="2043" spans="5:5">
      <c r="E2043" s="62"/>
    </row>
    <row r="2044" spans="5:5">
      <c r="E2044" s="62"/>
    </row>
    <row r="2045" spans="5:5">
      <c r="E2045" s="62"/>
    </row>
    <row r="2046" spans="5:5">
      <c r="E2046" s="62"/>
    </row>
    <row r="2047" spans="5:5">
      <c r="E2047" s="62"/>
    </row>
    <row r="2048" spans="5:5">
      <c r="E2048" s="62"/>
    </row>
    <row r="2049" spans="5:5">
      <c r="E2049" s="62"/>
    </row>
    <row r="2050" spans="5:5">
      <c r="E2050" s="62"/>
    </row>
    <row r="2051" spans="5:5">
      <c r="E2051" s="62"/>
    </row>
    <row r="2052" spans="5:5">
      <c r="E2052" s="62"/>
    </row>
    <row r="2053" spans="5:5">
      <c r="E2053" s="62"/>
    </row>
    <row r="2054" spans="5:5">
      <c r="E2054" s="62"/>
    </row>
    <row r="2055" spans="5:5">
      <c r="E2055" s="62"/>
    </row>
    <row r="2056" spans="5:5">
      <c r="E2056" s="62"/>
    </row>
    <row r="2057" spans="5:5">
      <c r="E2057" s="62"/>
    </row>
    <row r="2058" spans="5:5">
      <c r="E2058" s="62"/>
    </row>
    <row r="2059" spans="5:5">
      <c r="E2059" s="62"/>
    </row>
    <row r="2060" spans="5:5">
      <c r="E2060" s="62"/>
    </row>
    <row r="2061" spans="5:5">
      <c r="E2061" s="62"/>
    </row>
    <row r="2062" spans="5:5">
      <c r="E2062" s="62"/>
    </row>
    <row r="2063" spans="5:5">
      <c r="E2063" s="62"/>
    </row>
    <row r="2064" spans="5:5">
      <c r="E2064" s="62"/>
    </row>
    <row r="2065" spans="5:5">
      <c r="E2065" s="62"/>
    </row>
    <row r="2066" spans="5:5">
      <c r="E2066" s="62"/>
    </row>
    <row r="2067" spans="5:5">
      <c r="E2067" s="62"/>
    </row>
    <row r="2068" spans="5:5">
      <c r="E2068" s="62"/>
    </row>
    <row r="2069" spans="5:5">
      <c r="E2069" s="62"/>
    </row>
    <row r="2070" spans="5:5">
      <c r="E2070" s="62"/>
    </row>
    <row r="2071" spans="5:5">
      <c r="E2071" s="62"/>
    </row>
    <row r="2072" spans="5:5">
      <c r="E2072" s="62"/>
    </row>
    <row r="2073" spans="5:5">
      <c r="E2073" s="62"/>
    </row>
    <row r="2074" spans="5:5">
      <c r="E2074" s="62"/>
    </row>
    <row r="2075" spans="5:5">
      <c r="E2075" s="62"/>
    </row>
    <row r="2076" spans="5:5">
      <c r="E2076" s="62"/>
    </row>
    <row r="2077" spans="5:5">
      <c r="E2077" s="62"/>
    </row>
    <row r="2078" spans="5:5">
      <c r="E2078" s="62"/>
    </row>
    <row r="2079" spans="5:5">
      <c r="E2079" s="62"/>
    </row>
    <row r="2080" spans="5:5">
      <c r="E2080" s="62"/>
    </row>
    <row r="2081" spans="5:5">
      <c r="E2081" s="62"/>
    </row>
    <row r="2082" spans="5:5">
      <c r="E2082" s="62"/>
    </row>
    <row r="2083" spans="5:5">
      <c r="E2083" s="62"/>
    </row>
    <row r="2084" spans="5:5">
      <c r="E2084" s="62"/>
    </row>
    <row r="2085" spans="5:5">
      <c r="E2085" s="62"/>
    </row>
    <row r="2086" spans="5:5">
      <c r="E2086" s="62"/>
    </row>
    <row r="2087" spans="5:5">
      <c r="E2087" s="62"/>
    </row>
    <row r="2088" spans="5:5">
      <c r="E2088" s="62"/>
    </row>
    <row r="2089" spans="5:5">
      <c r="E2089" s="62"/>
    </row>
    <row r="2090" spans="5:5">
      <c r="E2090" s="62"/>
    </row>
    <row r="2091" spans="5:5">
      <c r="E2091" s="62"/>
    </row>
    <row r="2092" spans="5:5">
      <c r="E2092" s="62"/>
    </row>
    <row r="2093" spans="5:5">
      <c r="E2093" s="62"/>
    </row>
    <row r="2094" spans="5:5">
      <c r="E2094" s="62"/>
    </row>
    <row r="2095" spans="5:5">
      <c r="E2095" s="62"/>
    </row>
    <row r="2096" spans="5:5">
      <c r="E2096" s="62"/>
    </row>
    <row r="2097" spans="5:5">
      <c r="E2097" s="62"/>
    </row>
    <row r="2098" spans="5:5">
      <c r="E2098" s="62"/>
    </row>
    <row r="2099" spans="5:5">
      <c r="E2099" s="62"/>
    </row>
    <row r="2100" spans="5:5">
      <c r="E2100" s="62"/>
    </row>
    <row r="2101" spans="5:5">
      <c r="E2101" s="62"/>
    </row>
    <row r="2102" spans="5:5">
      <c r="E2102" s="62"/>
    </row>
    <row r="2103" spans="5:5">
      <c r="E2103" s="62"/>
    </row>
    <row r="2104" spans="5:5">
      <c r="E2104" s="62"/>
    </row>
    <row r="2105" spans="5:5">
      <c r="E2105" s="62"/>
    </row>
    <row r="2106" spans="5:5">
      <c r="E2106" s="62"/>
    </row>
    <row r="2107" spans="5:5">
      <c r="E2107" s="62"/>
    </row>
    <row r="2108" spans="5:5">
      <c r="E2108" s="62"/>
    </row>
    <row r="2109" spans="5:5">
      <c r="E2109" s="62"/>
    </row>
    <row r="2110" spans="5:5">
      <c r="E2110" s="62"/>
    </row>
    <row r="2111" spans="5:5">
      <c r="E2111" s="62"/>
    </row>
    <row r="2112" spans="5:5">
      <c r="E2112" s="62"/>
    </row>
    <row r="2113" spans="5:5">
      <c r="E2113" s="62"/>
    </row>
    <row r="2114" spans="5:5">
      <c r="E2114" s="62"/>
    </row>
    <row r="2115" spans="5:5">
      <c r="E2115" s="62"/>
    </row>
    <row r="2116" spans="5:5">
      <c r="E2116" s="62"/>
    </row>
    <row r="2117" spans="5:5">
      <c r="E2117" s="62"/>
    </row>
    <row r="2118" spans="5:5">
      <c r="E2118" s="62"/>
    </row>
    <row r="2119" spans="5:5">
      <c r="E2119" s="62"/>
    </row>
    <row r="2120" spans="5:5">
      <c r="E2120" s="62"/>
    </row>
    <row r="2121" spans="5:5">
      <c r="E2121" s="62"/>
    </row>
    <row r="2122" spans="5:5">
      <c r="E2122" s="62"/>
    </row>
    <row r="2123" spans="5:5">
      <c r="E2123" s="62"/>
    </row>
    <row r="2124" spans="5:5">
      <c r="E2124" s="62"/>
    </row>
    <row r="2125" spans="5:5">
      <c r="E2125" s="62"/>
    </row>
    <row r="2126" spans="5:5">
      <c r="E2126" s="62"/>
    </row>
    <row r="2127" spans="5:5">
      <c r="E2127" s="62"/>
    </row>
    <row r="2128" spans="5:5">
      <c r="E2128" s="62"/>
    </row>
    <row r="2129" spans="5:5">
      <c r="E2129" s="62"/>
    </row>
    <row r="2130" spans="5:5">
      <c r="E2130" s="62"/>
    </row>
    <row r="2131" spans="5:5">
      <c r="E2131" s="62"/>
    </row>
    <row r="2132" spans="5:5">
      <c r="E2132" s="62"/>
    </row>
    <row r="2133" spans="5:5">
      <c r="E2133" s="62"/>
    </row>
    <row r="2134" spans="5:5">
      <c r="E2134" s="62"/>
    </row>
    <row r="2135" spans="5:5">
      <c r="E2135" s="62"/>
    </row>
    <row r="2136" spans="5:5">
      <c r="E2136" s="62"/>
    </row>
    <row r="2137" spans="5:5">
      <c r="E2137" s="62"/>
    </row>
    <row r="2138" spans="5:5">
      <c r="E2138" s="62"/>
    </row>
    <row r="2139" spans="5:5">
      <c r="E2139" s="62"/>
    </row>
    <row r="2140" spans="5:5">
      <c r="E2140" s="62"/>
    </row>
    <row r="2141" spans="5:5">
      <c r="E2141" s="62"/>
    </row>
    <row r="2142" spans="5:5">
      <c r="E2142" s="62"/>
    </row>
    <row r="2143" spans="5:5">
      <c r="E2143" s="62"/>
    </row>
    <row r="2144" spans="5:5">
      <c r="E2144" s="62"/>
    </row>
    <row r="2145" spans="5:5">
      <c r="E2145" s="62"/>
    </row>
    <row r="2146" spans="5:5">
      <c r="E2146" s="62"/>
    </row>
    <row r="2147" spans="5:5">
      <c r="E2147" s="62"/>
    </row>
    <row r="2148" spans="5:5">
      <c r="E2148" s="62"/>
    </row>
    <row r="2149" spans="5:5">
      <c r="E2149" s="62"/>
    </row>
    <row r="2150" spans="5:5">
      <c r="E2150" s="62"/>
    </row>
    <row r="2151" spans="5:5">
      <c r="E2151" s="62"/>
    </row>
    <row r="2152" spans="5:5">
      <c r="E2152" s="62"/>
    </row>
    <row r="2153" spans="5:5">
      <c r="E2153" s="62"/>
    </row>
    <row r="2154" spans="5:5">
      <c r="E2154" s="62"/>
    </row>
    <row r="2155" spans="5:5">
      <c r="E2155" s="62"/>
    </row>
    <row r="2156" spans="5:5">
      <c r="E2156" s="62"/>
    </row>
    <row r="2157" spans="5:5">
      <c r="E2157" s="62"/>
    </row>
    <row r="2158" spans="5:5">
      <c r="E2158" s="62"/>
    </row>
    <row r="2159" spans="5:5">
      <c r="E2159" s="62"/>
    </row>
    <row r="2160" spans="5:5">
      <c r="E2160" s="62"/>
    </row>
    <row r="2161" spans="5:5">
      <c r="E2161" s="62"/>
    </row>
    <row r="2162" spans="5:5">
      <c r="E2162" s="62"/>
    </row>
    <row r="2163" spans="5:5">
      <c r="E2163" s="62"/>
    </row>
    <row r="2164" spans="5:5">
      <c r="E2164" s="62"/>
    </row>
    <row r="2165" spans="5:5">
      <c r="E2165" s="62"/>
    </row>
    <row r="2166" spans="5:5">
      <c r="E2166" s="62"/>
    </row>
    <row r="2167" spans="5:5">
      <c r="E2167" s="62"/>
    </row>
    <row r="2168" spans="5:5">
      <c r="E2168" s="62"/>
    </row>
    <row r="2169" spans="5:5">
      <c r="E2169" s="62"/>
    </row>
    <row r="2170" spans="5:5">
      <c r="E2170" s="62"/>
    </row>
    <row r="2171" spans="5:5">
      <c r="E2171" s="62"/>
    </row>
    <row r="2172" spans="5:5">
      <c r="E2172" s="62"/>
    </row>
    <row r="2173" spans="5:5">
      <c r="E2173" s="62"/>
    </row>
    <row r="2174" spans="5:5">
      <c r="E2174" s="62"/>
    </row>
    <row r="2175" spans="5:5">
      <c r="E2175" s="62"/>
    </row>
    <row r="2176" spans="5:5">
      <c r="E2176" s="62"/>
    </row>
    <row r="2177" spans="5:5">
      <c r="E2177" s="62"/>
    </row>
    <row r="2178" spans="5:5">
      <c r="E2178" s="62"/>
    </row>
    <row r="2179" spans="5:5">
      <c r="E2179" s="62"/>
    </row>
    <row r="2180" spans="5:5">
      <c r="E2180" s="62"/>
    </row>
    <row r="2181" spans="5:5">
      <c r="E2181" s="62"/>
    </row>
    <row r="2182" spans="5:5">
      <c r="E2182" s="62"/>
    </row>
    <row r="2183" spans="5:5">
      <c r="E2183" s="62"/>
    </row>
    <row r="2184" spans="5:5">
      <c r="E2184" s="62"/>
    </row>
    <row r="2185" spans="5:5">
      <c r="E2185" s="62"/>
    </row>
    <row r="2186" spans="5:5">
      <c r="E2186" s="62"/>
    </row>
    <row r="2187" spans="5:5">
      <c r="E2187" s="62"/>
    </row>
    <row r="2188" spans="5:5">
      <c r="E2188" s="62"/>
    </row>
    <row r="2189" spans="5:5">
      <c r="E2189" s="62"/>
    </row>
    <row r="2190" spans="5:5">
      <c r="E2190" s="62"/>
    </row>
    <row r="2191" spans="5:5">
      <c r="E2191" s="62"/>
    </row>
    <row r="2192" spans="5:5">
      <c r="E2192" s="62"/>
    </row>
    <row r="2193" spans="5:5">
      <c r="E2193" s="62"/>
    </row>
    <row r="2194" spans="5:5">
      <c r="E2194" s="62"/>
    </row>
    <row r="2195" spans="5:5">
      <c r="E2195" s="62"/>
    </row>
    <row r="2196" spans="5:5">
      <c r="E2196" s="62"/>
    </row>
    <row r="2197" spans="5:5">
      <c r="E2197" s="62"/>
    </row>
    <row r="2198" spans="5:5">
      <c r="E2198" s="62"/>
    </row>
    <row r="2199" spans="5:5">
      <c r="E2199" s="62"/>
    </row>
    <row r="2200" spans="5:5">
      <c r="E2200" s="62"/>
    </row>
    <row r="2201" spans="5:5">
      <c r="E2201" s="62"/>
    </row>
    <row r="2202" spans="5:5">
      <c r="E2202" s="62"/>
    </row>
    <row r="2203" spans="5:5">
      <c r="E2203" s="62"/>
    </row>
    <row r="2204" spans="5:5">
      <c r="E2204" s="62"/>
    </row>
    <row r="2205" spans="5:5">
      <c r="E2205" s="62"/>
    </row>
    <row r="2206" spans="5:5">
      <c r="E2206" s="62"/>
    </row>
    <row r="2207" spans="5:5">
      <c r="E2207" s="62"/>
    </row>
    <row r="2208" spans="5:5">
      <c r="E2208" s="62"/>
    </row>
    <row r="2209" spans="5:5">
      <c r="E2209" s="62"/>
    </row>
    <row r="2210" spans="5:5">
      <c r="E2210" s="62"/>
    </row>
    <row r="2211" spans="5:5">
      <c r="E2211" s="62"/>
    </row>
    <row r="2212" spans="5:5">
      <c r="E2212" s="62"/>
    </row>
    <row r="2213" spans="5:5">
      <c r="E2213" s="62"/>
    </row>
    <row r="2214" spans="5:5">
      <c r="E2214" s="62"/>
    </row>
    <row r="2215" spans="5:5">
      <c r="E2215" s="62"/>
    </row>
    <row r="2216" spans="5:5">
      <c r="E2216" s="62"/>
    </row>
    <row r="2217" spans="5:5">
      <c r="E2217" s="62"/>
    </row>
    <row r="2218" spans="5:5">
      <c r="E2218" s="62"/>
    </row>
    <row r="2219" spans="5:5">
      <c r="E2219" s="62"/>
    </row>
    <row r="2220" spans="5:5">
      <c r="E2220" s="62"/>
    </row>
    <row r="2221" spans="5:5">
      <c r="E2221" s="62"/>
    </row>
    <row r="2222" spans="5:5">
      <c r="E2222" s="62"/>
    </row>
    <row r="2223" spans="5:5">
      <c r="E2223" s="62"/>
    </row>
    <row r="2224" spans="5:5">
      <c r="E2224" s="62"/>
    </row>
    <row r="2225" spans="5:5">
      <c r="E2225" s="62"/>
    </row>
    <row r="2226" spans="5:5">
      <c r="E2226" s="62"/>
    </row>
    <row r="2227" spans="5:5">
      <c r="E2227" s="62"/>
    </row>
    <row r="2228" spans="5:5">
      <c r="E2228" s="62"/>
    </row>
    <row r="2229" spans="5:5">
      <c r="E2229" s="62"/>
    </row>
    <row r="2230" spans="5:5">
      <c r="E2230" s="62"/>
    </row>
    <row r="2231" spans="5:5">
      <c r="E2231" s="62"/>
    </row>
    <row r="2232" spans="5:5">
      <c r="E2232" s="62"/>
    </row>
    <row r="2233" spans="5:5">
      <c r="E2233" s="62"/>
    </row>
    <row r="2234" spans="5:5">
      <c r="E2234" s="62"/>
    </row>
    <row r="2235" spans="5:5">
      <c r="E2235" s="62"/>
    </row>
    <row r="2236" spans="5:5">
      <c r="E2236" s="62"/>
    </row>
    <row r="2237" spans="5:5">
      <c r="E2237" s="62"/>
    </row>
    <row r="2238" spans="5:5">
      <c r="E2238" s="62"/>
    </row>
    <row r="2239" spans="5:5">
      <c r="E2239" s="62"/>
    </row>
    <row r="2240" spans="5:5">
      <c r="E2240" s="62"/>
    </row>
    <row r="2241" spans="5:5">
      <c r="E2241" s="62"/>
    </row>
    <row r="2242" spans="5:5">
      <c r="E2242" s="62"/>
    </row>
    <row r="2243" spans="5:5">
      <c r="E2243" s="62"/>
    </row>
    <row r="2244" spans="5:5">
      <c r="E2244" s="62"/>
    </row>
    <row r="2245" spans="5:5">
      <c r="E2245" s="62"/>
    </row>
    <row r="2246" spans="5:5">
      <c r="E2246" s="62"/>
    </row>
    <row r="2247" spans="5:5">
      <c r="E2247" s="62"/>
    </row>
    <row r="2248" spans="5:5">
      <c r="E2248" s="62"/>
    </row>
    <row r="2249" spans="5:5">
      <c r="E2249" s="62"/>
    </row>
    <row r="2250" spans="5:5">
      <c r="E2250" s="62"/>
    </row>
    <row r="2251" spans="5:5">
      <c r="E2251" s="62"/>
    </row>
    <row r="2252" spans="5:5">
      <c r="E2252" s="62"/>
    </row>
    <row r="2253" spans="5:5">
      <c r="E2253" s="62"/>
    </row>
    <row r="2254" spans="5:5">
      <c r="E2254" s="62"/>
    </row>
    <row r="2255" spans="5:5">
      <c r="E2255" s="62"/>
    </row>
    <row r="2256" spans="5:5">
      <c r="E2256" s="62"/>
    </row>
    <row r="2257" spans="5:5">
      <c r="E2257" s="62"/>
    </row>
    <row r="2258" spans="5:5">
      <c r="E2258" s="62"/>
    </row>
    <row r="2259" spans="5:5">
      <c r="E2259" s="62"/>
    </row>
    <row r="2260" spans="5:5">
      <c r="E2260" s="62"/>
    </row>
    <row r="2261" spans="5:5">
      <c r="E2261" s="62"/>
    </row>
    <row r="2262" spans="5:5">
      <c r="E2262" s="62"/>
    </row>
    <row r="2263" spans="5:5">
      <c r="E2263" s="62"/>
    </row>
    <row r="2264" spans="5:5">
      <c r="E2264" s="62"/>
    </row>
    <row r="2265" spans="5:5">
      <c r="E2265" s="62"/>
    </row>
    <row r="2266" spans="5:5">
      <c r="E2266" s="62"/>
    </row>
    <row r="2267" spans="5:5">
      <c r="E2267" s="62"/>
    </row>
    <row r="2268" spans="5:5">
      <c r="E2268" s="62"/>
    </row>
    <row r="2269" spans="5:5">
      <c r="E2269" s="62"/>
    </row>
    <row r="2270" spans="5:5">
      <c r="E2270" s="62"/>
    </row>
    <row r="2271" spans="5:5">
      <c r="E2271" s="62"/>
    </row>
    <row r="2272" spans="5:5">
      <c r="E2272" s="62"/>
    </row>
    <row r="2273" spans="5:5">
      <c r="E2273" s="62"/>
    </row>
    <row r="2274" spans="5:5">
      <c r="E2274" s="62"/>
    </row>
    <row r="2275" spans="5:5">
      <c r="E2275" s="62"/>
    </row>
    <row r="2276" spans="5:5">
      <c r="E2276" s="62"/>
    </row>
    <row r="2277" spans="5:5">
      <c r="E2277" s="62"/>
    </row>
    <row r="2278" spans="5:5">
      <c r="E2278" s="62"/>
    </row>
    <row r="2279" spans="5:5">
      <c r="E2279" s="62"/>
    </row>
    <row r="2280" spans="5:5">
      <c r="E2280" s="62"/>
    </row>
    <row r="2281" spans="5:5">
      <c r="E2281" s="62"/>
    </row>
    <row r="2282" spans="5:5">
      <c r="E2282" s="62"/>
    </row>
    <row r="2283" spans="5:5">
      <c r="E2283" s="62"/>
    </row>
    <row r="2284" spans="5:5">
      <c r="E2284" s="62"/>
    </row>
    <row r="2285" spans="5:5">
      <c r="E2285" s="62"/>
    </row>
    <row r="2286" spans="5:5">
      <c r="E2286" s="62"/>
    </row>
    <row r="2287" spans="5:5">
      <c r="E2287" s="62"/>
    </row>
    <row r="2288" spans="5:5">
      <c r="E2288" s="62"/>
    </row>
    <row r="2289" spans="5:5">
      <c r="E2289" s="62"/>
    </row>
    <row r="2290" spans="5:5">
      <c r="E2290" s="62"/>
    </row>
    <row r="2291" spans="5:5">
      <c r="E2291" s="62"/>
    </row>
    <row r="2292" spans="5:5">
      <c r="E2292" s="62"/>
    </row>
    <row r="2293" spans="5:5">
      <c r="E2293" s="62"/>
    </row>
    <row r="2294" spans="5:5">
      <c r="E2294" s="62"/>
    </row>
    <row r="2295" spans="5:5">
      <c r="E2295" s="62"/>
    </row>
    <row r="2296" spans="5:5">
      <c r="E2296" s="62"/>
    </row>
    <row r="2297" spans="5:5">
      <c r="E2297" s="62"/>
    </row>
    <row r="2298" spans="5:5">
      <c r="E2298" s="62"/>
    </row>
    <row r="2299" spans="5:5">
      <c r="E2299" s="62"/>
    </row>
    <row r="2300" spans="5:5">
      <c r="E2300" s="62"/>
    </row>
    <row r="2301" spans="5:5">
      <c r="E2301" s="62"/>
    </row>
    <row r="2302" spans="5:5">
      <c r="E2302" s="62"/>
    </row>
    <row r="2303" spans="5:5">
      <c r="E2303" s="62"/>
    </row>
    <row r="2304" spans="5:5">
      <c r="E2304" s="62"/>
    </row>
    <row r="2305" spans="5:5">
      <c r="E2305" s="62"/>
    </row>
    <row r="2306" spans="5:5">
      <c r="E2306" s="62"/>
    </row>
    <row r="2307" spans="5:5">
      <c r="E2307" s="62"/>
    </row>
    <row r="2308" spans="5:5">
      <c r="E2308" s="62"/>
    </row>
    <row r="2309" spans="5:5">
      <c r="E2309" s="62"/>
    </row>
    <row r="2310" spans="5:5">
      <c r="E2310" s="62"/>
    </row>
    <row r="2311" spans="5:5">
      <c r="E2311" s="62"/>
    </row>
    <row r="2312" spans="5:5">
      <c r="E2312" s="62"/>
    </row>
    <row r="2313" spans="5:5">
      <c r="E2313" s="62"/>
    </row>
    <row r="2314" spans="5:5">
      <c r="E2314" s="62"/>
    </row>
    <row r="2315" spans="5:5">
      <c r="E2315" s="62"/>
    </row>
    <row r="2316" spans="5:5">
      <c r="E2316" s="62"/>
    </row>
    <row r="2317" spans="5:5">
      <c r="E2317" s="62"/>
    </row>
    <row r="2318" spans="5:5">
      <c r="E2318" s="62"/>
    </row>
    <row r="2319" spans="5:5">
      <c r="E2319" s="62"/>
    </row>
    <row r="2320" spans="5:5">
      <c r="E2320" s="62"/>
    </row>
    <row r="2321" spans="5:5">
      <c r="E2321" s="62"/>
    </row>
    <row r="2322" spans="5:5">
      <c r="E2322" s="62"/>
    </row>
    <row r="2323" spans="5:5">
      <c r="E2323" s="62"/>
    </row>
    <row r="2324" spans="5:5">
      <c r="E2324" s="62"/>
    </row>
    <row r="2325" spans="5:5">
      <c r="E2325" s="62"/>
    </row>
    <row r="2326" spans="5:5">
      <c r="E2326" s="62"/>
    </row>
  </sheetData>
  <autoFilter ref="A7:CL1049" xr:uid="{00000000-0009-0000-0000-000003000000}">
    <filterColumn colId="4">
      <filters>
        <filter val="LINE1"/>
      </filters>
    </filterColumn>
  </autoFilter>
  <mergeCells count="13">
    <mergeCell ref="AI6:AK6"/>
    <mergeCell ref="Z1048:AF1048"/>
    <mergeCell ref="Z1049:AF1049"/>
    <mergeCell ref="D3:AG3"/>
    <mergeCell ref="H6:J6"/>
    <mergeCell ref="K6:M6"/>
    <mergeCell ref="N6:P6"/>
    <mergeCell ref="Q6:S6"/>
    <mergeCell ref="T6:V6"/>
    <mergeCell ref="W6:Y6"/>
    <mergeCell ref="Z6:AB6"/>
    <mergeCell ref="AC6:AE6"/>
    <mergeCell ref="AF6:AH6"/>
  </mergeCells>
  <conditionalFormatting sqref="C8:C54">
    <cfRule type="duplicateValues" dxfId="13" priority="14"/>
  </conditionalFormatting>
  <conditionalFormatting sqref="C997:C1007 C1009:C1047">
    <cfRule type="duplicateValues" dxfId="12" priority="4"/>
  </conditionalFormatting>
  <conditionalFormatting sqref="C997:C1007">
    <cfRule type="duplicateValues" dxfId="11" priority="5"/>
  </conditionalFormatting>
  <conditionalFormatting sqref="C1008">
    <cfRule type="duplicateValues" dxfId="10" priority="1"/>
    <cfRule type="duplicateValues" dxfId="9" priority="2"/>
  </conditionalFormatting>
  <conditionalFormatting sqref="C1048:C1049">
    <cfRule type="expression" dxfId="8" priority="11">
      <formula>IF(ISBLANK(C1048),"",IF(COUNTIF(mst,C1048)&gt;=2,TRUE,fasle))</formula>
    </cfRule>
  </conditionalFormatting>
  <conditionalFormatting sqref="D8:D54">
    <cfRule type="duplicateValues" dxfId="7" priority="13"/>
  </conditionalFormatting>
  <conditionalFormatting sqref="D47:D54 D8:D45">
    <cfRule type="duplicateValues" dxfId="6" priority="7"/>
  </conditionalFormatting>
  <conditionalFormatting sqref="D997:D1007 D22:D54 D1009:D1047">
    <cfRule type="duplicateValues" dxfId="5" priority="6"/>
  </conditionalFormatting>
  <conditionalFormatting sqref="D1008">
    <cfRule type="duplicateValues" dxfId="4" priority="3"/>
  </conditionalFormatting>
  <conditionalFormatting sqref="D1049:D1048576 D1:D7">
    <cfRule type="duplicateValues" dxfId="3" priority="8"/>
    <cfRule type="duplicateValues" dxfId="2" priority="9"/>
    <cfRule type="duplicateValues" dxfId="1" priority="10"/>
  </conditionalFormatting>
  <dataValidations count="1">
    <dataValidation allowBlank="1" showInputMessage="1" showErrorMessage="1" errorTitle="Nhập sai" error="Chỉ được phép chọn bộ phận trong list._x000a_Nếu muốn thêm hãy vào bảng tổng hợp đăng ký thêm." sqref="F8:F1047" xr:uid="{00000000-0002-0000-0300-000000000000}"/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23</vt:i4>
      </vt:variant>
    </vt:vector>
  </HeadingPairs>
  <TitlesOfParts>
    <vt:vector size="26" baseType="lpstr">
      <vt:lpstr>1-Quy trình</vt:lpstr>
      <vt:lpstr>CodeMMTB</vt:lpstr>
      <vt:lpstr>Taynghe</vt:lpstr>
      <vt:lpstr>Bactho</vt:lpstr>
      <vt:lpstr>BuocCD</vt:lpstr>
      <vt:lpstr>Buoccongviec</vt:lpstr>
      <vt:lpstr>CodeMMTB</vt:lpstr>
      <vt:lpstr>Cugaculy</vt:lpstr>
      <vt:lpstr>DemCDNS</vt:lpstr>
      <vt:lpstr>Dongia</vt:lpstr>
      <vt:lpstr>HesoBactho</vt:lpstr>
      <vt:lpstr>HieusuatKH</vt:lpstr>
      <vt:lpstr>Macongdoan</vt:lpstr>
      <vt:lpstr>Masomay</vt:lpstr>
      <vt:lpstr>Nhansu</vt:lpstr>
      <vt:lpstr>NhipSX</vt:lpstr>
      <vt:lpstr>NhucauMMTB</vt:lpstr>
      <vt:lpstr>'1-Quy trình'!Print_Area</vt:lpstr>
      <vt:lpstr>SAMCBC</vt:lpstr>
      <vt:lpstr>SAMHSYC</vt:lpstr>
      <vt:lpstr>SttCD</vt:lpstr>
      <vt:lpstr>TenCNQuitrinh</vt:lpstr>
      <vt:lpstr>TenMMTB</vt:lpstr>
      <vt:lpstr>Thoigianchuan</vt:lpstr>
      <vt:lpstr>Xóa</vt:lpstr>
      <vt:lpstr>Xoaten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Trong Nghia</dc:creator>
  <cp:lastModifiedBy>Dinh Nguyen</cp:lastModifiedBy>
  <cp:lastPrinted>2025-05-28T08:40:40Z</cp:lastPrinted>
  <dcterms:created xsi:type="dcterms:W3CDTF">2019-01-19T07:47:00Z</dcterms:created>
  <dcterms:modified xsi:type="dcterms:W3CDTF">2026-08-28T02:45:08Z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B149FA668526450192B87AD91A5150E6</vt:lpwstr>
  </property>
  <property fmtid="{D5CDD505-2E9C-101B-9397-08002B2CF9AE}" pid="3" name="KSOProductBuildVer">
    <vt:lpwstr>1033-11.2.0.10351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2023-08-05T09:33:34Z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59551200-624b-486c-9648-458ec660b667</vt:lpwstr>
  </property>
  <property fmtid="{D5CDD505-2E9C-101B-9397-08002B2CF9AE}" pid="9" name="MSIP_Label_defa4170-0d19-0005-0004-bc88714345d2_ActionId">
    <vt:lpwstr>9b02f190-8529-4e23-9468-bf1b02b04233</vt:lpwstr>
  </property>
  <property fmtid="{D5CDD505-2E9C-101B-9397-08002B2CF9AE}" pid="10" name="MSIP_Label_defa4170-0d19-0005-0004-bc88714345d2_ContentBits">
    <vt:lpwstr>0</vt:lpwstr>
  </property>
</Properties>
</file>